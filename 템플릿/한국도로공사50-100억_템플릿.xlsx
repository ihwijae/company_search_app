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45A6BC4C-B41C-4AB3-9141-0D0114F1F33B}" xr6:coauthVersionLast="47" xr6:coauthVersionMax="47" xr10:uidLastSave="{00000000-0000-0000-0000-000000000000}"/>
  <bookViews>
    <workbookView xWindow="-120" yWindow="-120" windowWidth="29040" windowHeight="15720" firstSheet="2" activeTab="5" xr2:uid="{00000000-000D-0000-FFFF-FFFF00000000}"/>
  </bookViews>
  <sheets>
    <sheet name="제50호선영동선(1공구)" sheetId="1" r:id="rId1"/>
    <sheet name="제50호선영동선(2공구)" sheetId="2" r:id="rId2"/>
    <sheet name="고속국도 14호선 1공구(소방)" sheetId="3" r:id="rId3"/>
    <sheet name="고속국도 14호선 2공구(소방)" sheetId="5" r:id="rId4"/>
    <sheet name="고속국도 14호선 4공구(소방)" sheetId="4" r:id="rId5"/>
    <sheet name="아산~청주선(1공구)" sheetId="6" r:id="rId6"/>
    <sheet name="함양~창녕간(6공구)-진행중" sheetId="7" r:id="rId7"/>
  </sheets>
  <definedNames>
    <definedName name="_xlnm.Print_Area" localSheetId="2">'고속국도 14호선 1공구(소방)'!$A$1:$AT$140</definedName>
    <definedName name="_xlnm.Print_Area" localSheetId="3">'고속국도 14호선 2공구(소방)'!$A$1:$AT$140</definedName>
    <definedName name="_xlnm.Print_Area" localSheetId="4">'고속국도 14호선 4공구(소방)'!$A$1:$AT$140</definedName>
    <definedName name="_xlnm.Print_Area" localSheetId="5">'아산~청주선(1공구)'!$A$1:$AT$140</definedName>
    <definedName name="_xlnm.Print_Area" localSheetId="0">'제50호선영동선(1공구)'!$A$1:$AT$140</definedName>
    <definedName name="_xlnm.Print_Area" localSheetId="1">'제50호선영동선(2공구)'!$A$1:$AT$140</definedName>
    <definedName name="_xlnm.Print_Area" localSheetId="6">'함양~창녕간(6공구)-진행중'!$A$1:$AT$140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N5" i="7"/>
  <c r="T5" i="7"/>
  <c r="U5" i="7"/>
  <c r="AA5" i="7"/>
  <c r="AB5" i="7" s="1"/>
  <c r="AD5" i="7"/>
  <c r="AF5" i="7"/>
  <c r="AL5" i="7"/>
  <c r="AT5" i="7"/>
  <c r="N6" i="7"/>
  <c r="AT6" i="7" s="1"/>
  <c r="T6" i="7"/>
  <c r="U6" i="7"/>
  <c r="AA6" i="7"/>
  <c r="AB6" i="7" s="1"/>
  <c r="AL6" i="7"/>
  <c r="N7" i="7"/>
  <c r="T7" i="7"/>
  <c r="U7" i="7" s="1"/>
  <c r="AF7" i="7" s="1"/>
  <c r="AA7" i="7"/>
  <c r="AB7" i="7" s="1"/>
  <c r="AD7" i="7"/>
  <c r="AL7" i="7"/>
  <c r="AT7" i="7"/>
  <c r="N8" i="7"/>
  <c r="AT8" i="7" s="1"/>
  <c r="T8" i="7"/>
  <c r="U8" i="7" s="1"/>
  <c r="AA8" i="7"/>
  <c r="AB8" i="7" s="1"/>
  <c r="AL8" i="7"/>
  <c r="N9" i="7"/>
  <c r="AT9" i="7" s="1"/>
  <c r="T9" i="7"/>
  <c r="U9" i="7"/>
  <c r="AA9" i="7"/>
  <c r="AB9" i="7"/>
  <c r="AF9" i="7" s="1"/>
  <c r="AH9" i="7" s="1"/>
  <c r="AL9" i="7"/>
  <c r="N10" i="7"/>
  <c r="AT10" i="7" s="1"/>
  <c r="T10" i="7"/>
  <c r="U10" i="7" s="1"/>
  <c r="AA10" i="7"/>
  <c r="AB10" i="7" s="1"/>
  <c r="AL10" i="7"/>
  <c r="N11" i="7"/>
  <c r="AT11" i="7" s="1"/>
  <c r="T11" i="7"/>
  <c r="U11" i="7" s="1"/>
  <c r="AF11" i="7" s="1"/>
  <c r="AA11" i="7"/>
  <c r="AB11" i="7" s="1"/>
  <c r="AL11" i="7"/>
  <c r="N12" i="7"/>
  <c r="T12" i="7"/>
  <c r="U12" i="7"/>
  <c r="AA12" i="7"/>
  <c r="AB12" i="7" s="1"/>
  <c r="AL12" i="7"/>
  <c r="AT12" i="7"/>
  <c r="N13" i="7"/>
  <c r="AT13" i="7" s="1"/>
  <c r="T13" i="7"/>
  <c r="U13" i="7" s="1"/>
  <c r="AF13" i="7" s="1"/>
  <c r="AA13" i="7"/>
  <c r="AB13" i="7"/>
  <c r="AL13" i="7"/>
  <c r="N14" i="7"/>
  <c r="AT14" i="7" s="1"/>
  <c r="T14" i="7"/>
  <c r="U14" i="7" s="1"/>
  <c r="AA14" i="7"/>
  <c r="AB14" i="7"/>
  <c r="AL14" i="7"/>
  <c r="N15" i="7"/>
  <c r="AT15" i="7" s="1"/>
  <c r="T15" i="7"/>
  <c r="U15" i="7" s="1"/>
  <c r="AF15" i="7" s="1"/>
  <c r="AA15" i="7"/>
  <c r="AB15" i="7" s="1"/>
  <c r="AL15" i="7"/>
  <c r="N16" i="7"/>
  <c r="T16" i="7"/>
  <c r="U16" i="7"/>
  <c r="AA16" i="7"/>
  <c r="AB16" i="7" s="1"/>
  <c r="AL16" i="7"/>
  <c r="AT16" i="7"/>
  <c r="N17" i="7"/>
  <c r="AT17" i="7" s="1"/>
  <c r="T17" i="7"/>
  <c r="U17" i="7" s="1"/>
  <c r="AA17" i="7"/>
  <c r="AB17" i="7" s="1"/>
  <c r="AL17" i="7"/>
  <c r="N18" i="7"/>
  <c r="T18" i="7"/>
  <c r="U18" i="7"/>
  <c r="AF18" i="7" s="1"/>
  <c r="AH18" i="7" s="1"/>
  <c r="AA18" i="7"/>
  <c r="AB18" i="7" s="1"/>
  <c r="AL18" i="7"/>
  <c r="AT18" i="7"/>
  <c r="N19" i="7"/>
  <c r="AT19" i="7" s="1"/>
  <c r="T19" i="7"/>
  <c r="U19" i="7" s="1"/>
  <c r="AA19" i="7"/>
  <c r="AB19" i="7"/>
  <c r="AL19" i="7"/>
  <c r="N20" i="7"/>
  <c r="T20" i="7"/>
  <c r="U20" i="7"/>
  <c r="AA20" i="7"/>
  <c r="AB20" i="7" s="1"/>
  <c r="AL20" i="7"/>
  <c r="AT20" i="7"/>
  <c r="N21" i="7"/>
  <c r="AT21" i="7" s="1"/>
  <c r="T21" i="7"/>
  <c r="U21" i="7"/>
  <c r="AA21" i="7"/>
  <c r="AB21" i="7" s="1"/>
  <c r="AF21" i="7" s="1"/>
  <c r="AL21" i="7"/>
  <c r="N22" i="7"/>
  <c r="AT22" i="7" s="1"/>
  <c r="T22" i="7"/>
  <c r="U22" i="7" s="1"/>
  <c r="AA22" i="7"/>
  <c r="AB22" i="7" s="1"/>
  <c r="AF22" i="7" s="1"/>
  <c r="AL22" i="7"/>
  <c r="N23" i="7"/>
  <c r="AT23" i="7" s="1"/>
  <c r="T23" i="7"/>
  <c r="U23" i="7" s="1"/>
  <c r="AF23" i="7" s="1"/>
  <c r="AA23" i="7"/>
  <c r="AB23" i="7" s="1"/>
  <c r="AL23" i="7"/>
  <c r="N24" i="7"/>
  <c r="AT24" i="7" s="1"/>
  <c r="T24" i="7"/>
  <c r="U24" i="7"/>
  <c r="AA24" i="7"/>
  <c r="AB24" i="7" s="1"/>
  <c r="AL24" i="7"/>
  <c r="N25" i="7"/>
  <c r="AT25" i="7" s="1"/>
  <c r="T25" i="7"/>
  <c r="U25" i="7"/>
  <c r="AA25" i="7"/>
  <c r="AB25" i="7"/>
  <c r="AF25" i="7" s="1"/>
  <c r="AL25" i="7"/>
  <c r="N26" i="7"/>
  <c r="AT26" i="7" s="1"/>
  <c r="T26" i="7"/>
  <c r="U26" i="7" s="1"/>
  <c r="AA26" i="7"/>
  <c r="AB26" i="7" s="1"/>
  <c r="AL26" i="7"/>
  <c r="N27" i="7"/>
  <c r="AT27" i="7" s="1"/>
  <c r="T27" i="7"/>
  <c r="U27" i="7" s="1"/>
  <c r="AF27" i="7" s="1"/>
  <c r="AA27" i="7"/>
  <c r="AB27" i="7" s="1"/>
  <c r="AL27" i="7"/>
  <c r="N28" i="7"/>
  <c r="AT28" i="7" s="1"/>
  <c r="T28" i="7"/>
  <c r="U28" i="7"/>
  <c r="AA28" i="7"/>
  <c r="AB28" i="7" s="1"/>
  <c r="AL28" i="7"/>
  <c r="N29" i="7"/>
  <c r="T29" i="7"/>
  <c r="U29" i="7" s="1"/>
  <c r="AF29" i="7" s="1"/>
  <c r="AA29" i="7"/>
  <c r="AB29" i="7"/>
  <c r="AL29" i="7"/>
  <c r="AT29" i="7"/>
  <c r="N30" i="7"/>
  <c r="AT30" i="7" s="1"/>
  <c r="T30" i="7"/>
  <c r="U30" i="7" s="1"/>
  <c r="AA30" i="7"/>
  <c r="AB30" i="7" s="1"/>
  <c r="AL30" i="7"/>
  <c r="N31" i="7"/>
  <c r="AT31" i="7" s="1"/>
  <c r="T31" i="7"/>
  <c r="U31" i="7" s="1"/>
  <c r="AF31" i="7" s="1"/>
  <c r="AH31" i="7" s="1"/>
  <c r="AA31" i="7"/>
  <c r="AB31" i="7" s="1"/>
  <c r="AL31" i="7"/>
  <c r="N32" i="7"/>
  <c r="AT32" i="7" s="1"/>
  <c r="T32" i="7"/>
  <c r="U32" i="7" s="1"/>
  <c r="AA32" i="7"/>
  <c r="AB32" i="7" s="1"/>
  <c r="AL32" i="7"/>
  <c r="N33" i="7"/>
  <c r="AT33" i="7" s="1"/>
  <c r="T33" i="7"/>
  <c r="U33" i="7" s="1"/>
  <c r="AA33" i="7"/>
  <c r="AB33" i="7"/>
  <c r="AF33" i="7"/>
  <c r="AL33" i="7"/>
  <c r="N34" i="7"/>
  <c r="T34" i="7"/>
  <c r="U34" i="7" s="1"/>
  <c r="AF34" i="7" s="1"/>
  <c r="AA34" i="7"/>
  <c r="AB34" i="7"/>
  <c r="AL34" i="7"/>
  <c r="AT34" i="7"/>
  <c r="N35" i="7"/>
  <c r="AT35" i="7" s="1"/>
  <c r="T35" i="7"/>
  <c r="U35" i="7"/>
  <c r="AF35" i="7" s="1"/>
  <c r="AI35" i="7" s="1"/>
  <c r="AM35" i="7" s="1"/>
  <c r="AA35" i="7"/>
  <c r="AB35" i="7" s="1"/>
  <c r="AL35" i="7"/>
  <c r="N36" i="7"/>
  <c r="T36" i="7"/>
  <c r="U36" i="7" s="1"/>
  <c r="AA36" i="7"/>
  <c r="AB36" i="7"/>
  <c r="AF36" i="7"/>
  <c r="AL36" i="7"/>
  <c r="AT36" i="7"/>
  <c r="N37" i="7"/>
  <c r="AT37" i="7" s="1"/>
  <c r="T37" i="7"/>
  <c r="U37" i="7"/>
  <c r="AA37" i="7"/>
  <c r="AB37" i="7"/>
  <c r="AL37" i="7"/>
  <c r="N38" i="7"/>
  <c r="AT38" i="7" s="1"/>
  <c r="T38" i="7"/>
  <c r="U38" i="7" s="1"/>
  <c r="AF38" i="7" s="1"/>
  <c r="AA38" i="7"/>
  <c r="AB38" i="7"/>
  <c r="AL38" i="7"/>
  <c r="N39" i="7"/>
  <c r="AT39" i="7" s="1"/>
  <c r="T39" i="7"/>
  <c r="U39" i="7" s="1"/>
  <c r="AF39" i="7" s="1"/>
  <c r="AA39" i="7"/>
  <c r="AB39" i="7"/>
  <c r="AL39" i="7"/>
  <c r="N40" i="7"/>
  <c r="AT40" i="7" s="1"/>
  <c r="T40" i="7"/>
  <c r="U40" i="7" s="1"/>
  <c r="AA40" i="7"/>
  <c r="AB40" i="7"/>
  <c r="AL40" i="7"/>
  <c r="N41" i="7"/>
  <c r="AT41" i="7" s="1"/>
  <c r="T41" i="7"/>
  <c r="U41" i="7" s="1"/>
  <c r="AA41" i="7"/>
  <c r="AB41" i="7" s="1"/>
  <c r="AL41" i="7"/>
  <c r="N42" i="7"/>
  <c r="AT42" i="7" s="1"/>
  <c r="T42" i="7"/>
  <c r="U42" i="7"/>
  <c r="AF42" i="7" s="1"/>
  <c r="AA42" i="7"/>
  <c r="AB42" i="7" s="1"/>
  <c r="AL42" i="7"/>
  <c r="N43" i="7"/>
  <c r="AT43" i="7" s="1"/>
  <c r="T43" i="7"/>
  <c r="U43" i="7"/>
  <c r="AA43" i="7"/>
  <c r="AB43" i="7" s="1"/>
  <c r="AL43" i="7"/>
  <c r="N44" i="7"/>
  <c r="AT44" i="7" s="1"/>
  <c r="T44" i="7"/>
  <c r="U44" i="7"/>
  <c r="AA44" i="7"/>
  <c r="AB44" i="7"/>
  <c r="AF44" i="7" s="1"/>
  <c r="AH44" i="7" s="1"/>
  <c r="AL44" i="7"/>
  <c r="N45" i="7"/>
  <c r="AT45" i="7" s="1"/>
  <c r="T45" i="7"/>
  <c r="U45" i="7" s="1"/>
  <c r="AA45" i="7"/>
  <c r="AB45" i="7" s="1"/>
  <c r="AF45" i="7"/>
  <c r="AL45" i="7"/>
  <c r="N46" i="7"/>
  <c r="AT46" i="7" s="1"/>
  <c r="T46" i="7"/>
  <c r="U46" i="7"/>
  <c r="AA46" i="7"/>
  <c r="AB46" i="7" s="1"/>
  <c r="AL46" i="7"/>
  <c r="N47" i="7"/>
  <c r="T47" i="7"/>
  <c r="U47" i="7" s="1"/>
  <c r="AF47" i="7" s="1"/>
  <c r="AH47" i="7" s="1"/>
  <c r="AA47" i="7"/>
  <c r="AB47" i="7" s="1"/>
  <c r="AL47" i="7"/>
  <c r="AT47" i="7"/>
  <c r="N48" i="7"/>
  <c r="AT48" i="7" s="1"/>
  <c r="T48" i="7"/>
  <c r="U48" i="7" s="1"/>
  <c r="AF48" i="7" s="1"/>
  <c r="AA48" i="7"/>
  <c r="AB48" i="7" s="1"/>
  <c r="AL48" i="7"/>
  <c r="N49" i="7"/>
  <c r="AT49" i="7" s="1"/>
  <c r="T49" i="7"/>
  <c r="U49" i="7" s="1"/>
  <c r="AA49" i="7"/>
  <c r="AB49" i="7" s="1"/>
  <c r="AF49" i="7"/>
  <c r="AL49" i="7"/>
  <c r="N50" i="7"/>
  <c r="AT50" i="7" s="1"/>
  <c r="T50" i="7"/>
  <c r="U50" i="7" s="1"/>
  <c r="AA50" i="7"/>
  <c r="AB50" i="7" s="1"/>
  <c r="AL50" i="7"/>
  <c r="N51" i="7"/>
  <c r="T51" i="7"/>
  <c r="U51" i="7"/>
  <c r="AF51" i="7" s="1"/>
  <c r="AI51" i="7" s="1"/>
  <c r="AM51" i="7" s="1"/>
  <c r="AA51" i="7"/>
  <c r="AB51" i="7"/>
  <c r="AH51" i="7"/>
  <c r="AL51" i="7"/>
  <c r="AT51" i="7"/>
  <c r="N52" i="7"/>
  <c r="T52" i="7"/>
  <c r="U52" i="7" s="1"/>
  <c r="AA52" i="7"/>
  <c r="AB52" i="7" s="1"/>
  <c r="AL52" i="7"/>
  <c r="AT52" i="7"/>
  <c r="N53" i="7"/>
  <c r="AT53" i="7" s="1"/>
  <c r="T53" i="7"/>
  <c r="U53" i="7" s="1"/>
  <c r="AA53" i="7"/>
  <c r="AB53" i="7" s="1"/>
  <c r="AL53" i="7"/>
  <c r="N54" i="7"/>
  <c r="AT54" i="7" s="1"/>
  <c r="T54" i="7"/>
  <c r="U54" i="7" s="1"/>
  <c r="AA54" i="7"/>
  <c r="AB54" i="7"/>
  <c r="AL54" i="7"/>
  <c r="N55" i="7"/>
  <c r="AT55" i="7" s="1"/>
  <c r="T55" i="7"/>
  <c r="U55" i="7" s="1"/>
  <c r="AA55" i="7"/>
  <c r="AB55" i="7" s="1"/>
  <c r="AF55" i="7"/>
  <c r="AL55" i="7"/>
  <c r="N56" i="7"/>
  <c r="T56" i="7"/>
  <c r="U56" i="7" s="1"/>
  <c r="AF56" i="7" s="1"/>
  <c r="AA56" i="7"/>
  <c r="AB56" i="7" s="1"/>
  <c r="AL56" i="7"/>
  <c r="AT56" i="7"/>
  <c r="N57" i="7"/>
  <c r="AT57" i="7" s="1"/>
  <c r="T57" i="7"/>
  <c r="U57" i="7" s="1"/>
  <c r="AA57" i="7"/>
  <c r="AB57" i="7" s="1"/>
  <c r="AL57" i="7"/>
  <c r="N58" i="7"/>
  <c r="AT58" i="7" s="1"/>
  <c r="T58" i="7"/>
  <c r="U58" i="7" s="1"/>
  <c r="AF58" i="7" s="1"/>
  <c r="AH58" i="7" s="1"/>
  <c r="AA58" i="7"/>
  <c r="AB58" i="7" s="1"/>
  <c r="AL58" i="7"/>
  <c r="N59" i="7"/>
  <c r="AT59" i="7" s="1"/>
  <c r="T59" i="7"/>
  <c r="U59" i="7" s="1"/>
  <c r="AA59" i="7"/>
  <c r="AB59" i="7" s="1"/>
  <c r="AL59" i="7"/>
  <c r="N60" i="7"/>
  <c r="AT60" i="7" s="1"/>
  <c r="T60" i="7"/>
  <c r="U60" i="7"/>
  <c r="AA60" i="7"/>
  <c r="AB60" i="7" s="1"/>
  <c r="AF60" i="7" s="1"/>
  <c r="AL60" i="7"/>
  <c r="N61" i="7"/>
  <c r="AT61" i="7" s="1"/>
  <c r="T61" i="7"/>
  <c r="U61" i="7" s="1"/>
  <c r="AA61" i="7"/>
  <c r="AB61" i="7"/>
  <c r="AL61" i="7"/>
  <c r="N62" i="7"/>
  <c r="AT62" i="7" s="1"/>
  <c r="T62" i="7"/>
  <c r="U62" i="7"/>
  <c r="AF62" i="7" s="1"/>
  <c r="AI62" i="7" s="1"/>
  <c r="AM62" i="7" s="1"/>
  <c r="AA62" i="7"/>
  <c r="AB62" i="7" s="1"/>
  <c r="AH62" i="7"/>
  <c r="AL62" i="7"/>
  <c r="N63" i="7"/>
  <c r="AT63" i="7" s="1"/>
  <c r="T63" i="7"/>
  <c r="U63" i="7" s="1"/>
  <c r="AA63" i="7"/>
  <c r="AB63" i="7"/>
  <c r="AL63" i="7"/>
  <c r="N64" i="7"/>
  <c r="AT64" i="7" s="1"/>
  <c r="T64" i="7"/>
  <c r="U64" i="7" s="1"/>
  <c r="AF64" i="7" s="1"/>
  <c r="AA64" i="7"/>
  <c r="AB64" i="7" s="1"/>
  <c r="AL64" i="7"/>
  <c r="N65" i="7"/>
  <c r="AT65" i="7" s="1"/>
  <c r="T65" i="7"/>
  <c r="U65" i="7" s="1"/>
  <c r="AA65" i="7"/>
  <c r="AB65" i="7" s="1"/>
  <c r="AF65" i="7" s="1"/>
  <c r="AL65" i="7"/>
  <c r="N66" i="7"/>
  <c r="AT66" i="7" s="1"/>
  <c r="T66" i="7"/>
  <c r="U66" i="7"/>
  <c r="AA66" i="7"/>
  <c r="AB66" i="7" s="1"/>
  <c r="AL66" i="7"/>
  <c r="N67" i="7"/>
  <c r="T67" i="7"/>
  <c r="U67" i="7" s="1"/>
  <c r="AF67" i="7" s="1"/>
  <c r="AH67" i="7" s="1"/>
  <c r="AA67" i="7"/>
  <c r="AB67" i="7" s="1"/>
  <c r="AL67" i="7"/>
  <c r="AT67" i="7"/>
  <c r="N68" i="7"/>
  <c r="AT68" i="7" s="1"/>
  <c r="T68" i="7"/>
  <c r="U68" i="7" s="1"/>
  <c r="AA68" i="7"/>
  <c r="AB68" i="7" s="1"/>
  <c r="AL68" i="7"/>
  <c r="N69" i="7"/>
  <c r="T69" i="7"/>
  <c r="U69" i="7" s="1"/>
  <c r="AF69" i="7" s="1"/>
  <c r="AH69" i="7" s="1"/>
  <c r="AA69" i="7"/>
  <c r="AB69" i="7" s="1"/>
  <c r="AL69" i="7"/>
  <c r="AT69" i="7"/>
  <c r="N70" i="7"/>
  <c r="AT70" i="7" s="1"/>
  <c r="T70" i="7"/>
  <c r="U70" i="7" s="1"/>
  <c r="AA70" i="7"/>
  <c r="AB70" i="7" s="1"/>
  <c r="AL70" i="7"/>
  <c r="N71" i="7"/>
  <c r="AT71" i="7" s="1"/>
  <c r="T71" i="7"/>
  <c r="U71" i="7"/>
  <c r="AA71" i="7"/>
  <c r="AB71" i="7" s="1"/>
  <c r="AL71" i="7"/>
  <c r="N72" i="7"/>
  <c r="AT72" i="7" s="1"/>
  <c r="T72" i="7"/>
  <c r="U72" i="7" s="1"/>
  <c r="AF72" i="7" s="1"/>
  <c r="AA72" i="7"/>
  <c r="AB72" i="7" s="1"/>
  <c r="AL72" i="7"/>
  <c r="N73" i="7"/>
  <c r="AT73" i="7" s="1"/>
  <c r="T73" i="7"/>
  <c r="U73" i="7" s="1"/>
  <c r="AA73" i="7"/>
  <c r="AB73" i="7"/>
  <c r="AL73" i="7"/>
  <c r="N74" i="7"/>
  <c r="T74" i="7"/>
  <c r="U74" i="7" s="1"/>
  <c r="AA74" i="7"/>
  <c r="AB74" i="7" s="1"/>
  <c r="AL74" i="7"/>
  <c r="AT74" i="7"/>
  <c r="N75" i="7"/>
  <c r="AT75" i="7" s="1"/>
  <c r="T75" i="7"/>
  <c r="U75" i="7"/>
  <c r="AA75" i="7"/>
  <c r="AB75" i="7"/>
  <c r="AF75" i="7" s="1"/>
  <c r="AL75" i="7"/>
  <c r="N76" i="7"/>
  <c r="AT76" i="7" s="1"/>
  <c r="T76" i="7"/>
  <c r="U76" i="7"/>
  <c r="AA76" i="7"/>
  <c r="AB76" i="7"/>
  <c r="AF76" i="7" s="1"/>
  <c r="AL76" i="7"/>
  <c r="N77" i="7"/>
  <c r="AT77" i="7" s="1"/>
  <c r="T77" i="7"/>
  <c r="U77" i="7" s="1"/>
  <c r="AA77" i="7"/>
  <c r="AB77" i="7" s="1"/>
  <c r="AL77" i="7"/>
  <c r="N78" i="7"/>
  <c r="AT78" i="7" s="1"/>
  <c r="T78" i="7"/>
  <c r="U78" i="7" s="1"/>
  <c r="AA78" i="7"/>
  <c r="AB78" i="7" s="1"/>
  <c r="AF78" i="7" s="1"/>
  <c r="AL78" i="7"/>
  <c r="N79" i="7"/>
  <c r="AT79" i="7" s="1"/>
  <c r="T79" i="7"/>
  <c r="U79" i="7"/>
  <c r="AF79" i="7" s="1"/>
  <c r="AA79" i="7"/>
  <c r="AB79" i="7" s="1"/>
  <c r="AL79" i="7"/>
  <c r="N80" i="7"/>
  <c r="AT80" i="7" s="1"/>
  <c r="T80" i="7"/>
  <c r="U80" i="7"/>
  <c r="AA80" i="7"/>
  <c r="AB80" i="7"/>
  <c r="AF80" i="7" s="1"/>
  <c r="AL80" i="7"/>
  <c r="N81" i="7"/>
  <c r="AT81" i="7" s="1"/>
  <c r="T81" i="7"/>
  <c r="U81" i="7" s="1"/>
  <c r="AA81" i="7"/>
  <c r="AB81" i="7" s="1"/>
  <c r="AL81" i="7"/>
  <c r="N82" i="7"/>
  <c r="AT82" i="7" s="1"/>
  <c r="T82" i="7"/>
  <c r="U82" i="7" s="1"/>
  <c r="AA82" i="7"/>
  <c r="AB82" i="7"/>
  <c r="AL82" i="7"/>
  <c r="N83" i="7"/>
  <c r="T83" i="7"/>
  <c r="U83" i="7"/>
  <c r="AF83" i="7" s="1"/>
  <c r="AI83" i="7" s="1"/>
  <c r="AM83" i="7" s="1"/>
  <c r="AA83" i="7"/>
  <c r="AB83" i="7" s="1"/>
  <c r="AL83" i="7"/>
  <c r="AT83" i="7"/>
  <c r="N84" i="7"/>
  <c r="AT84" i="7" s="1"/>
  <c r="T84" i="7"/>
  <c r="U84" i="7"/>
  <c r="AF84" i="7" s="1"/>
  <c r="AA84" i="7"/>
  <c r="AB84" i="7" s="1"/>
  <c r="AL84" i="7"/>
  <c r="N85" i="7"/>
  <c r="AT85" i="7" s="1"/>
  <c r="T85" i="7"/>
  <c r="U85" i="7"/>
  <c r="AF85" i="7" s="1"/>
  <c r="AH85" i="7" s="1"/>
  <c r="AA85" i="7"/>
  <c r="AB85" i="7" s="1"/>
  <c r="AI85" i="7"/>
  <c r="AM85" i="7" s="1"/>
  <c r="AL85" i="7"/>
  <c r="N86" i="7"/>
  <c r="AT86" i="7" s="1"/>
  <c r="T86" i="7"/>
  <c r="U86" i="7"/>
  <c r="AA86" i="7"/>
  <c r="AB86" i="7"/>
  <c r="AF86" i="7" s="1"/>
  <c r="AL86" i="7"/>
  <c r="N87" i="7"/>
  <c r="AT87" i="7" s="1"/>
  <c r="T87" i="7"/>
  <c r="U87" i="7" s="1"/>
  <c r="AF87" i="7" s="1"/>
  <c r="AA87" i="7"/>
  <c r="AB87" i="7" s="1"/>
  <c r="AL87" i="7"/>
  <c r="N88" i="7"/>
  <c r="AT88" i="7" s="1"/>
  <c r="T88" i="7"/>
  <c r="U88" i="7"/>
  <c r="AF88" i="7" s="1"/>
  <c r="AA88" i="7"/>
  <c r="AB88" i="7" s="1"/>
  <c r="AL88" i="7"/>
  <c r="N89" i="7"/>
  <c r="AT89" i="7" s="1"/>
  <c r="T89" i="7"/>
  <c r="U89" i="7" s="1"/>
  <c r="AA89" i="7"/>
  <c r="AB89" i="7" s="1"/>
  <c r="AF89" i="7"/>
  <c r="AL89" i="7"/>
  <c r="N90" i="7"/>
  <c r="AT90" i="7" s="1"/>
  <c r="T90" i="7"/>
  <c r="U90" i="7" s="1"/>
  <c r="AA90" i="7"/>
  <c r="AB90" i="7" s="1"/>
  <c r="AL90" i="7"/>
  <c r="N91" i="7"/>
  <c r="T91" i="7"/>
  <c r="U91" i="7"/>
  <c r="AF91" i="7" s="1"/>
  <c r="AA91" i="7"/>
  <c r="AB91" i="7"/>
  <c r="AL91" i="7"/>
  <c r="AT91" i="7"/>
  <c r="N92" i="7"/>
  <c r="AT92" i="7" s="1"/>
  <c r="T92" i="7"/>
  <c r="U92" i="7" s="1"/>
  <c r="AA92" i="7"/>
  <c r="AB92" i="7" s="1"/>
  <c r="AL92" i="7"/>
  <c r="N93" i="7"/>
  <c r="AT93" i="7" s="1"/>
  <c r="T93" i="7"/>
  <c r="U93" i="7"/>
  <c r="AF93" i="7" s="1"/>
  <c r="AA93" i="7"/>
  <c r="AB93" i="7" s="1"/>
  <c r="AL93" i="7"/>
  <c r="N94" i="7"/>
  <c r="AT94" i="7" s="1"/>
  <c r="T94" i="7"/>
  <c r="U94" i="7" s="1"/>
  <c r="AA94" i="7"/>
  <c r="AB94" i="7" s="1"/>
  <c r="AL94" i="7"/>
  <c r="N95" i="7"/>
  <c r="AT95" i="7" s="1"/>
  <c r="T95" i="7"/>
  <c r="U95" i="7"/>
  <c r="AF95" i="7" s="1"/>
  <c r="AI95" i="7" s="1"/>
  <c r="AM95" i="7" s="1"/>
  <c r="AA95" i="7"/>
  <c r="AB95" i="7"/>
  <c r="AH95" i="7"/>
  <c r="AL95" i="7"/>
  <c r="N96" i="7"/>
  <c r="T96" i="7"/>
  <c r="U96" i="7"/>
  <c r="AF96" i="7" s="1"/>
  <c r="AI96" i="7" s="1"/>
  <c r="AM96" i="7" s="1"/>
  <c r="AA96" i="7"/>
  <c r="AB96" i="7"/>
  <c r="AL96" i="7"/>
  <c r="AT96" i="7"/>
  <c r="N97" i="7"/>
  <c r="AT97" i="7" s="1"/>
  <c r="T97" i="7"/>
  <c r="U97" i="7"/>
  <c r="AA97" i="7"/>
  <c r="AB97" i="7"/>
  <c r="AL97" i="7"/>
  <c r="N98" i="7"/>
  <c r="T98" i="7"/>
  <c r="U98" i="7"/>
  <c r="AF98" i="7" s="1"/>
  <c r="AH98" i="7" s="1"/>
  <c r="AA98" i="7"/>
  <c r="AB98" i="7"/>
  <c r="AL98" i="7"/>
  <c r="AT98" i="7"/>
  <c r="N99" i="7"/>
  <c r="AT99" i="7" s="1"/>
  <c r="T99" i="7"/>
  <c r="U99" i="7"/>
  <c r="AF99" i="7" s="1"/>
  <c r="AA99" i="7"/>
  <c r="AB99" i="7"/>
  <c r="AL99" i="7"/>
  <c r="N100" i="7"/>
  <c r="AT100" i="7" s="1"/>
  <c r="T100" i="7"/>
  <c r="U100" i="7" s="1"/>
  <c r="AA100" i="7"/>
  <c r="AB100" i="7"/>
  <c r="AF100" i="7" s="1"/>
  <c r="AL100" i="7"/>
  <c r="N101" i="7"/>
  <c r="AT101" i="7" s="1"/>
  <c r="T101" i="7"/>
  <c r="U101" i="7" s="1"/>
  <c r="AF101" i="7" s="1"/>
  <c r="AA101" i="7"/>
  <c r="AB101" i="7"/>
  <c r="AL101" i="7"/>
  <c r="N102" i="7"/>
  <c r="AT102" i="7" s="1"/>
  <c r="T102" i="7"/>
  <c r="U102" i="7" s="1"/>
  <c r="AF102" i="7" s="1"/>
  <c r="AH102" i="7" s="1"/>
  <c r="AA102" i="7"/>
  <c r="AB102" i="7" s="1"/>
  <c r="AI102" i="7"/>
  <c r="AM102" i="7" s="1"/>
  <c r="AL102" i="7"/>
  <c r="N103" i="7"/>
  <c r="T103" i="7"/>
  <c r="U103" i="7" s="1"/>
  <c r="AA103" i="7"/>
  <c r="AB103" i="7"/>
  <c r="AF103" i="7"/>
  <c r="AL103" i="7"/>
  <c r="AT103" i="7"/>
  <c r="N104" i="7"/>
  <c r="AT104" i="7" s="1"/>
  <c r="T104" i="7"/>
  <c r="U104" i="7"/>
  <c r="AF104" i="7" s="1"/>
  <c r="AI104" i="7" s="1"/>
  <c r="AM104" i="7" s="1"/>
  <c r="AA104" i="7"/>
  <c r="AB104" i="7"/>
  <c r="AH104" i="7"/>
  <c r="AL104" i="7"/>
  <c r="N105" i="7"/>
  <c r="T105" i="7"/>
  <c r="U105" i="7"/>
  <c r="AF105" i="7" s="1"/>
  <c r="AI105" i="7" s="1"/>
  <c r="AM105" i="7" s="1"/>
  <c r="AA105" i="7"/>
  <c r="AB105" i="7"/>
  <c r="AH105" i="7"/>
  <c r="AL105" i="7"/>
  <c r="AT105" i="7"/>
  <c r="N106" i="7"/>
  <c r="AT106" i="7" s="1"/>
  <c r="T106" i="7"/>
  <c r="U106" i="7" s="1"/>
  <c r="AF106" i="7" s="1"/>
  <c r="AA106" i="7"/>
  <c r="AB106" i="7" s="1"/>
  <c r="AL106" i="7"/>
  <c r="N107" i="7"/>
  <c r="AT107" i="7" s="1"/>
  <c r="T107" i="7"/>
  <c r="U107" i="7"/>
  <c r="AA107" i="7"/>
  <c r="AB107" i="7"/>
  <c r="AF107" i="7" s="1"/>
  <c r="AL107" i="7"/>
  <c r="N108" i="7"/>
  <c r="AT108" i="7" s="1"/>
  <c r="T108" i="7"/>
  <c r="U108" i="7" s="1"/>
  <c r="AA108" i="7"/>
  <c r="AB108" i="7" s="1"/>
  <c r="AL108" i="7"/>
  <c r="N109" i="7"/>
  <c r="AT109" i="7" s="1"/>
  <c r="T109" i="7"/>
  <c r="U109" i="7"/>
  <c r="AA109" i="7"/>
  <c r="AB109" i="7"/>
  <c r="AF109" i="7" s="1"/>
  <c r="AH109" i="7" s="1"/>
  <c r="AL109" i="7"/>
  <c r="N110" i="7"/>
  <c r="AT110" i="7" s="1"/>
  <c r="T110" i="7"/>
  <c r="U110" i="7" s="1"/>
  <c r="AA110" i="7"/>
  <c r="AB110" i="7" s="1"/>
  <c r="AL110" i="7"/>
  <c r="N111" i="7"/>
  <c r="AT111" i="7" s="1"/>
  <c r="T111" i="7"/>
  <c r="U111" i="7" s="1"/>
  <c r="AF111" i="7" s="1"/>
  <c r="AA111" i="7"/>
  <c r="AB111" i="7"/>
  <c r="AL111" i="7"/>
  <c r="N112" i="7"/>
  <c r="T112" i="7"/>
  <c r="U112" i="7" s="1"/>
  <c r="AA112" i="7"/>
  <c r="AB112" i="7" s="1"/>
  <c r="AL112" i="7"/>
  <c r="AT112" i="7"/>
  <c r="N113" i="7"/>
  <c r="AT113" i="7" s="1"/>
  <c r="T113" i="7"/>
  <c r="U113" i="7" s="1"/>
  <c r="AF113" i="7" s="1"/>
  <c r="AA113" i="7"/>
  <c r="AB113" i="7"/>
  <c r="AL113" i="7"/>
  <c r="N114" i="7"/>
  <c r="T114" i="7"/>
  <c r="U114" i="7" s="1"/>
  <c r="AA114" i="7"/>
  <c r="AB114" i="7"/>
  <c r="AL114" i="7"/>
  <c r="AT114" i="7"/>
  <c r="N115" i="7"/>
  <c r="AT115" i="7" s="1"/>
  <c r="T115" i="7"/>
  <c r="U115" i="7" s="1"/>
  <c r="AA115" i="7"/>
  <c r="AB115" i="7" s="1"/>
  <c r="AF115" i="7" s="1"/>
  <c r="AL115" i="7"/>
  <c r="N116" i="7"/>
  <c r="T116" i="7"/>
  <c r="U116" i="7" s="1"/>
  <c r="AA116" i="7"/>
  <c r="AB116" i="7" s="1"/>
  <c r="AF116" i="7"/>
  <c r="AL116" i="7"/>
  <c r="AT116" i="7"/>
  <c r="N117" i="7"/>
  <c r="AT117" i="7" s="1"/>
  <c r="T117" i="7"/>
  <c r="U117" i="7" s="1"/>
  <c r="AA117" i="7"/>
  <c r="AB117" i="7"/>
  <c r="AL117" i="7"/>
  <c r="N118" i="7"/>
  <c r="T118" i="7"/>
  <c r="U118" i="7"/>
  <c r="AF118" i="7" s="1"/>
  <c r="AI118" i="7" s="1"/>
  <c r="AM118" i="7" s="1"/>
  <c r="AA118" i="7"/>
  <c r="AB118" i="7"/>
  <c r="AL118" i="7"/>
  <c r="AT118" i="7"/>
  <c r="N119" i="7"/>
  <c r="AT119" i="7" s="1"/>
  <c r="T119" i="7"/>
  <c r="U119" i="7" s="1"/>
  <c r="AA119" i="7"/>
  <c r="AB119" i="7" s="1"/>
  <c r="AL119" i="7"/>
  <c r="N120" i="7"/>
  <c r="AT120" i="7" s="1"/>
  <c r="T120" i="7"/>
  <c r="U120" i="7" s="1"/>
  <c r="AA120" i="7"/>
  <c r="AB120" i="7" s="1"/>
  <c r="AL120" i="7"/>
  <c r="N121" i="7"/>
  <c r="AT121" i="7" s="1"/>
  <c r="T121" i="7"/>
  <c r="U121" i="7"/>
  <c r="AF121" i="7" s="1"/>
  <c r="AA121" i="7"/>
  <c r="AB121" i="7"/>
  <c r="AL121" i="7"/>
  <c r="N122" i="7"/>
  <c r="AT122" i="7" s="1"/>
  <c r="T122" i="7"/>
  <c r="U122" i="7" s="1"/>
  <c r="AA122" i="7"/>
  <c r="AB122" i="7"/>
  <c r="AL122" i="7"/>
  <c r="N123" i="7"/>
  <c r="T123" i="7"/>
  <c r="U123" i="7" s="1"/>
  <c r="AF123" i="7" s="1"/>
  <c r="AH123" i="7" s="1"/>
  <c r="AA123" i="7"/>
  <c r="AB123" i="7" s="1"/>
  <c r="AL123" i="7"/>
  <c r="AT123" i="7"/>
  <c r="N124" i="7"/>
  <c r="AT124" i="7" s="1"/>
  <c r="T124" i="7"/>
  <c r="U124" i="7" s="1"/>
  <c r="AF124" i="7" s="1"/>
  <c r="AA124" i="7"/>
  <c r="AB124" i="7"/>
  <c r="AL124" i="7"/>
  <c r="N125" i="7"/>
  <c r="AT125" i="7" s="1"/>
  <c r="T125" i="7"/>
  <c r="U125" i="7" s="1"/>
  <c r="AA125" i="7"/>
  <c r="AB125" i="7"/>
  <c r="AL125" i="7"/>
  <c r="N126" i="7"/>
  <c r="AT126" i="7" s="1"/>
  <c r="T126" i="7"/>
  <c r="U126" i="7" s="1"/>
  <c r="AF126" i="7" s="1"/>
  <c r="AA126" i="7"/>
  <c r="AB126" i="7" s="1"/>
  <c r="AL126" i="7"/>
  <c r="N127" i="7"/>
  <c r="T127" i="7"/>
  <c r="U127" i="7"/>
  <c r="AF127" i="7" s="1"/>
  <c r="AI127" i="7" s="1"/>
  <c r="AM127" i="7" s="1"/>
  <c r="AA127" i="7"/>
  <c r="AB127" i="7"/>
  <c r="AL127" i="7"/>
  <c r="AT127" i="7"/>
  <c r="N128" i="7"/>
  <c r="AT128" i="7" s="1"/>
  <c r="T128" i="7"/>
  <c r="U128" i="7" s="1"/>
  <c r="AA128" i="7"/>
  <c r="AB128" i="7" s="1"/>
  <c r="AL128" i="7"/>
  <c r="N129" i="7"/>
  <c r="T129" i="7"/>
  <c r="U129" i="7"/>
  <c r="AF129" i="7" s="1"/>
  <c r="AI129" i="7" s="1"/>
  <c r="AM129" i="7" s="1"/>
  <c r="AA129" i="7"/>
  <c r="AB129" i="7"/>
  <c r="AH129" i="7"/>
  <c r="AL129" i="7"/>
  <c r="AT129" i="7"/>
  <c r="N130" i="7"/>
  <c r="AT130" i="7" s="1"/>
  <c r="T130" i="7"/>
  <c r="U130" i="7" s="1"/>
  <c r="AA130" i="7"/>
  <c r="AB130" i="7" s="1"/>
  <c r="AL130" i="7"/>
  <c r="N131" i="7"/>
  <c r="AT131" i="7" s="1"/>
  <c r="T131" i="7"/>
  <c r="U131" i="7"/>
  <c r="AA131" i="7"/>
  <c r="AB131" i="7" s="1"/>
  <c r="AL131" i="7"/>
  <c r="N132" i="7"/>
  <c r="AT132" i="7" s="1"/>
  <c r="T132" i="7"/>
  <c r="U132" i="7" s="1"/>
  <c r="AA132" i="7"/>
  <c r="AB132" i="7" s="1"/>
  <c r="AL132" i="7"/>
  <c r="N133" i="7"/>
  <c r="AT133" i="7" s="1"/>
  <c r="T133" i="7"/>
  <c r="U133" i="7" s="1"/>
  <c r="AF133" i="7" s="1"/>
  <c r="AA133" i="7"/>
  <c r="AB133" i="7" s="1"/>
  <c r="AL133" i="7"/>
  <c r="N134" i="7"/>
  <c r="T134" i="7"/>
  <c r="U134" i="7" s="1"/>
  <c r="AF134" i="7" s="1"/>
  <c r="AA134" i="7"/>
  <c r="AB134" i="7"/>
  <c r="AL134" i="7"/>
  <c r="AT134" i="7"/>
  <c r="N135" i="7"/>
  <c r="AT135" i="7" s="1"/>
  <c r="T135" i="7"/>
  <c r="U135" i="7"/>
  <c r="AA135" i="7"/>
  <c r="AB135" i="7" s="1"/>
  <c r="AL135" i="7"/>
  <c r="N136" i="7"/>
  <c r="AT136" i="7" s="1"/>
  <c r="T136" i="7"/>
  <c r="U136" i="7"/>
  <c r="AF136" i="7" s="1"/>
  <c r="AH136" i="7" s="1"/>
  <c r="AA136" i="7"/>
  <c r="AB136" i="7" s="1"/>
  <c r="AL136" i="7"/>
  <c r="N137" i="7"/>
  <c r="AT137" i="7" s="1"/>
  <c r="T137" i="7"/>
  <c r="U137" i="7" s="1"/>
  <c r="AA137" i="7"/>
  <c r="AB137" i="7" s="1"/>
  <c r="AL137" i="7"/>
  <c r="N138" i="7"/>
  <c r="T138" i="7"/>
  <c r="U138" i="7"/>
  <c r="AF138" i="7" s="1"/>
  <c r="AH138" i="7" s="1"/>
  <c r="AA138" i="7"/>
  <c r="AB138" i="7" s="1"/>
  <c r="AL138" i="7"/>
  <c r="AT138" i="7"/>
  <c r="N139" i="7"/>
  <c r="AT139" i="7" s="1"/>
  <c r="T139" i="7"/>
  <c r="U139" i="7"/>
  <c r="AA139" i="7"/>
  <c r="AB139" i="7" s="1"/>
  <c r="AL139" i="7"/>
  <c r="N140" i="7"/>
  <c r="T140" i="7"/>
  <c r="U140" i="7" s="1"/>
  <c r="AA140" i="7"/>
  <c r="AB140" i="7"/>
  <c r="AL140" i="7"/>
  <c r="AT140" i="7"/>
  <c r="I2" i="6"/>
  <c r="AA8" i="6" s="1"/>
  <c r="AB8" i="6" s="1"/>
  <c r="N5" i="6"/>
  <c r="T5" i="6"/>
  <c r="U5" i="6" s="1"/>
  <c r="AL5" i="6"/>
  <c r="AT5" i="6"/>
  <c r="N6" i="6"/>
  <c r="AT6" i="6" s="1"/>
  <c r="T6" i="6"/>
  <c r="U6" i="6"/>
  <c r="AA6" i="6"/>
  <c r="AB6" i="6" s="1"/>
  <c r="AL6" i="6"/>
  <c r="N7" i="6"/>
  <c r="AT7" i="6" s="1"/>
  <c r="T7" i="6"/>
  <c r="U7" i="6" s="1"/>
  <c r="AA7" i="6"/>
  <c r="AB7" i="6" s="1"/>
  <c r="AD7" i="6"/>
  <c r="AL7" i="6"/>
  <c r="N8" i="6"/>
  <c r="AT8" i="6" s="1"/>
  <c r="T8" i="6"/>
  <c r="U8" i="6" s="1"/>
  <c r="AL8" i="6"/>
  <c r="N9" i="6"/>
  <c r="T9" i="6"/>
  <c r="U9" i="6" s="1"/>
  <c r="AL9" i="6"/>
  <c r="AT9" i="6"/>
  <c r="N10" i="6"/>
  <c r="AT10" i="6" s="1"/>
  <c r="T10" i="6"/>
  <c r="U10" i="6" s="1"/>
  <c r="AA10" i="6"/>
  <c r="AB10" i="6" s="1"/>
  <c r="AL10" i="6"/>
  <c r="N11" i="6"/>
  <c r="AT11" i="6" s="1"/>
  <c r="T11" i="6"/>
  <c r="U11" i="6" s="1"/>
  <c r="AL11" i="6"/>
  <c r="N12" i="6"/>
  <c r="AT12" i="6" s="1"/>
  <c r="T12" i="6"/>
  <c r="U12" i="6" s="1"/>
  <c r="AL12" i="6"/>
  <c r="N13" i="6"/>
  <c r="AT13" i="6" s="1"/>
  <c r="T13" i="6"/>
  <c r="U13" i="6" s="1"/>
  <c r="AA13" i="6"/>
  <c r="AB13" i="6"/>
  <c r="AL13" i="6"/>
  <c r="N14" i="6"/>
  <c r="T14" i="6"/>
  <c r="U14" i="6"/>
  <c r="AA14" i="6"/>
  <c r="AB14" i="6" s="1"/>
  <c r="AF14" i="6" s="1"/>
  <c r="AH14" i="6" s="1"/>
  <c r="AI14" i="6"/>
  <c r="AM14" i="6" s="1"/>
  <c r="AL14" i="6"/>
  <c r="AT14" i="6"/>
  <c r="N15" i="6"/>
  <c r="AT15" i="6" s="1"/>
  <c r="T15" i="6"/>
  <c r="U15" i="6" s="1"/>
  <c r="AL15" i="6"/>
  <c r="N16" i="6"/>
  <c r="T16" i="6"/>
  <c r="U16" i="6" s="1"/>
  <c r="AL16" i="6"/>
  <c r="AT16" i="6"/>
  <c r="N17" i="6"/>
  <c r="AT17" i="6" s="1"/>
  <c r="T17" i="6"/>
  <c r="U17" i="6" s="1"/>
  <c r="AA17" i="6"/>
  <c r="AB17" i="6" s="1"/>
  <c r="AL17" i="6"/>
  <c r="N18" i="6"/>
  <c r="AT18" i="6" s="1"/>
  <c r="T18" i="6"/>
  <c r="U18" i="6"/>
  <c r="AA18" i="6"/>
  <c r="AB18" i="6" s="1"/>
  <c r="AL18" i="6"/>
  <c r="N19" i="6"/>
  <c r="AT19" i="6" s="1"/>
  <c r="T19" i="6"/>
  <c r="U19" i="6" s="1"/>
  <c r="AA19" i="6"/>
  <c r="AB19" i="6" s="1"/>
  <c r="AL19" i="6"/>
  <c r="N20" i="6"/>
  <c r="T20" i="6"/>
  <c r="U20" i="6" s="1"/>
  <c r="AA20" i="6"/>
  <c r="AB20" i="6" s="1"/>
  <c r="AF20" i="6"/>
  <c r="AL20" i="6"/>
  <c r="AT20" i="6"/>
  <c r="N21" i="6"/>
  <c r="AT21" i="6" s="1"/>
  <c r="T21" i="6"/>
  <c r="U21" i="6" s="1"/>
  <c r="AL21" i="6"/>
  <c r="N22" i="6"/>
  <c r="AT22" i="6" s="1"/>
  <c r="T22" i="6"/>
  <c r="U22" i="6" s="1"/>
  <c r="AA22" i="6"/>
  <c r="AB22" i="6" s="1"/>
  <c r="AL22" i="6"/>
  <c r="N23" i="6"/>
  <c r="AT23" i="6" s="1"/>
  <c r="T23" i="6"/>
  <c r="U23" i="6"/>
  <c r="AA23" i="6"/>
  <c r="AB23" i="6" s="1"/>
  <c r="AF23" i="6"/>
  <c r="AH23" i="6" s="1"/>
  <c r="AL23" i="6"/>
  <c r="N24" i="6"/>
  <c r="AT24" i="6" s="1"/>
  <c r="T24" i="6"/>
  <c r="U24" i="6" s="1"/>
  <c r="AA24" i="6"/>
  <c r="AB24" i="6"/>
  <c r="AL24" i="6"/>
  <c r="N25" i="6"/>
  <c r="AT25" i="6" s="1"/>
  <c r="T25" i="6"/>
  <c r="U25" i="6" s="1"/>
  <c r="AA25" i="6"/>
  <c r="AB25" i="6" s="1"/>
  <c r="AL25" i="6"/>
  <c r="N26" i="6"/>
  <c r="AT26" i="6" s="1"/>
  <c r="T26" i="6"/>
  <c r="U26" i="6" s="1"/>
  <c r="AA26" i="6"/>
  <c r="AB26" i="6" s="1"/>
  <c r="AF26" i="6" s="1"/>
  <c r="AL26" i="6"/>
  <c r="N27" i="6"/>
  <c r="AT27" i="6" s="1"/>
  <c r="T27" i="6"/>
  <c r="U27" i="6" s="1"/>
  <c r="AA27" i="6"/>
  <c r="AB27" i="6" s="1"/>
  <c r="AL27" i="6"/>
  <c r="N28" i="6"/>
  <c r="AT28" i="6" s="1"/>
  <c r="T28" i="6"/>
  <c r="U28" i="6" s="1"/>
  <c r="AA28" i="6"/>
  <c r="AB28" i="6" s="1"/>
  <c r="AL28" i="6"/>
  <c r="N29" i="6"/>
  <c r="T29" i="6"/>
  <c r="U29" i="6" s="1"/>
  <c r="AA29" i="6"/>
  <c r="AB29" i="6" s="1"/>
  <c r="AL29" i="6"/>
  <c r="AT29" i="6"/>
  <c r="N30" i="6"/>
  <c r="AT30" i="6" s="1"/>
  <c r="T30" i="6"/>
  <c r="U30" i="6" s="1"/>
  <c r="AL30" i="6"/>
  <c r="N31" i="6"/>
  <c r="T31" i="6"/>
  <c r="U31" i="6"/>
  <c r="AA31" i="6"/>
  <c r="AB31" i="6"/>
  <c r="AF31" i="6"/>
  <c r="AL31" i="6"/>
  <c r="AT31" i="6"/>
  <c r="N32" i="6"/>
  <c r="AT32" i="6" s="1"/>
  <c r="T32" i="6"/>
  <c r="U32" i="6" s="1"/>
  <c r="AA32" i="6"/>
  <c r="AB32" i="6"/>
  <c r="AL32" i="6"/>
  <c r="N33" i="6"/>
  <c r="AT33" i="6" s="1"/>
  <c r="T33" i="6"/>
  <c r="U33" i="6" s="1"/>
  <c r="AA33" i="6"/>
  <c r="AB33" i="6" s="1"/>
  <c r="AL33" i="6"/>
  <c r="N34" i="6"/>
  <c r="T34" i="6"/>
  <c r="U34" i="6"/>
  <c r="AA34" i="6"/>
  <c r="AB34" i="6"/>
  <c r="AF34" i="6" s="1"/>
  <c r="AL34" i="6"/>
  <c r="AT34" i="6"/>
  <c r="N35" i="6"/>
  <c r="AT35" i="6" s="1"/>
  <c r="T35" i="6"/>
  <c r="U35" i="6"/>
  <c r="AA35" i="6"/>
  <c r="AB35" i="6" s="1"/>
  <c r="AL35" i="6"/>
  <c r="N36" i="6"/>
  <c r="T36" i="6"/>
  <c r="U36" i="6" s="1"/>
  <c r="AF36" i="6" s="1"/>
  <c r="AA36" i="6"/>
  <c r="AB36" i="6" s="1"/>
  <c r="AL36" i="6"/>
  <c r="AT36" i="6"/>
  <c r="N37" i="6"/>
  <c r="AT37" i="6" s="1"/>
  <c r="T37" i="6"/>
  <c r="U37" i="6" s="1"/>
  <c r="AF37" i="6" s="1"/>
  <c r="AA37" i="6"/>
  <c r="AB37" i="6" s="1"/>
  <c r="AL37" i="6"/>
  <c r="N38" i="6"/>
  <c r="T38" i="6"/>
  <c r="U38" i="6" s="1"/>
  <c r="AA38" i="6"/>
  <c r="AB38" i="6" s="1"/>
  <c r="AL38" i="6"/>
  <c r="AT38" i="6"/>
  <c r="N39" i="6"/>
  <c r="AT39" i="6" s="1"/>
  <c r="T39" i="6"/>
  <c r="U39" i="6" s="1"/>
  <c r="AA39" i="6"/>
  <c r="AB39" i="6" s="1"/>
  <c r="AL39" i="6"/>
  <c r="N40" i="6"/>
  <c r="T40" i="6"/>
  <c r="U40" i="6" s="1"/>
  <c r="AA40" i="6"/>
  <c r="AB40" i="6" s="1"/>
  <c r="AL40" i="6"/>
  <c r="AT40" i="6"/>
  <c r="N41" i="6"/>
  <c r="T41" i="6"/>
  <c r="U41" i="6" s="1"/>
  <c r="AA41" i="6"/>
  <c r="AB41" i="6" s="1"/>
  <c r="AL41" i="6"/>
  <c r="AT41" i="6"/>
  <c r="N42" i="6"/>
  <c r="T42" i="6"/>
  <c r="U42" i="6" s="1"/>
  <c r="AF42" i="6" s="1"/>
  <c r="AA42" i="6"/>
  <c r="AB42" i="6"/>
  <c r="AL42" i="6"/>
  <c r="AT42" i="6"/>
  <c r="N43" i="6"/>
  <c r="T43" i="6"/>
  <c r="U43" i="6"/>
  <c r="AA43" i="6"/>
  <c r="AB43" i="6" s="1"/>
  <c r="AF43" i="6" s="1"/>
  <c r="AL43" i="6"/>
  <c r="AT43" i="6"/>
  <c r="N44" i="6"/>
  <c r="AT44" i="6" s="1"/>
  <c r="T44" i="6"/>
  <c r="U44" i="6"/>
  <c r="AA44" i="6"/>
  <c r="AB44" i="6"/>
  <c r="AF44" i="6" s="1"/>
  <c r="AL44" i="6"/>
  <c r="N45" i="6"/>
  <c r="T45" i="6"/>
  <c r="U45" i="6"/>
  <c r="AA45" i="6"/>
  <c r="AB45" i="6" s="1"/>
  <c r="AL45" i="6"/>
  <c r="AT45" i="6"/>
  <c r="N46" i="6"/>
  <c r="AT46" i="6" s="1"/>
  <c r="T46" i="6"/>
  <c r="U46" i="6"/>
  <c r="AA46" i="6"/>
  <c r="AB46" i="6" s="1"/>
  <c r="AF46" i="6" s="1"/>
  <c r="AL46" i="6"/>
  <c r="N47" i="6"/>
  <c r="AT47" i="6" s="1"/>
  <c r="T47" i="6"/>
  <c r="U47" i="6" s="1"/>
  <c r="AA47" i="6"/>
  <c r="AB47" i="6" s="1"/>
  <c r="AL47" i="6"/>
  <c r="N48" i="6"/>
  <c r="AT48" i="6" s="1"/>
  <c r="T48" i="6"/>
  <c r="U48" i="6" s="1"/>
  <c r="AA48" i="6"/>
  <c r="AB48" i="6" s="1"/>
  <c r="AL48" i="6"/>
  <c r="N49" i="6"/>
  <c r="T49" i="6"/>
  <c r="U49" i="6"/>
  <c r="AA49" i="6"/>
  <c r="AB49" i="6" s="1"/>
  <c r="AF49" i="6" s="1"/>
  <c r="AL49" i="6"/>
  <c r="AT49" i="6"/>
  <c r="N50" i="6"/>
  <c r="AT50" i="6" s="1"/>
  <c r="T50" i="6"/>
  <c r="U50" i="6" s="1"/>
  <c r="AA50" i="6"/>
  <c r="AB50" i="6" s="1"/>
  <c r="AL50" i="6"/>
  <c r="N51" i="6"/>
  <c r="AT51" i="6" s="1"/>
  <c r="T51" i="6"/>
  <c r="U51" i="6" s="1"/>
  <c r="AA51" i="6"/>
  <c r="AB51" i="6" s="1"/>
  <c r="AF51" i="6" s="1"/>
  <c r="AL51" i="6"/>
  <c r="N52" i="6"/>
  <c r="AT52" i="6" s="1"/>
  <c r="T52" i="6"/>
  <c r="U52" i="6" s="1"/>
  <c r="AA52" i="6"/>
  <c r="AB52" i="6" s="1"/>
  <c r="AL52" i="6"/>
  <c r="N53" i="6"/>
  <c r="AT53" i="6" s="1"/>
  <c r="T53" i="6"/>
  <c r="U53" i="6"/>
  <c r="AA53" i="6"/>
  <c r="AB53" i="6"/>
  <c r="AF53" i="6" s="1"/>
  <c r="AL53" i="6"/>
  <c r="N54" i="6"/>
  <c r="T54" i="6"/>
  <c r="U54" i="6"/>
  <c r="AA54" i="6"/>
  <c r="AB54" i="6" s="1"/>
  <c r="AF54" i="6" s="1"/>
  <c r="AL54" i="6"/>
  <c r="AT54" i="6"/>
  <c r="N55" i="6"/>
  <c r="AT55" i="6" s="1"/>
  <c r="T55" i="6"/>
  <c r="U55" i="6" s="1"/>
  <c r="AA55" i="6"/>
  <c r="AB55" i="6" s="1"/>
  <c r="AL55" i="6"/>
  <c r="N56" i="6"/>
  <c r="T56" i="6"/>
  <c r="U56" i="6"/>
  <c r="AA56" i="6"/>
  <c r="AB56" i="6"/>
  <c r="AF56" i="6" s="1"/>
  <c r="AH56" i="6" s="1"/>
  <c r="AL56" i="6"/>
  <c r="AT56" i="6"/>
  <c r="N57" i="6"/>
  <c r="AT57" i="6" s="1"/>
  <c r="T57" i="6"/>
  <c r="U57" i="6" s="1"/>
  <c r="AA57" i="6"/>
  <c r="AB57" i="6" s="1"/>
  <c r="AL57" i="6"/>
  <c r="N58" i="6"/>
  <c r="AT58" i="6" s="1"/>
  <c r="T58" i="6"/>
  <c r="U58" i="6" s="1"/>
  <c r="AF58" i="6" s="1"/>
  <c r="AA58" i="6"/>
  <c r="AB58" i="6" s="1"/>
  <c r="AL58" i="6"/>
  <c r="N59" i="6"/>
  <c r="AT59" i="6" s="1"/>
  <c r="T59" i="6"/>
  <c r="U59" i="6"/>
  <c r="AA59" i="6"/>
  <c r="AB59" i="6" s="1"/>
  <c r="AL59" i="6"/>
  <c r="N60" i="6"/>
  <c r="AT60" i="6" s="1"/>
  <c r="T60" i="6"/>
  <c r="U60" i="6" s="1"/>
  <c r="AA60" i="6"/>
  <c r="AB60" i="6" s="1"/>
  <c r="AL60" i="6"/>
  <c r="N61" i="6"/>
  <c r="AT61" i="6" s="1"/>
  <c r="T61" i="6"/>
  <c r="U61" i="6" s="1"/>
  <c r="AA61" i="6"/>
  <c r="AB61" i="6"/>
  <c r="AL61" i="6"/>
  <c r="N62" i="6"/>
  <c r="AT62" i="6" s="1"/>
  <c r="T62" i="6"/>
  <c r="U62" i="6" s="1"/>
  <c r="AA62" i="6"/>
  <c r="AB62" i="6" s="1"/>
  <c r="AL62" i="6"/>
  <c r="N63" i="6"/>
  <c r="T63" i="6"/>
  <c r="U63" i="6" s="1"/>
  <c r="AA63" i="6"/>
  <c r="AB63" i="6" s="1"/>
  <c r="AL63" i="6"/>
  <c r="AT63" i="6"/>
  <c r="N64" i="6"/>
  <c r="AT64" i="6" s="1"/>
  <c r="T64" i="6"/>
  <c r="U64" i="6" s="1"/>
  <c r="AA64" i="6"/>
  <c r="AB64" i="6" s="1"/>
  <c r="AL64" i="6"/>
  <c r="N65" i="6"/>
  <c r="AT65" i="6" s="1"/>
  <c r="T65" i="6"/>
  <c r="U65" i="6"/>
  <c r="AA65" i="6"/>
  <c r="AB65" i="6" s="1"/>
  <c r="AF65" i="6" s="1"/>
  <c r="AI65" i="6" s="1"/>
  <c r="AM65" i="6" s="1"/>
  <c r="AL65" i="6"/>
  <c r="N66" i="6"/>
  <c r="AT66" i="6" s="1"/>
  <c r="T66" i="6"/>
  <c r="U66" i="6"/>
  <c r="AA66" i="6"/>
  <c r="AB66" i="6" s="1"/>
  <c r="AL66" i="6"/>
  <c r="N67" i="6"/>
  <c r="AT67" i="6" s="1"/>
  <c r="T67" i="6"/>
  <c r="U67" i="6" s="1"/>
  <c r="AA67" i="6"/>
  <c r="AB67" i="6"/>
  <c r="AL67" i="6"/>
  <c r="N68" i="6"/>
  <c r="AT68" i="6" s="1"/>
  <c r="T68" i="6"/>
  <c r="U68" i="6"/>
  <c r="AA68" i="6"/>
  <c r="AB68" i="6" s="1"/>
  <c r="AL68" i="6"/>
  <c r="N69" i="6"/>
  <c r="T69" i="6"/>
  <c r="U69" i="6" s="1"/>
  <c r="AF69" i="6" s="1"/>
  <c r="AA69" i="6"/>
  <c r="AB69" i="6"/>
  <c r="AL69" i="6"/>
  <c r="AT69" i="6"/>
  <c r="N70" i="6"/>
  <c r="AT70" i="6" s="1"/>
  <c r="T70" i="6"/>
  <c r="U70" i="6" s="1"/>
  <c r="AA70" i="6"/>
  <c r="AB70" i="6" s="1"/>
  <c r="AL70" i="6"/>
  <c r="N71" i="6"/>
  <c r="AT71" i="6" s="1"/>
  <c r="T71" i="6"/>
  <c r="U71" i="6"/>
  <c r="AA71" i="6"/>
  <c r="AB71" i="6" s="1"/>
  <c r="AL71" i="6"/>
  <c r="N72" i="6"/>
  <c r="AT72" i="6" s="1"/>
  <c r="T72" i="6"/>
  <c r="U72" i="6" s="1"/>
  <c r="AA72" i="6"/>
  <c r="AB72" i="6" s="1"/>
  <c r="AL72" i="6"/>
  <c r="N73" i="6"/>
  <c r="AT73" i="6" s="1"/>
  <c r="T73" i="6"/>
  <c r="U73" i="6" s="1"/>
  <c r="AF73" i="6" s="1"/>
  <c r="AA73" i="6"/>
  <c r="AB73" i="6"/>
  <c r="AL73" i="6"/>
  <c r="N74" i="6"/>
  <c r="T74" i="6"/>
  <c r="U74" i="6"/>
  <c r="AA74" i="6"/>
  <c r="AB74" i="6" s="1"/>
  <c r="AF74" i="6" s="1"/>
  <c r="AL74" i="6"/>
  <c r="AT74" i="6"/>
  <c r="N75" i="6"/>
  <c r="AT75" i="6" s="1"/>
  <c r="T75" i="6"/>
  <c r="U75" i="6" s="1"/>
  <c r="AF75" i="6" s="1"/>
  <c r="AA75" i="6"/>
  <c r="AB75" i="6"/>
  <c r="AL75" i="6"/>
  <c r="N76" i="6"/>
  <c r="T76" i="6"/>
  <c r="U76" i="6"/>
  <c r="AA76" i="6"/>
  <c r="AB76" i="6" s="1"/>
  <c r="AF76" i="6" s="1"/>
  <c r="AL76" i="6"/>
  <c r="AT76" i="6"/>
  <c r="N77" i="6"/>
  <c r="AT77" i="6" s="1"/>
  <c r="T77" i="6"/>
  <c r="U77" i="6"/>
  <c r="AA77" i="6"/>
  <c r="AB77" i="6" s="1"/>
  <c r="AL77" i="6"/>
  <c r="N78" i="6"/>
  <c r="AT78" i="6" s="1"/>
  <c r="T78" i="6"/>
  <c r="U78" i="6" s="1"/>
  <c r="AF78" i="6" s="1"/>
  <c r="AA78" i="6"/>
  <c r="AB78" i="6" s="1"/>
  <c r="AL78" i="6"/>
  <c r="N79" i="6"/>
  <c r="AT79" i="6" s="1"/>
  <c r="T79" i="6"/>
  <c r="U79" i="6" s="1"/>
  <c r="AF79" i="6" s="1"/>
  <c r="AA79" i="6"/>
  <c r="AB79" i="6" s="1"/>
  <c r="AL79" i="6"/>
  <c r="N80" i="6"/>
  <c r="AT80" i="6" s="1"/>
  <c r="T80" i="6"/>
  <c r="U80" i="6" s="1"/>
  <c r="AA80" i="6"/>
  <c r="AB80" i="6"/>
  <c r="AL80" i="6"/>
  <c r="N81" i="6"/>
  <c r="T81" i="6"/>
  <c r="U81" i="6" s="1"/>
  <c r="AA81" i="6"/>
  <c r="AB81" i="6" s="1"/>
  <c r="AL81" i="6"/>
  <c r="AT81" i="6"/>
  <c r="N82" i="6"/>
  <c r="T82" i="6"/>
  <c r="U82" i="6" s="1"/>
  <c r="AF82" i="6" s="1"/>
  <c r="AA82" i="6"/>
  <c r="AB82" i="6"/>
  <c r="AL82" i="6"/>
  <c r="AT82" i="6"/>
  <c r="N83" i="6"/>
  <c r="T83" i="6"/>
  <c r="U83" i="6"/>
  <c r="AF83" i="6" s="1"/>
  <c r="AA83" i="6"/>
  <c r="AB83" i="6" s="1"/>
  <c r="AL83" i="6"/>
  <c r="AT83" i="6"/>
  <c r="N84" i="6"/>
  <c r="AT84" i="6" s="1"/>
  <c r="T84" i="6"/>
  <c r="U84" i="6"/>
  <c r="AA84" i="6"/>
  <c r="AB84" i="6" s="1"/>
  <c r="AL84" i="6"/>
  <c r="N85" i="6"/>
  <c r="AT85" i="6" s="1"/>
  <c r="T85" i="6"/>
  <c r="U85" i="6"/>
  <c r="AA85" i="6"/>
  <c r="AB85" i="6" s="1"/>
  <c r="AL85" i="6"/>
  <c r="N86" i="6"/>
  <c r="AT86" i="6" s="1"/>
  <c r="T86" i="6"/>
  <c r="U86" i="6" s="1"/>
  <c r="AF86" i="6" s="1"/>
  <c r="AA86" i="6"/>
  <c r="AB86" i="6"/>
  <c r="AL86" i="6"/>
  <c r="N87" i="6"/>
  <c r="T87" i="6"/>
  <c r="U87" i="6" s="1"/>
  <c r="AA87" i="6"/>
  <c r="AB87" i="6" s="1"/>
  <c r="AL87" i="6"/>
  <c r="AT87" i="6"/>
  <c r="N88" i="6"/>
  <c r="AT88" i="6" s="1"/>
  <c r="T88" i="6"/>
  <c r="U88" i="6"/>
  <c r="AA88" i="6"/>
  <c r="AB88" i="6"/>
  <c r="AL88" i="6"/>
  <c r="N89" i="6"/>
  <c r="AT89" i="6" s="1"/>
  <c r="T89" i="6"/>
  <c r="U89" i="6" s="1"/>
  <c r="AF89" i="6" s="1"/>
  <c r="AH89" i="6" s="1"/>
  <c r="AA89" i="6"/>
  <c r="AB89" i="6"/>
  <c r="AL89" i="6"/>
  <c r="N90" i="6"/>
  <c r="AT90" i="6" s="1"/>
  <c r="T90" i="6"/>
  <c r="U90" i="6" s="1"/>
  <c r="AA90" i="6"/>
  <c r="AB90" i="6" s="1"/>
  <c r="AL90" i="6"/>
  <c r="N91" i="6"/>
  <c r="AT91" i="6" s="1"/>
  <c r="T91" i="6"/>
  <c r="U91" i="6"/>
  <c r="AA91" i="6"/>
  <c r="AB91" i="6" s="1"/>
  <c r="AL91" i="6"/>
  <c r="N92" i="6"/>
  <c r="AT92" i="6" s="1"/>
  <c r="T92" i="6"/>
  <c r="U92" i="6" s="1"/>
  <c r="AA92" i="6"/>
  <c r="AB92" i="6" s="1"/>
  <c r="AL92" i="6"/>
  <c r="N93" i="6"/>
  <c r="AT93" i="6" s="1"/>
  <c r="T93" i="6"/>
  <c r="U93" i="6"/>
  <c r="AA93" i="6"/>
  <c r="AB93" i="6"/>
  <c r="AF93" i="6"/>
  <c r="AH93" i="6" s="1"/>
  <c r="AL93" i="6"/>
  <c r="N94" i="6"/>
  <c r="T94" i="6"/>
  <c r="U94" i="6" s="1"/>
  <c r="AA94" i="6"/>
  <c r="AB94" i="6"/>
  <c r="AL94" i="6"/>
  <c r="AT94" i="6"/>
  <c r="N95" i="6"/>
  <c r="AT95" i="6" s="1"/>
  <c r="T95" i="6"/>
  <c r="U95" i="6"/>
  <c r="AA95" i="6"/>
  <c r="AB95" i="6" s="1"/>
  <c r="AL95" i="6"/>
  <c r="N96" i="6"/>
  <c r="T96" i="6"/>
  <c r="U96" i="6"/>
  <c r="AA96" i="6"/>
  <c r="AB96" i="6" s="1"/>
  <c r="AF96" i="6" s="1"/>
  <c r="AL96" i="6"/>
  <c r="AT96" i="6"/>
  <c r="N97" i="6"/>
  <c r="AT97" i="6" s="1"/>
  <c r="T97" i="6"/>
  <c r="U97" i="6" s="1"/>
  <c r="AA97" i="6"/>
  <c r="AB97" i="6"/>
  <c r="AL97" i="6"/>
  <c r="N98" i="6"/>
  <c r="T98" i="6"/>
  <c r="U98" i="6"/>
  <c r="AF98" i="6" s="1"/>
  <c r="AA98" i="6"/>
  <c r="AB98" i="6" s="1"/>
  <c r="AL98" i="6"/>
  <c r="AT98" i="6"/>
  <c r="N99" i="6"/>
  <c r="AT99" i="6" s="1"/>
  <c r="T99" i="6"/>
  <c r="U99" i="6" s="1"/>
  <c r="AA99" i="6"/>
  <c r="AB99" i="6" s="1"/>
  <c r="AL99" i="6"/>
  <c r="N100" i="6"/>
  <c r="T100" i="6"/>
  <c r="U100" i="6" s="1"/>
  <c r="AF100" i="6" s="1"/>
  <c r="AA100" i="6"/>
  <c r="AB100" i="6" s="1"/>
  <c r="AL100" i="6"/>
  <c r="AT100" i="6"/>
  <c r="N101" i="6"/>
  <c r="AT101" i="6" s="1"/>
  <c r="T101" i="6"/>
  <c r="U101" i="6" s="1"/>
  <c r="AA101" i="6"/>
  <c r="AB101" i="6" s="1"/>
  <c r="AL101" i="6"/>
  <c r="N102" i="6"/>
  <c r="AT102" i="6" s="1"/>
  <c r="T102" i="6"/>
  <c r="U102" i="6" s="1"/>
  <c r="AF102" i="6" s="1"/>
  <c r="AA102" i="6"/>
  <c r="AB102" i="6"/>
  <c r="AL102" i="6"/>
  <c r="N103" i="6"/>
  <c r="T103" i="6"/>
  <c r="U103" i="6" s="1"/>
  <c r="AA103" i="6"/>
  <c r="AB103" i="6" s="1"/>
  <c r="AL103" i="6"/>
  <c r="AT103" i="6"/>
  <c r="N104" i="6"/>
  <c r="AT104" i="6" s="1"/>
  <c r="T104" i="6"/>
  <c r="U104" i="6" s="1"/>
  <c r="AF104" i="6" s="1"/>
  <c r="AA104" i="6"/>
  <c r="AB104" i="6"/>
  <c r="AL104" i="6"/>
  <c r="N105" i="6"/>
  <c r="T105" i="6"/>
  <c r="U105" i="6" s="1"/>
  <c r="AF105" i="6" s="1"/>
  <c r="AI105" i="6" s="1"/>
  <c r="AM105" i="6" s="1"/>
  <c r="AA105" i="6"/>
  <c r="AB105" i="6" s="1"/>
  <c r="AL105" i="6"/>
  <c r="AT105" i="6"/>
  <c r="N106" i="6"/>
  <c r="AT106" i="6" s="1"/>
  <c r="T106" i="6"/>
  <c r="U106" i="6" s="1"/>
  <c r="AA106" i="6"/>
  <c r="AB106" i="6" s="1"/>
  <c r="AL106" i="6"/>
  <c r="N107" i="6"/>
  <c r="AT107" i="6" s="1"/>
  <c r="T107" i="6"/>
  <c r="U107" i="6" s="1"/>
  <c r="AA107" i="6"/>
  <c r="AB107" i="6"/>
  <c r="AL107" i="6"/>
  <c r="N108" i="6"/>
  <c r="AT108" i="6" s="1"/>
  <c r="T108" i="6"/>
  <c r="U108" i="6"/>
  <c r="AA108" i="6"/>
  <c r="AB108" i="6"/>
  <c r="AL108" i="6"/>
  <c r="N109" i="6"/>
  <c r="AT109" i="6" s="1"/>
  <c r="T109" i="6"/>
  <c r="U109" i="6" s="1"/>
  <c r="AA109" i="6"/>
  <c r="AB109" i="6"/>
  <c r="AL109" i="6"/>
  <c r="N110" i="6"/>
  <c r="AT110" i="6" s="1"/>
  <c r="T110" i="6"/>
  <c r="U110" i="6" s="1"/>
  <c r="AF110" i="6" s="1"/>
  <c r="AA110" i="6"/>
  <c r="AB110" i="6" s="1"/>
  <c r="AL110" i="6"/>
  <c r="N111" i="6"/>
  <c r="T111" i="6"/>
  <c r="U111" i="6" s="1"/>
  <c r="AA111" i="6"/>
  <c r="AB111" i="6" s="1"/>
  <c r="AL111" i="6"/>
  <c r="AT111" i="6"/>
  <c r="N112" i="6"/>
  <c r="AT112" i="6" s="1"/>
  <c r="T112" i="6"/>
  <c r="U112" i="6" s="1"/>
  <c r="AA112" i="6"/>
  <c r="AB112" i="6"/>
  <c r="AL112" i="6"/>
  <c r="N113" i="6"/>
  <c r="AT113" i="6" s="1"/>
  <c r="T113" i="6"/>
  <c r="U113" i="6"/>
  <c r="AA113" i="6"/>
  <c r="AB113" i="6" s="1"/>
  <c r="AL113" i="6"/>
  <c r="N114" i="6"/>
  <c r="T114" i="6"/>
  <c r="U114" i="6"/>
  <c r="AA114" i="6"/>
  <c r="AB114" i="6"/>
  <c r="AF114" i="6" s="1"/>
  <c r="AI114" i="6" s="1"/>
  <c r="AM114" i="6" s="1"/>
  <c r="AH114" i="6"/>
  <c r="AL114" i="6"/>
  <c r="AT114" i="6"/>
  <c r="N115" i="6"/>
  <c r="AT115" i="6" s="1"/>
  <c r="T115" i="6"/>
  <c r="U115" i="6" s="1"/>
  <c r="AA115" i="6"/>
  <c r="AB115" i="6" s="1"/>
  <c r="AL115" i="6"/>
  <c r="N116" i="6"/>
  <c r="AT116" i="6" s="1"/>
  <c r="T116" i="6"/>
  <c r="U116" i="6" s="1"/>
  <c r="AF116" i="6" s="1"/>
  <c r="AA116" i="6"/>
  <c r="AB116" i="6"/>
  <c r="AL116" i="6"/>
  <c r="N117" i="6"/>
  <c r="AT117" i="6" s="1"/>
  <c r="T117" i="6"/>
  <c r="U117" i="6"/>
  <c r="AA117" i="6"/>
  <c r="AB117" i="6" s="1"/>
  <c r="AL117" i="6"/>
  <c r="N118" i="6"/>
  <c r="AT118" i="6" s="1"/>
  <c r="T118" i="6"/>
  <c r="U118" i="6" s="1"/>
  <c r="AA118" i="6"/>
  <c r="AB118" i="6"/>
  <c r="AL118" i="6"/>
  <c r="N119" i="6"/>
  <c r="AT119" i="6" s="1"/>
  <c r="T119" i="6"/>
  <c r="U119" i="6" s="1"/>
  <c r="AF119" i="6" s="1"/>
  <c r="AA119" i="6"/>
  <c r="AB119" i="6" s="1"/>
  <c r="AL119" i="6"/>
  <c r="N120" i="6"/>
  <c r="T120" i="6"/>
  <c r="U120" i="6"/>
  <c r="AA120" i="6"/>
  <c r="AB120" i="6" s="1"/>
  <c r="AL120" i="6"/>
  <c r="AT120" i="6"/>
  <c r="N121" i="6"/>
  <c r="AT121" i="6" s="1"/>
  <c r="T121" i="6"/>
  <c r="U121" i="6" s="1"/>
  <c r="AA121" i="6"/>
  <c r="AB121" i="6"/>
  <c r="AL121" i="6"/>
  <c r="N122" i="6"/>
  <c r="T122" i="6"/>
  <c r="U122" i="6"/>
  <c r="AA122" i="6"/>
  <c r="AB122" i="6" s="1"/>
  <c r="AL122" i="6"/>
  <c r="AT122" i="6"/>
  <c r="N123" i="6"/>
  <c r="T123" i="6"/>
  <c r="U123" i="6" s="1"/>
  <c r="AF123" i="6" s="1"/>
  <c r="AA123" i="6"/>
  <c r="AB123" i="6"/>
  <c r="AL123" i="6"/>
  <c r="AT123" i="6"/>
  <c r="N124" i="6"/>
  <c r="AT124" i="6" s="1"/>
  <c r="T124" i="6"/>
  <c r="U124" i="6" s="1"/>
  <c r="AA124" i="6"/>
  <c r="AB124" i="6"/>
  <c r="AL124" i="6"/>
  <c r="N125" i="6"/>
  <c r="T125" i="6"/>
  <c r="U125" i="6"/>
  <c r="AF125" i="6" s="1"/>
  <c r="AA125" i="6"/>
  <c r="AB125" i="6" s="1"/>
  <c r="AL125" i="6"/>
  <c r="AT125" i="6"/>
  <c r="N126" i="6"/>
  <c r="AT126" i="6" s="1"/>
  <c r="T126" i="6"/>
  <c r="U126" i="6" s="1"/>
  <c r="AA126" i="6"/>
  <c r="AB126" i="6" s="1"/>
  <c r="AL126" i="6"/>
  <c r="N127" i="6"/>
  <c r="AT127" i="6" s="1"/>
  <c r="T127" i="6"/>
  <c r="U127" i="6" s="1"/>
  <c r="AA127" i="6"/>
  <c r="AB127" i="6" s="1"/>
  <c r="AF127" i="6" s="1"/>
  <c r="AL127" i="6"/>
  <c r="N128" i="6"/>
  <c r="AT128" i="6" s="1"/>
  <c r="T128" i="6"/>
  <c r="U128" i="6"/>
  <c r="AA128" i="6"/>
  <c r="AB128" i="6"/>
  <c r="AL128" i="6"/>
  <c r="N129" i="6"/>
  <c r="AT129" i="6" s="1"/>
  <c r="T129" i="6"/>
  <c r="U129" i="6" s="1"/>
  <c r="AA129" i="6"/>
  <c r="AB129" i="6"/>
  <c r="AL129" i="6"/>
  <c r="N130" i="6"/>
  <c r="AT130" i="6" s="1"/>
  <c r="T130" i="6"/>
  <c r="U130" i="6" s="1"/>
  <c r="AF130" i="6" s="1"/>
  <c r="AA130" i="6"/>
  <c r="AB130" i="6" s="1"/>
  <c r="AL130" i="6"/>
  <c r="N131" i="6"/>
  <c r="T131" i="6"/>
  <c r="U131" i="6" s="1"/>
  <c r="AA131" i="6"/>
  <c r="AB131" i="6" s="1"/>
  <c r="AL131" i="6"/>
  <c r="AT131" i="6"/>
  <c r="N132" i="6"/>
  <c r="AT132" i="6" s="1"/>
  <c r="T132" i="6"/>
  <c r="U132" i="6" s="1"/>
  <c r="AA132" i="6"/>
  <c r="AB132" i="6"/>
  <c r="AL132" i="6"/>
  <c r="N133" i="6"/>
  <c r="AT133" i="6" s="1"/>
  <c r="T133" i="6"/>
  <c r="U133" i="6"/>
  <c r="AA133" i="6"/>
  <c r="AB133" i="6" s="1"/>
  <c r="AL133" i="6"/>
  <c r="N134" i="6"/>
  <c r="T134" i="6"/>
  <c r="U134" i="6"/>
  <c r="AA134" i="6"/>
  <c r="AB134" i="6"/>
  <c r="AF134" i="6" s="1"/>
  <c r="AI134" i="6" s="1"/>
  <c r="AM134" i="6" s="1"/>
  <c r="AH134" i="6"/>
  <c r="AL134" i="6"/>
  <c r="AT134" i="6"/>
  <c r="N135" i="6"/>
  <c r="AT135" i="6" s="1"/>
  <c r="T135" i="6"/>
  <c r="U135" i="6" s="1"/>
  <c r="AA135" i="6"/>
  <c r="AB135" i="6" s="1"/>
  <c r="AL135" i="6"/>
  <c r="N136" i="6"/>
  <c r="AT136" i="6" s="1"/>
  <c r="T136" i="6"/>
  <c r="U136" i="6" s="1"/>
  <c r="AF136" i="6" s="1"/>
  <c r="AA136" i="6"/>
  <c r="AB136" i="6"/>
  <c r="AL136" i="6"/>
  <c r="N137" i="6"/>
  <c r="AT137" i="6" s="1"/>
  <c r="T137" i="6"/>
  <c r="U137" i="6"/>
  <c r="AA137" i="6"/>
  <c r="AB137" i="6" s="1"/>
  <c r="AL137" i="6"/>
  <c r="N138" i="6"/>
  <c r="AT138" i="6" s="1"/>
  <c r="T138" i="6"/>
  <c r="U138" i="6" s="1"/>
  <c r="AA138" i="6"/>
  <c r="AB138" i="6"/>
  <c r="AL138" i="6"/>
  <c r="N139" i="6"/>
  <c r="AT139" i="6" s="1"/>
  <c r="T139" i="6"/>
  <c r="U139" i="6" s="1"/>
  <c r="AF139" i="6" s="1"/>
  <c r="AA139" i="6"/>
  <c r="AB139" i="6" s="1"/>
  <c r="AL139" i="6"/>
  <c r="N140" i="6"/>
  <c r="T140" i="6"/>
  <c r="U140" i="6"/>
  <c r="AA140" i="6"/>
  <c r="AB140" i="6"/>
  <c r="AF140" i="6"/>
  <c r="AH140" i="6" s="1"/>
  <c r="AL140" i="6"/>
  <c r="AT140" i="6"/>
  <c r="AH36" i="6" l="1"/>
  <c r="AI36" i="6"/>
  <c r="AM36" i="6" s="1"/>
  <c r="AH78" i="7"/>
  <c r="AI78" i="7"/>
  <c r="AM78" i="7" s="1"/>
  <c r="AH58" i="6"/>
  <c r="AI58" i="6"/>
  <c r="AM58" i="6" s="1"/>
  <c r="AH53" i="6"/>
  <c r="AI53" i="6"/>
  <c r="AM53" i="6" s="1"/>
  <c r="AH56" i="7"/>
  <c r="AI56" i="7"/>
  <c r="AM56" i="7" s="1"/>
  <c r="AI116" i="6"/>
  <c r="AM116" i="6" s="1"/>
  <c r="AH116" i="6"/>
  <c r="AI86" i="6"/>
  <c r="AM86" i="6" s="1"/>
  <c r="AH86" i="6"/>
  <c r="AF126" i="6"/>
  <c r="AI126" i="6" s="1"/>
  <c r="AM126" i="6" s="1"/>
  <c r="AH87" i="7"/>
  <c r="AI87" i="7"/>
  <c r="AM87" i="7" s="1"/>
  <c r="AH100" i="6"/>
  <c r="AI100" i="6"/>
  <c r="AM100" i="6" s="1"/>
  <c r="AI136" i="6"/>
  <c r="AM136" i="6" s="1"/>
  <c r="AH136" i="6"/>
  <c r="AF95" i="6"/>
  <c r="AF63" i="6"/>
  <c r="AH43" i="6"/>
  <c r="AI43" i="6"/>
  <c r="AI42" i="6"/>
  <c r="AM42" i="6" s="1"/>
  <c r="AH42" i="6"/>
  <c r="AI64" i="7"/>
  <c r="AM64" i="7" s="1"/>
  <c r="AH64" i="7"/>
  <c r="AH83" i="6"/>
  <c r="AI83" i="6"/>
  <c r="AH78" i="6"/>
  <c r="AI78" i="6"/>
  <c r="AM78" i="6" s="1"/>
  <c r="AF84" i="6"/>
  <c r="AH123" i="6"/>
  <c r="AI123" i="6"/>
  <c r="AM123" i="6" s="1"/>
  <c r="AI104" i="6"/>
  <c r="AM104" i="6" s="1"/>
  <c r="AH104" i="6"/>
  <c r="AF77" i="6"/>
  <c r="AH74" i="6"/>
  <c r="AI74" i="6"/>
  <c r="AM74" i="6" s="1"/>
  <c r="AF66" i="6"/>
  <c r="AH54" i="6"/>
  <c r="AI54" i="6"/>
  <c r="AM54" i="6" s="1"/>
  <c r="AI49" i="6"/>
  <c r="AM49" i="6" s="1"/>
  <c r="AH49" i="6"/>
  <c r="AI44" i="6"/>
  <c r="AM44" i="6" s="1"/>
  <c r="AH44" i="6"/>
  <c r="AF103" i="6"/>
  <c r="AH125" i="6"/>
  <c r="AI125" i="6"/>
  <c r="AM125" i="6" s="1"/>
  <c r="AF122" i="6"/>
  <c r="AI98" i="6"/>
  <c r="AM98" i="6" s="1"/>
  <c r="AH98" i="6"/>
  <c r="AI115" i="7"/>
  <c r="AM115" i="7" s="1"/>
  <c r="AH115" i="7"/>
  <c r="AH102" i="6"/>
  <c r="AI102" i="6"/>
  <c r="AM102" i="6" s="1"/>
  <c r="AF91" i="6"/>
  <c r="AI82" i="6"/>
  <c r="AM82" i="6" s="1"/>
  <c r="AH82" i="6"/>
  <c r="AI69" i="6"/>
  <c r="AM69" i="6" s="1"/>
  <c r="AH69" i="6"/>
  <c r="AH65" i="7"/>
  <c r="AI65" i="7"/>
  <c r="AM65" i="7" s="1"/>
  <c r="AF92" i="6"/>
  <c r="AF52" i="6"/>
  <c r="AH20" i="6"/>
  <c r="AI20" i="6"/>
  <c r="AM20" i="6" s="1"/>
  <c r="AH76" i="7"/>
  <c r="AI76" i="7"/>
  <c r="AM76" i="7" s="1"/>
  <c r="AH45" i="7"/>
  <c r="AI45" i="7"/>
  <c r="AM45" i="7" s="1"/>
  <c r="AH29" i="7"/>
  <c r="AI29" i="7"/>
  <c r="AM29" i="7" s="1"/>
  <c r="AH13" i="7"/>
  <c r="AI13" i="7"/>
  <c r="AM13" i="7" s="1"/>
  <c r="AH7" i="7"/>
  <c r="AI7" i="7"/>
  <c r="AM7" i="7" s="1"/>
  <c r="AF137" i="6"/>
  <c r="AF120" i="6"/>
  <c r="AF117" i="6"/>
  <c r="AF97" i="6"/>
  <c r="AI97" i="6" s="1"/>
  <c r="AM97" i="6" s="1"/>
  <c r="AF48" i="6"/>
  <c r="AH48" i="6" s="1"/>
  <c r="AF45" i="6"/>
  <c r="AI45" i="6" s="1"/>
  <c r="AM45" i="6" s="1"/>
  <c r="AF128" i="7"/>
  <c r="AF119" i="7"/>
  <c r="AF59" i="7"/>
  <c r="AH36" i="7"/>
  <c r="AI36" i="7"/>
  <c r="AM36" i="7" s="1"/>
  <c r="AH25" i="7"/>
  <c r="AI25" i="7"/>
  <c r="AM25" i="7" s="1"/>
  <c r="AI22" i="7"/>
  <c r="AM22" i="7" s="1"/>
  <c r="AH22" i="7"/>
  <c r="AF16" i="7"/>
  <c r="AH5" i="7"/>
  <c r="AI5" i="7"/>
  <c r="AM5" i="7" s="1"/>
  <c r="AF135" i="6"/>
  <c r="AF13" i="6"/>
  <c r="AF94" i="6"/>
  <c r="AF38" i="6"/>
  <c r="AI42" i="7"/>
  <c r="AM42" i="7" s="1"/>
  <c r="AH42" i="7"/>
  <c r="AH27" i="7"/>
  <c r="AI27" i="7"/>
  <c r="AM27" i="7" s="1"/>
  <c r="AF131" i="6"/>
  <c r="AF118" i="6"/>
  <c r="AI118" i="6" s="1"/>
  <c r="AM118" i="6" s="1"/>
  <c r="AF111" i="6"/>
  <c r="AH111" i="6" s="1"/>
  <c r="AF72" i="6"/>
  <c r="AF62" i="6"/>
  <c r="AF57" i="6"/>
  <c r="AF50" i="6"/>
  <c r="AF41" i="6"/>
  <c r="AF21" i="6"/>
  <c r="AF18" i="6"/>
  <c r="AF125" i="7"/>
  <c r="AH96" i="7"/>
  <c r="AF73" i="7"/>
  <c r="AI55" i="7"/>
  <c r="AM55" i="7" s="1"/>
  <c r="AH55" i="7"/>
  <c r="AH49" i="7"/>
  <c r="AI49" i="7"/>
  <c r="AM49" i="7" s="1"/>
  <c r="AF46" i="7"/>
  <c r="AH46" i="7" s="1"/>
  <c r="AF14" i="7"/>
  <c r="AF81" i="6"/>
  <c r="AH34" i="6"/>
  <c r="AI34" i="6"/>
  <c r="AM34" i="6" s="1"/>
  <c r="AI124" i="7"/>
  <c r="AM124" i="7" s="1"/>
  <c r="AH124" i="7"/>
  <c r="AF61" i="6"/>
  <c r="AI61" i="6" s="1"/>
  <c r="AM61" i="6" s="1"/>
  <c r="AH33" i="7"/>
  <c r="AI33" i="7"/>
  <c r="AF138" i="6"/>
  <c r="AF99" i="6"/>
  <c r="AF64" i="6"/>
  <c r="AF39" i="6"/>
  <c r="AF32" i="6"/>
  <c r="AF29" i="6"/>
  <c r="AF135" i="7"/>
  <c r="AI123" i="7"/>
  <c r="AM123" i="7" s="1"/>
  <c r="AF120" i="7"/>
  <c r="AH83" i="7"/>
  <c r="AF71" i="7"/>
  <c r="AF66" i="7"/>
  <c r="AF40" i="7"/>
  <c r="AH11" i="7"/>
  <c r="AI11" i="7"/>
  <c r="AM11" i="7" s="1"/>
  <c r="AF101" i="6"/>
  <c r="AH116" i="7"/>
  <c r="AI116" i="7"/>
  <c r="AM116" i="7" s="1"/>
  <c r="AI140" i="6"/>
  <c r="AM140" i="6" s="1"/>
  <c r="AF132" i="6"/>
  <c r="AF129" i="6"/>
  <c r="AF124" i="6"/>
  <c r="AI124" i="6" s="1"/>
  <c r="AM124" i="6" s="1"/>
  <c r="AF121" i="6"/>
  <c r="AI121" i="6" s="1"/>
  <c r="AM121" i="6" s="1"/>
  <c r="AF112" i="6"/>
  <c r="AF109" i="6"/>
  <c r="AF80" i="6"/>
  <c r="AI136" i="7"/>
  <c r="AM136" i="7" s="1"/>
  <c r="AH127" i="7"/>
  <c r="AH118" i="7"/>
  <c r="AF63" i="7"/>
  <c r="AI47" i="7"/>
  <c r="AM47" i="7" s="1"/>
  <c r="AF43" i="7"/>
  <c r="AF115" i="6"/>
  <c r="AH31" i="6"/>
  <c r="AI31" i="6"/>
  <c r="AM31" i="6" s="1"/>
  <c r="AH103" i="7"/>
  <c r="AI103" i="7"/>
  <c r="AM103" i="7" s="1"/>
  <c r="AH89" i="7"/>
  <c r="AI89" i="7"/>
  <c r="AM89" i="7" s="1"/>
  <c r="AF133" i="6"/>
  <c r="AF113" i="6"/>
  <c r="AF106" i="6"/>
  <c r="AI93" i="6"/>
  <c r="AM93" i="6" s="1"/>
  <c r="AF85" i="6"/>
  <c r="AF71" i="6"/>
  <c r="AH71" i="6" s="1"/>
  <c r="AH65" i="6"/>
  <c r="AF60" i="6"/>
  <c r="AF55" i="6"/>
  <c r="AF22" i="6"/>
  <c r="AH111" i="7"/>
  <c r="AI111" i="7"/>
  <c r="AM111" i="7" s="1"/>
  <c r="AI75" i="7"/>
  <c r="AM75" i="7" s="1"/>
  <c r="AH75" i="7"/>
  <c r="AI67" i="7"/>
  <c r="AM67" i="7" s="1"/>
  <c r="AF61" i="7"/>
  <c r="AF41" i="7"/>
  <c r="AH38" i="7"/>
  <c r="AI38" i="7"/>
  <c r="AM38" i="7" s="1"/>
  <c r="AH23" i="7"/>
  <c r="AI23" i="7"/>
  <c r="AM23" i="7" s="1"/>
  <c r="AI15" i="7"/>
  <c r="AM15" i="7" s="1"/>
  <c r="AH15" i="7"/>
  <c r="AF12" i="7"/>
  <c r="AF47" i="6"/>
  <c r="AH47" i="6" s="1"/>
  <c r="AF25" i="6"/>
  <c r="AH107" i="7"/>
  <c r="AI107" i="7"/>
  <c r="AM107" i="7" s="1"/>
  <c r="AI84" i="7"/>
  <c r="AM84" i="7" s="1"/>
  <c r="AH84" i="7"/>
  <c r="AF81" i="7"/>
  <c r="AH81" i="7" s="1"/>
  <c r="AF140" i="7"/>
  <c r="AF139" i="7"/>
  <c r="AF131" i="7"/>
  <c r="AF112" i="7"/>
  <c r="AF17" i="6"/>
  <c r="AA16" i="6"/>
  <c r="AB16" i="6" s="1"/>
  <c r="AF16" i="6" s="1"/>
  <c r="AA15" i="6"/>
  <c r="AB15" i="6" s="1"/>
  <c r="AF15" i="6" s="1"/>
  <c r="AA9" i="6"/>
  <c r="AB9" i="6" s="1"/>
  <c r="AF9" i="6" s="1"/>
  <c r="AA5" i="6"/>
  <c r="AB5" i="6" s="1"/>
  <c r="AF5" i="6" s="1"/>
  <c r="AH5" i="6" s="1"/>
  <c r="AF82" i="7"/>
  <c r="AF19" i="7"/>
  <c r="AF6" i="6"/>
  <c r="AF122" i="7"/>
  <c r="AF20" i="7"/>
  <c r="AF10" i="7"/>
  <c r="AH10" i="7" s="1"/>
  <c r="AF24" i="6"/>
  <c r="AH24" i="6" s="1"/>
  <c r="AF19" i="6"/>
  <c r="AH19" i="6" s="1"/>
  <c r="AF10" i="6"/>
  <c r="AF77" i="7"/>
  <c r="AF74" i="7"/>
  <c r="AF50" i="7"/>
  <c r="AF26" i="7"/>
  <c r="AF117" i="7"/>
  <c r="AH117" i="7" s="1"/>
  <c r="AF114" i="7"/>
  <c r="AH114" i="7" s="1"/>
  <c r="AF54" i="7"/>
  <c r="AA30" i="6"/>
  <c r="AB30" i="6" s="1"/>
  <c r="AA21" i="6"/>
  <c r="AB21" i="6" s="1"/>
  <c r="AA12" i="6"/>
  <c r="AB12" i="6" s="1"/>
  <c r="AF12" i="6" s="1"/>
  <c r="AA11" i="6"/>
  <c r="AB11" i="6" s="1"/>
  <c r="AF11" i="6" s="1"/>
  <c r="AF94" i="7"/>
  <c r="AF6" i="7"/>
  <c r="AI6" i="7" s="1"/>
  <c r="AM6" i="7" s="1"/>
  <c r="AH80" i="7"/>
  <c r="AI80" i="7"/>
  <c r="AM80" i="7" s="1"/>
  <c r="AH48" i="7"/>
  <c r="AI48" i="7"/>
  <c r="AM48" i="7" s="1"/>
  <c r="AH133" i="7"/>
  <c r="AI133" i="7"/>
  <c r="AM133" i="7" s="1"/>
  <c r="AI117" i="7"/>
  <c r="AM117" i="7" s="1"/>
  <c r="AH19" i="7"/>
  <c r="AI19" i="7"/>
  <c r="AM19" i="7" s="1"/>
  <c r="AH93" i="7"/>
  <c r="AI93" i="7"/>
  <c r="AM93" i="7" s="1"/>
  <c r="AF53" i="7"/>
  <c r="AH122" i="7"/>
  <c r="AI122" i="7"/>
  <c r="AM122" i="7" s="1"/>
  <c r="AI82" i="7"/>
  <c r="AM82" i="7" s="1"/>
  <c r="AH82" i="7"/>
  <c r="AI113" i="7"/>
  <c r="AM113" i="7" s="1"/>
  <c r="AH113" i="7"/>
  <c r="AI73" i="7"/>
  <c r="AM73" i="7" s="1"/>
  <c r="AH73" i="7"/>
  <c r="AI100" i="7"/>
  <c r="AM100" i="7" s="1"/>
  <c r="AH100" i="7"/>
  <c r="AI131" i="7"/>
  <c r="AM131" i="7" s="1"/>
  <c r="AH131" i="7"/>
  <c r="AI60" i="7"/>
  <c r="AM60" i="7" s="1"/>
  <c r="AH60" i="7"/>
  <c r="AI140" i="7"/>
  <c r="AM140" i="7" s="1"/>
  <c r="AH140" i="7"/>
  <c r="AH91" i="7"/>
  <c r="AI91" i="7"/>
  <c r="AM91" i="7" s="1"/>
  <c r="AH39" i="7"/>
  <c r="AI39" i="7"/>
  <c r="AM39" i="7" s="1"/>
  <c r="AH77" i="7"/>
  <c r="AI77" i="7"/>
  <c r="AM77" i="7" s="1"/>
  <c r="AH26" i="7"/>
  <c r="AI26" i="7"/>
  <c r="AM26" i="7" s="1"/>
  <c r="AH120" i="7"/>
  <c r="AI120" i="7"/>
  <c r="AM120" i="7" s="1"/>
  <c r="AH21" i="7"/>
  <c r="AI21" i="7"/>
  <c r="AM21" i="7" s="1"/>
  <c r="AI34" i="7"/>
  <c r="AM34" i="7" s="1"/>
  <c r="AH34" i="7"/>
  <c r="AF28" i="7"/>
  <c r="AH106" i="7"/>
  <c r="AI106" i="7"/>
  <c r="AM106" i="7" s="1"/>
  <c r="AH119" i="7"/>
  <c r="AI119" i="7"/>
  <c r="AM119" i="7" s="1"/>
  <c r="AM33" i="7"/>
  <c r="AF52" i="7"/>
  <c r="AF30" i="7"/>
  <c r="AF132" i="7"/>
  <c r="AF108" i="7"/>
  <c r="AF92" i="7"/>
  <c r="AF68" i="7"/>
  <c r="AH139" i="7"/>
  <c r="AI139" i="7"/>
  <c r="AM139" i="7" s="1"/>
  <c r="AH99" i="7"/>
  <c r="AI99" i="7"/>
  <c r="AM99" i="7" s="1"/>
  <c r="AH59" i="7"/>
  <c r="AI59" i="7"/>
  <c r="AM59" i="7" s="1"/>
  <c r="AI44" i="7"/>
  <c r="AM44" i="7" s="1"/>
  <c r="AH61" i="7"/>
  <c r="AI61" i="7"/>
  <c r="AM61" i="7" s="1"/>
  <c r="AH35" i="7"/>
  <c r="AF17" i="7"/>
  <c r="AH41" i="7"/>
  <c r="AI41" i="7"/>
  <c r="AM41" i="7" s="1"/>
  <c r="AH79" i="7"/>
  <c r="AI79" i="7"/>
  <c r="AM79" i="7" s="1"/>
  <c r="AH66" i="7"/>
  <c r="AI66" i="7"/>
  <c r="AM66" i="7" s="1"/>
  <c r="AF8" i="7"/>
  <c r="AF137" i="7"/>
  <c r="AH126" i="7"/>
  <c r="AI126" i="7"/>
  <c r="AM126" i="7" s="1"/>
  <c r="AF32" i="7"/>
  <c r="AF130" i="7"/>
  <c r="AH121" i="7"/>
  <c r="AI121" i="7"/>
  <c r="AM121" i="7" s="1"/>
  <c r="AF57" i="7"/>
  <c r="AI101" i="7"/>
  <c r="AM101" i="7" s="1"/>
  <c r="AH101" i="7"/>
  <c r="AH86" i="7"/>
  <c r="AI86" i="7"/>
  <c r="AM86" i="7" s="1"/>
  <c r="AI94" i="7"/>
  <c r="AM94" i="7" s="1"/>
  <c r="AH94" i="7"/>
  <c r="AI138" i="7"/>
  <c r="AM138" i="7" s="1"/>
  <c r="AI98" i="7"/>
  <c r="AM98" i="7" s="1"/>
  <c r="AI58" i="7"/>
  <c r="AM58" i="7" s="1"/>
  <c r="AF37" i="7"/>
  <c r="AH134" i="7"/>
  <c r="AI134" i="7"/>
  <c r="AM134" i="7" s="1"/>
  <c r="AF24" i="7"/>
  <c r="AI9" i="7"/>
  <c r="AM9" i="7" s="1"/>
  <c r="AF90" i="7"/>
  <c r="AI54" i="7"/>
  <c r="AM54" i="7" s="1"/>
  <c r="AH54" i="7"/>
  <c r="AH128" i="7"/>
  <c r="AI128" i="7"/>
  <c r="AM128" i="7" s="1"/>
  <c r="AI109" i="7"/>
  <c r="AM109" i="7" s="1"/>
  <c r="AH88" i="7"/>
  <c r="AI88" i="7"/>
  <c r="AM88" i="7" s="1"/>
  <c r="AI72" i="7"/>
  <c r="AM72" i="7" s="1"/>
  <c r="AH72" i="7"/>
  <c r="AI69" i="7"/>
  <c r="AM69" i="7" s="1"/>
  <c r="AI31" i="7"/>
  <c r="AM31" i="7" s="1"/>
  <c r="AI50" i="7"/>
  <c r="AM50" i="7" s="1"/>
  <c r="AH50" i="7"/>
  <c r="AH74" i="7"/>
  <c r="AI74" i="7"/>
  <c r="AM74" i="7" s="1"/>
  <c r="AF97" i="7"/>
  <c r="AF110" i="7"/>
  <c r="AF70" i="7"/>
  <c r="AH112" i="7"/>
  <c r="AI112" i="7"/>
  <c r="AM112" i="7" s="1"/>
  <c r="AI18" i="7"/>
  <c r="AM18" i="7" s="1"/>
  <c r="AH62" i="6"/>
  <c r="AI62" i="6"/>
  <c r="AM62" i="6" s="1"/>
  <c r="AH96" i="6"/>
  <c r="AI96" i="6"/>
  <c r="AM96" i="6" s="1"/>
  <c r="AF40" i="6"/>
  <c r="AF35" i="6"/>
  <c r="AH97" i="6"/>
  <c r="AH80" i="6"/>
  <c r="AI80" i="6"/>
  <c r="AM80" i="6" s="1"/>
  <c r="AI46" i="6"/>
  <c r="AM46" i="6" s="1"/>
  <c r="AH46" i="6"/>
  <c r="AF28" i="6"/>
  <c r="AI13" i="6"/>
  <c r="AM13" i="6" s="1"/>
  <c r="AH13" i="6"/>
  <c r="AI139" i="6"/>
  <c r="AM139" i="6" s="1"/>
  <c r="AH139" i="6"/>
  <c r="AI120" i="6"/>
  <c r="AM120" i="6" s="1"/>
  <c r="AH120" i="6"/>
  <c r="AI6" i="6"/>
  <c r="AM6" i="6" s="1"/>
  <c r="AH6" i="6"/>
  <c r="AH138" i="6"/>
  <c r="AI138" i="6"/>
  <c r="AM138" i="6" s="1"/>
  <c r="AI22" i="6"/>
  <c r="AM22" i="6" s="1"/>
  <c r="AH22" i="6"/>
  <c r="AH37" i="6"/>
  <c r="AI37" i="6"/>
  <c r="AM37" i="6" s="1"/>
  <c r="AI110" i="6"/>
  <c r="AM110" i="6" s="1"/>
  <c r="AH110" i="6"/>
  <c r="AH73" i="6"/>
  <c r="AI73" i="6"/>
  <c r="AM73" i="6" s="1"/>
  <c r="AI60" i="6"/>
  <c r="AM60" i="6" s="1"/>
  <c r="AH60" i="6"/>
  <c r="AH119" i="6"/>
  <c r="AI119" i="6"/>
  <c r="AM119" i="6" s="1"/>
  <c r="AI26" i="6"/>
  <c r="AM26" i="6" s="1"/>
  <c r="AH26" i="6"/>
  <c r="AI39" i="6"/>
  <c r="AM39" i="6" s="1"/>
  <c r="AH39" i="6"/>
  <c r="AH109" i="6"/>
  <c r="AI109" i="6"/>
  <c r="AM109" i="6" s="1"/>
  <c r="AF8" i="6"/>
  <c r="AI130" i="6"/>
  <c r="AM130" i="6" s="1"/>
  <c r="AH130" i="6"/>
  <c r="AH50" i="6"/>
  <c r="AI50" i="6"/>
  <c r="AM50" i="6" s="1"/>
  <c r="AH133" i="6"/>
  <c r="AI133" i="6"/>
  <c r="AM133" i="6" s="1"/>
  <c r="AI85" i="6"/>
  <c r="AM85" i="6" s="1"/>
  <c r="AH85" i="6"/>
  <c r="AH55" i="6"/>
  <c r="AI55" i="6"/>
  <c r="AM55" i="6" s="1"/>
  <c r="AI10" i="6"/>
  <c r="AM10" i="6" s="1"/>
  <c r="AH10" i="6"/>
  <c r="AH135" i="6"/>
  <c r="AI135" i="6"/>
  <c r="AM135" i="6" s="1"/>
  <c r="AH113" i="6"/>
  <c r="AI113" i="6"/>
  <c r="AM113" i="6" s="1"/>
  <c r="AI106" i="6"/>
  <c r="AM106" i="6" s="1"/>
  <c r="AH106" i="6"/>
  <c r="AH57" i="6"/>
  <c r="AI57" i="6"/>
  <c r="AM57" i="6" s="1"/>
  <c r="AF33" i="6"/>
  <c r="AH17" i="6"/>
  <c r="AI17" i="6"/>
  <c r="AM17" i="6" s="1"/>
  <c r="AI127" i="6"/>
  <c r="AM127" i="6" s="1"/>
  <c r="AH127" i="6"/>
  <c r="AH29" i="6"/>
  <c r="AI29" i="6"/>
  <c r="AM29" i="6" s="1"/>
  <c r="AH117" i="6"/>
  <c r="AI117" i="6"/>
  <c r="AM117" i="6" s="1"/>
  <c r="AI99" i="6"/>
  <c r="AM99" i="6" s="1"/>
  <c r="AH99" i="6"/>
  <c r="AH64" i="6"/>
  <c r="AI64" i="6"/>
  <c r="AM64" i="6" s="1"/>
  <c r="AH129" i="6"/>
  <c r="AI129" i="6"/>
  <c r="AM129" i="6" s="1"/>
  <c r="AH76" i="6"/>
  <c r="AI76" i="6"/>
  <c r="AM76" i="6" s="1"/>
  <c r="AH51" i="6"/>
  <c r="AI51" i="6"/>
  <c r="AM51" i="6" s="1"/>
  <c r="AH137" i="6"/>
  <c r="AI137" i="6"/>
  <c r="AM137" i="6" s="1"/>
  <c r="AH75" i="6"/>
  <c r="AI75" i="6"/>
  <c r="AM75" i="6" s="1"/>
  <c r="AH131" i="6"/>
  <c r="AI131" i="6"/>
  <c r="AM131" i="6" s="1"/>
  <c r="AH115" i="6"/>
  <c r="AI115" i="6"/>
  <c r="AM115" i="6" s="1"/>
  <c r="AI38" i="6"/>
  <c r="AM38" i="6" s="1"/>
  <c r="AH38" i="6"/>
  <c r="AF68" i="6"/>
  <c r="AF88" i="6"/>
  <c r="AM83" i="6"/>
  <c r="AH72" i="6"/>
  <c r="AI72" i="6"/>
  <c r="AM72" i="6" s="1"/>
  <c r="AM43" i="6"/>
  <c r="AF27" i="6"/>
  <c r="AH79" i="6"/>
  <c r="AI79" i="6"/>
  <c r="AM79" i="6" s="1"/>
  <c r="AH32" i="6"/>
  <c r="AI32" i="6"/>
  <c r="AM32" i="6" s="1"/>
  <c r="AF90" i="6"/>
  <c r="AF30" i="6"/>
  <c r="AH112" i="6"/>
  <c r="AI112" i="6"/>
  <c r="AM112" i="6" s="1"/>
  <c r="AF70" i="6"/>
  <c r="AH41" i="6"/>
  <c r="AI41" i="6"/>
  <c r="AM41" i="6" s="1"/>
  <c r="AH81" i="6"/>
  <c r="AI81" i="6"/>
  <c r="AM81" i="6" s="1"/>
  <c r="AH45" i="6"/>
  <c r="AI5" i="6"/>
  <c r="AM5" i="6" s="1"/>
  <c r="AH77" i="6"/>
  <c r="AI77" i="6"/>
  <c r="AM77" i="6" s="1"/>
  <c r="AF128" i="6"/>
  <c r="AF108" i="6"/>
  <c r="AH92" i="6"/>
  <c r="AI92" i="6"/>
  <c r="AM92" i="6" s="1"/>
  <c r="AF59" i="6"/>
  <c r="AI47" i="6"/>
  <c r="AM47" i="6" s="1"/>
  <c r="AI89" i="6"/>
  <c r="AM89" i="6" s="1"/>
  <c r="AH52" i="6"/>
  <c r="AI52" i="6"/>
  <c r="AM52" i="6" s="1"/>
  <c r="AF7" i="6"/>
  <c r="AH132" i="6"/>
  <c r="AI132" i="6"/>
  <c r="AM132" i="6" s="1"/>
  <c r="AF107" i="6"/>
  <c r="AF67" i="6"/>
  <c r="AH105" i="6"/>
  <c r="AI101" i="6"/>
  <c r="AM101" i="6" s="1"/>
  <c r="AH101" i="6"/>
  <c r="AF87" i="6"/>
  <c r="AI56" i="6"/>
  <c r="AM56" i="6" s="1"/>
  <c r="AH21" i="6"/>
  <c r="AI21" i="6"/>
  <c r="AM21" i="6" s="1"/>
  <c r="AI23" i="6"/>
  <c r="AM23" i="6" s="1"/>
  <c r="AL140" i="5"/>
  <c r="T140" i="5"/>
  <c r="U140" i="5" s="1"/>
  <c r="N140" i="5"/>
  <c r="AT140" i="5" s="1"/>
  <c r="AL139" i="5"/>
  <c r="T139" i="5"/>
  <c r="U139" i="5" s="1"/>
  <c r="N139" i="5"/>
  <c r="AT139" i="5" s="1"/>
  <c r="AL138" i="5"/>
  <c r="T138" i="5"/>
  <c r="U138" i="5" s="1"/>
  <c r="N138" i="5"/>
  <c r="AT138" i="5" s="1"/>
  <c r="AL137" i="5"/>
  <c r="T137" i="5"/>
  <c r="U137" i="5" s="1"/>
  <c r="N137" i="5"/>
  <c r="AT137" i="5" s="1"/>
  <c r="AL136" i="5"/>
  <c r="T136" i="5"/>
  <c r="U136" i="5" s="1"/>
  <c r="N136" i="5"/>
  <c r="AT136" i="5" s="1"/>
  <c r="AL135" i="5"/>
  <c r="T135" i="5"/>
  <c r="U135" i="5" s="1"/>
  <c r="N135" i="5"/>
  <c r="AT135" i="5" s="1"/>
  <c r="AT134" i="5"/>
  <c r="AL134" i="5"/>
  <c r="T134" i="5"/>
  <c r="U134" i="5" s="1"/>
  <c r="N134" i="5"/>
  <c r="AL133" i="5"/>
  <c r="T133" i="5"/>
  <c r="U133" i="5" s="1"/>
  <c r="N133" i="5"/>
  <c r="AT133" i="5" s="1"/>
  <c r="AT132" i="5"/>
  <c r="AL132" i="5"/>
  <c r="AA132" i="5"/>
  <c r="AB132" i="5" s="1"/>
  <c r="U132" i="5"/>
  <c r="AF132" i="5" s="1"/>
  <c r="T132" i="5"/>
  <c r="N132" i="5"/>
  <c r="AL131" i="5"/>
  <c r="T131" i="5"/>
  <c r="U131" i="5" s="1"/>
  <c r="N131" i="5"/>
  <c r="AT131" i="5" s="1"/>
  <c r="AT130" i="5"/>
  <c r="AL130" i="5"/>
  <c r="T130" i="5"/>
  <c r="U130" i="5" s="1"/>
  <c r="N130" i="5"/>
  <c r="AL129" i="5"/>
  <c r="T129" i="5"/>
  <c r="U129" i="5" s="1"/>
  <c r="N129" i="5"/>
  <c r="AT129" i="5" s="1"/>
  <c r="AT128" i="5"/>
  <c r="AL128" i="5"/>
  <c r="T128" i="5"/>
  <c r="U128" i="5" s="1"/>
  <c r="N128" i="5"/>
  <c r="AL127" i="5"/>
  <c r="T127" i="5"/>
  <c r="U127" i="5" s="1"/>
  <c r="N127" i="5"/>
  <c r="AT127" i="5" s="1"/>
  <c r="AL126" i="5"/>
  <c r="T126" i="5"/>
  <c r="U126" i="5" s="1"/>
  <c r="N126" i="5"/>
  <c r="AT126" i="5" s="1"/>
  <c r="AL125" i="5"/>
  <c r="T125" i="5"/>
  <c r="U125" i="5" s="1"/>
  <c r="N125" i="5"/>
  <c r="AT125" i="5" s="1"/>
  <c r="AL124" i="5"/>
  <c r="T124" i="5"/>
  <c r="U124" i="5" s="1"/>
  <c r="N124" i="5"/>
  <c r="AT124" i="5" s="1"/>
  <c r="AT123" i="5"/>
  <c r="AL123" i="5"/>
  <c r="T123" i="5"/>
  <c r="U123" i="5" s="1"/>
  <c r="N123" i="5"/>
  <c r="AL122" i="5"/>
  <c r="T122" i="5"/>
  <c r="U122" i="5" s="1"/>
  <c r="N122" i="5"/>
  <c r="AT122" i="5" s="1"/>
  <c r="AT121" i="5"/>
  <c r="AL121" i="5"/>
  <c r="U121" i="5"/>
  <c r="T121" i="5"/>
  <c r="N121" i="5"/>
  <c r="AL120" i="5"/>
  <c r="T120" i="5"/>
  <c r="U120" i="5" s="1"/>
  <c r="N120" i="5"/>
  <c r="AT120" i="5" s="1"/>
  <c r="AT119" i="5"/>
  <c r="AL119" i="5"/>
  <c r="U119" i="5"/>
  <c r="T119" i="5"/>
  <c r="N119" i="5"/>
  <c r="AL118" i="5"/>
  <c r="T118" i="5"/>
  <c r="U118" i="5" s="1"/>
  <c r="N118" i="5"/>
  <c r="AT118" i="5" s="1"/>
  <c r="AT117" i="5"/>
  <c r="AL117" i="5"/>
  <c r="T117" i="5"/>
  <c r="U117" i="5" s="1"/>
  <c r="N117" i="5"/>
  <c r="AL116" i="5"/>
  <c r="T116" i="5"/>
  <c r="U116" i="5" s="1"/>
  <c r="N116" i="5"/>
  <c r="AT116" i="5" s="1"/>
  <c r="AL115" i="5"/>
  <c r="T115" i="5"/>
  <c r="U115" i="5" s="1"/>
  <c r="N115" i="5"/>
  <c r="AT115" i="5" s="1"/>
  <c r="AL114" i="5"/>
  <c r="T114" i="5"/>
  <c r="U114" i="5" s="1"/>
  <c r="N114" i="5"/>
  <c r="AT114" i="5" s="1"/>
  <c r="AL113" i="5"/>
  <c r="T113" i="5"/>
  <c r="U113" i="5" s="1"/>
  <c r="N113" i="5"/>
  <c r="AT113" i="5" s="1"/>
  <c r="AL112" i="5"/>
  <c r="T112" i="5"/>
  <c r="U112" i="5" s="1"/>
  <c r="N112" i="5"/>
  <c r="AT112" i="5" s="1"/>
  <c r="AL111" i="5"/>
  <c r="T111" i="5"/>
  <c r="U111" i="5" s="1"/>
  <c r="N111" i="5"/>
  <c r="AT111" i="5" s="1"/>
  <c r="AL110" i="5"/>
  <c r="T110" i="5"/>
  <c r="U110" i="5" s="1"/>
  <c r="N110" i="5"/>
  <c r="AT110" i="5" s="1"/>
  <c r="AL109" i="5"/>
  <c r="T109" i="5"/>
  <c r="U109" i="5" s="1"/>
  <c r="N109" i="5"/>
  <c r="AT109" i="5" s="1"/>
  <c r="AL108" i="5"/>
  <c r="T108" i="5"/>
  <c r="U108" i="5" s="1"/>
  <c r="N108" i="5"/>
  <c r="AT108" i="5" s="1"/>
  <c r="AL107" i="5"/>
  <c r="T107" i="5"/>
  <c r="U107" i="5" s="1"/>
  <c r="N107" i="5"/>
  <c r="AT107" i="5" s="1"/>
  <c r="AL106" i="5"/>
  <c r="T106" i="5"/>
  <c r="U106" i="5" s="1"/>
  <c r="N106" i="5"/>
  <c r="AT106" i="5" s="1"/>
  <c r="AL105" i="5"/>
  <c r="T105" i="5"/>
  <c r="U105" i="5" s="1"/>
  <c r="N105" i="5"/>
  <c r="AT105" i="5" s="1"/>
  <c r="AL104" i="5"/>
  <c r="T104" i="5"/>
  <c r="U104" i="5" s="1"/>
  <c r="N104" i="5"/>
  <c r="AT104" i="5" s="1"/>
  <c r="AL103" i="5"/>
  <c r="T103" i="5"/>
  <c r="U103" i="5" s="1"/>
  <c r="N103" i="5"/>
  <c r="AT103" i="5" s="1"/>
  <c r="AL102" i="5"/>
  <c r="T102" i="5"/>
  <c r="U102" i="5" s="1"/>
  <c r="N102" i="5"/>
  <c r="AT102" i="5" s="1"/>
  <c r="AL101" i="5"/>
  <c r="T101" i="5"/>
  <c r="U101" i="5" s="1"/>
  <c r="N101" i="5"/>
  <c r="AT101" i="5" s="1"/>
  <c r="AL100" i="5"/>
  <c r="T100" i="5"/>
  <c r="U100" i="5" s="1"/>
  <c r="N100" i="5"/>
  <c r="AT100" i="5" s="1"/>
  <c r="AL99" i="5"/>
  <c r="T99" i="5"/>
  <c r="U99" i="5" s="1"/>
  <c r="N99" i="5"/>
  <c r="AT99" i="5" s="1"/>
  <c r="AL98" i="5"/>
  <c r="T98" i="5"/>
  <c r="U98" i="5" s="1"/>
  <c r="N98" i="5"/>
  <c r="AT98" i="5" s="1"/>
  <c r="AL97" i="5"/>
  <c r="T97" i="5"/>
  <c r="U97" i="5" s="1"/>
  <c r="N97" i="5"/>
  <c r="AT97" i="5" s="1"/>
  <c r="AL96" i="5"/>
  <c r="T96" i="5"/>
  <c r="U96" i="5" s="1"/>
  <c r="N96" i="5"/>
  <c r="AT96" i="5" s="1"/>
  <c r="AL95" i="5"/>
  <c r="T95" i="5"/>
  <c r="U95" i="5" s="1"/>
  <c r="N95" i="5"/>
  <c r="AT95" i="5" s="1"/>
  <c r="AL94" i="5"/>
  <c r="T94" i="5"/>
  <c r="U94" i="5" s="1"/>
  <c r="N94" i="5"/>
  <c r="AT94" i="5" s="1"/>
  <c r="AL93" i="5"/>
  <c r="T93" i="5"/>
  <c r="U93" i="5" s="1"/>
  <c r="N93" i="5"/>
  <c r="AT93" i="5" s="1"/>
  <c r="AL92" i="5"/>
  <c r="T92" i="5"/>
  <c r="U92" i="5" s="1"/>
  <c r="N92" i="5"/>
  <c r="AT92" i="5" s="1"/>
  <c r="AL91" i="5"/>
  <c r="T91" i="5"/>
  <c r="U91" i="5" s="1"/>
  <c r="N91" i="5"/>
  <c r="AT91" i="5" s="1"/>
  <c r="AL90" i="5"/>
  <c r="T90" i="5"/>
  <c r="U90" i="5" s="1"/>
  <c r="N90" i="5"/>
  <c r="AT90" i="5" s="1"/>
  <c r="AL89" i="5"/>
  <c r="T89" i="5"/>
  <c r="U89" i="5" s="1"/>
  <c r="N89" i="5"/>
  <c r="AT89" i="5" s="1"/>
  <c r="AL88" i="5"/>
  <c r="T88" i="5"/>
  <c r="U88" i="5" s="1"/>
  <c r="N88" i="5"/>
  <c r="AT88" i="5" s="1"/>
  <c r="AL87" i="5"/>
  <c r="T87" i="5"/>
  <c r="U87" i="5" s="1"/>
  <c r="N87" i="5"/>
  <c r="AT87" i="5" s="1"/>
  <c r="AL86" i="5"/>
  <c r="T86" i="5"/>
  <c r="U86" i="5" s="1"/>
  <c r="N86" i="5"/>
  <c r="AT86" i="5" s="1"/>
  <c r="AL85" i="5"/>
  <c r="T85" i="5"/>
  <c r="U85" i="5" s="1"/>
  <c r="N85" i="5"/>
  <c r="AT85" i="5" s="1"/>
  <c r="AL84" i="5"/>
  <c r="T84" i="5"/>
  <c r="U84" i="5" s="1"/>
  <c r="N84" i="5"/>
  <c r="AT84" i="5" s="1"/>
  <c r="AT83" i="5"/>
  <c r="AL83" i="5"/>
  <c r="T83" i="5"/>
  <c r="U83" i="5" s="1"/>
  <c r="N83" i="5"/>
  <c r="AL82" i="5"/>
  <c r="T82" i="5"/>
  <c r="U82" i="5" s="1"/>
  <c r="N82" i="5"/>
  <c r="AT82" i="5" s="1"/>
  <c r="AT81" i="5"/>
  <c r="AL81" i="5"/>
  <c r="T81" i="5"/>
  <c r="U81" i="5" s="1"/>
  <c r="N81" i="5"/>
  <c r="AL80" i="5"/>
  <c r="T80" i="5"/>
  <c r="U80" i="5" s="1"/>
  <c r="N80" i="5"/>
  <c r="AT80" i="5" s="1"/>
  <c r="AT79" i="5"/>
  <c r="AL79" i="5"/>
  <c r="T79" i="5"/>
  <c r="U79" i="5" s="1"/>
  <c r="N79" i="5"/>
  <c r="AL78" i="5"/>
  <c r="T78" i="5"/>
  <c r="U78" i="5" s="1"/>
  <c r="N78" i="5"/>
  <c r="AT78" i="5" s="1"/>
  <c r="AL77" i="5"/>
  <c r="T77" i="5"/>
  <c r="U77" i="5" s="1"/>
  <c r="N77" i="5"/>
  <c r="AT77" i="5" s="1"/>
  <c r="AL76" i="5"/>
  <c r="T76" i="5"/>
  <c r="U76" i="5" s="1"/>
  <c r="N76" i="5"/>
  <c r="AT76" i="5" s="1"/>
  <c r="AL75" i="5"/>
  <c r="T75" i="5"/>
  <c r="U75" i="5" s="1"/>
  <c r="N75" i="5"/>
  <c r="AT75" i="5" s="1"/>
  <c r="AL74" i="5"/>
  <c r="T74" i="5"/>
  <c r="U74" i="5" s="1"/>
  <c r="N74" i="5"/>
  <c r="AT74" i="5" s="1"/>
  <c r="AL73" i="5"/>
  <c r="T73" i="5"/>
  <c r="U73" i="5" s="1"/>
  <c r="N73" i="5"/>
  <c r="AT73" i="5" s="1"/>
  <c r="AL72" i="5"/>
  <c r="T72" i="5"/>
  <c r="U72" i="5" s="1"/>
  <c r="N72" i="5"/>
  <c r="AT72" i="5" s="1"/>
  <c r="AL71" i="5"/>
  <c r="T71" i="5"/>
  <c r="U71" i="5" s="1"/>
  <c r="N71" i="5"/>
  <c r="AT71" i="5" s="1"/>
  <c r="AL70" i="5"/>
  <c r="T70" i="5"/>
  <c r="U70" i="5" s="1"/>
  <c r="N70" i="5"/>
  <c r="AT70" i="5" s="1"/>
  <c r="AL69" i="5"/>
  <c r="T69" i="5"/>
  <c r="U69" i="5" s="1"/>
  <c r="N69" i="5"/>
  <c r="AT69" i="5" s="1"/>
  <c r="AL68" i="5"/>
  <c r="T68" i="5"/>
  <c r="U68" i="5" s="1"/>
  <c r="N68" i="5"/>
  <c r="AT68" i="5" s="1"/>
  <c r="AL67" i="5"/>
  <c r="T67" i="5"/>
  <c r="U67" i="5" s="1"/>
  <c r="N67" i="5"/>
  <c r="AT67" i="5" s="1"/>
  <c r="AT66" i="5"/>
  <c r="AL66" i="5"/>
  <c r="T66" i="5"/>
  <c r="U66" i="5" s="1"/>
  <c r="N66" i="5"/>
  <c r="AL65" i="5"/>
  <c r="AA65" i="5"/>
  <c r="AB65" i="5" s="1"/>
  <c r="U65" i="5"/>
  <c r="AF65" i="5" s="1"/>
  <c r="T65" i="5"/>
  <c r="N65" i="5"/>
  <c r="AT65" i="5" s="1"/>
  <c r="AL64" i="5"/>
  <c r="T64" i="5"/>
  <c r="U64" i="5" s="1"/>
  <c r="N64" i="5"/>
  <c r="AT64" i="5" s="1"/>
  <c r="AL63" i="5"/>
  <c r="T63" i="5"/>
  <c r="U63" i="5" s="1"/>
  <c r="N63" i="5"/>
  <c r="AT63" i="5" s="1"/>
  <c r="AL62" i="5"/>
  <c r="U62" i="5"/>
  <c r="T62" i="5"/>
  <c r="N62" i="5"/>
  <c r="AT62" i="5" s="1"/>
  <c r="AL61" i="5"/>
  <c r="U61" i="5"/>
  <c r="T61" i="5"/>
  <c r="N61" i="5"/>
  <c r="AT61" i="5" s="1"/>
  <c r="AL60" i="5"/>
  <c r="T60" i="5"/>
  <c r="U60" i="5" s="1"/>
  <c r="N60" i="5"/>
  <c r="AT60" i="5" s="1"/>
  <c r="AT59" i="5"/>
  <c r="AL59" i="5"/>
  <c r="T59" i="5"/>
  <c r="U59" i="5" s="1"/>
  <c r="N59" i="5"/>
  <c r="AL58" i="5"/>
  <c r="T58" i="5"/>
  <c r="U58" i="5" s="1"/>
  <c r="N58" i="5"/>
  <c r="AT58" i="5" s="1"/>
  <c r="AT57" i="5"/>
  <c r="AL57" i="5"/>
  <c r="T57" i="5"/>
  <c r="U57" i="5" s="1"/>
  <c r="N57" i="5"/>
  <c r="AL56" i="5"/>
  <c r="T56" i="5"/>
  <c r="U56" i="5" s="1"/>
  <c r="N56" i="5"/>
  <c r="AT56" i="5" s="1"/>
  <c r="AT55" i="5"/>
  <c r="AL55" i="5"/>
  <c r="T55" i="5"/>
  <c r="U55" i="5" s="1"/>
  <c r="N55" i="5"/>
  <c r="AL54" i="5"/>
  <c r="T54" i="5"/>
  <c r="U54" i="5" s="1"/>
  <c r="N54" i="5"/>
  <c r="AT54" i="5" s="1"/>
  <c r="AL53" i="5"/>
  <c r="T53" i="5"/>
  <c r="U53" i="5" s="1"/>
  <c r="N53" i="5"/>
  <c r="AT53" i="5" s="1"/>
  <c r="AL52" i="5"/>
  <c r="T52" i="5"/>
  <c r="U52" i="5" s="1"/>
  <c r="N52" i="5"/>
  <c r="AT52" i="5" s="1"/>
  <c r="AT51" i="5"/>
  <c r="AL51" i="5"/>
  <c r="AA51" i="5"/>
  <c r="AB51" i="5" s="1"/>
  <c r="U51" i="5"/>
  <c r="T51" i="5"/>
  <c r="N51" i="5"/>
  <c r="AL50" i="5"/>
  <c r="T50" i="5"/>
  <c r="U50" i="5" s="1"/>
  <c r="N50" i="5"/>
  <c r="AT50" i="5" s="1"/>
  <c r="AL49" i="5"/>
  <c r="T49" i="5"/>
  <c r="U49" i="5" s="1"/>
  <c r="N49" i="5"/>
  <c r="AT49" i="5" s="1"/>
  <c r="AT48" i="5"/>
  <c r="AL48" i="5"/>
  <c r="T48" i="5"/>
  <c r="U48" i="5" s="1"/>
  <c r="N48" i="5"/>
  <c r="AL47" i="5"/>
  <c r="T47" i="5"/>
  <c r="U47" i="5" s="1"/>
  <c r="N47" i="5"/>
  <c r="AT47" i="5" s="1"/>
  <c r="AL46" i="5"/>
  <c r="T46" i="5"/>
  <c r="U46" i="5" s="1"/>
  <c r="N46" i="5"/>
  <c r="AT46" i="5" s="1"/>
  <c r="AL45" i="5"/>
  <c r="T45" i="5"/>
  <c r="U45" i="5" s="1"/>
  <c r="N45" i="5"/>
  <c r="AT45" i="5" s="1"/>
  <c r="AL44" i="5"/>
  <c r="T44" i="5"/>
  <c r="U44" i="5" s="1"/>
  <c r="N44" i="5"/>
  <c r="AT44" i="5" s="1"/>
  <c r="AL43" i="5"/>
  <c r="T43" i="5"/>
  <c r="U43" i="5" s="1"/>
  <c r="N43" i="5"/>
  <c r="AT43" i="5" s="1"/>
  <c r="AL42" i="5"/>
  <c r="T42" i="5"/>
  <c r="N42" i="5"/>
  <c r="AT42" i="5" s="1"/>
  <c r="AL41" i="5"/>
  <c r="T41" i="5"/>
  <c r="N41" i="5"/>
  <c r="AT41" i="5" s="1"/>
  <c r="AL40" i="5"/>
  <c r="T40" i="5"/>
  <c r="N40" i="5"/>
  <c r="AT40" i="5" s="1"/>
  <c r="AL39" i="5"/>
  <c r="AA39" i="5"/>
  <c r="AB39" i="5" s="1"/>
  <c r="AF39" i="5" s="1"/>
  <c r="T39" i="5"/>
  <c r="N39" i="5"/>
  <c r="AT39" i="5" s="1"/>
  <c r="AL38" i="5"/>
  <c r="T38" i="5"/>
  <c r="N38" i="5"/>
  <c r="AT38" i="5" s="1"/>
  <c r="AL37" i="5"/>
  <c r="T37" i="5"/>
  <c r="N37" i="5"/>
  <c r="AT37" i="5" s="1"/>
  <c r="AL36" i="5"/>
  <c r="T36" i="5"/>
  <c r="N36" i="5"/>
  <c r="AT36" i="5" s="1"/>
  <c r="AL35" i="5"/>
  <c r="T35" i="5"/>
  <c r="N35" i="5"/>
  <c r="AT35" i="5" s="1"/>
  <c r="AL34" i="5"/>
  <c r="T34" i="5"/>
  <c r="N34" i="5"/>
  <c r="AT34" i="5" s="1"/>
  <c r="AL33" i="5"/>
  <c r="T33" i="5"/>
  <c r="N33" i="5"/>
  <c r="AT33" i="5" s="1"/>
  <c r="AL32" i="5"/>
  <c r="T32" i="5"/>
  <c r="N32" i="5"/>
  <c r="AT32" i="5" s="1"/>
  <c r="AL31" i="5"/>
  <c r="T31" i="5"/>
  <c r="N31" i="5"/>
  <c r="AT31" i="5" s="1"/>
  <c r="AL30" i="5"/>
  <c r="T30" i="5"/>
  <c r="N30" i="5"/>
  <c r="AT30" i="5" s="1"/>
  <c r="AL29" i="5"/>
  <c r="T29" i="5"/>
  <c r="N29" i="5"/>
  <c r="AT29" i="5" s="1"/>
  <c r="AT28" i="5"/>
  <c r="AL28" i="5"/>
  <c r="T28" i="5"/>
  <c r="N28" i="5"/>
  <c r="AL27" i="5"/>
  <c r="T27" i="5"/>
  <c r="N27" i="5"/>
  <c r="AT27" i="5" s="1"/>
  <c r="AT26" i="5"/>
  <c r="AL26" i="5"/>
  <c r="T26" i="5"/>
  <c r="N26" i="5"/>
  <c r="AL25" i="5"/>
  <c r="T25" i="5"/>
  <c r="N25" i="5"/>
  <c r="AT25" i="5" s="1"/>
  <c r="AL24" i="5"/>
  <c r="T24" i="5"/>
  <c r="N24" i="5"/>
  <c r="AT24" i="5" s="1"/>
  <c r="AL23" i="5"/>
  <c r="T23" i="5"/>
  <c r="N23" i="5"/>
  <c r="AT23" i="5" s="1"/>
  <c r="AT22" i="5"/>
  <c r="AL22" i="5"/>
  <c r="AA22" i="5"/>
  <c r="AB22" i="5" s="1"/>
  <c r="AF22" i="5" s="1"/>
  <c r="T22" i="5"/>
  <c r="N22" i="5"/>
  <c r="AL21" i="5"/>
  <c r="T21" i="5"/>
  <c r="N21" i="5"/>
  <c r="AT21" i="5" s="1"/>
  <c r="AL20" i="5"/>
  <c r="T20" i="5"/>
  <c r="N20" i="5"/>
  <c r="AT20" i="5" s="1"/>
  <c r="AT19" i="5"/>
  <c r="AL19" i="5"/>
  <c r="T19" i="5"/>
  <c r="N19" i="5"/>
  <c r="AL18" i="5"/>
  <c r="T18" i="5"/>
  <c r="N18" i="5"/>
  <c r="AT18" i="5" s="1"/>
  <c r="AT17" i="5"/>
  <c r="AL17" i="5"/>
  <c r="T17" i="5"/>
  <c r="N17" i="5"/>
  <c r="AL16" i="5"/>
  <c r="T16" i="5"/>
  <c r="N16" i="5"/>
  <c r="AT16" i="5" s="1"/>
  <c r="AL15" i="5"/>
  <c r="T15" i="5"/>
  <c r="N15" i="5"/>
  <c r="AT15" i="5" s="1"/>
  <c r="AL14" i="5"/>
  <c r="T14" i="5"/>
  <c r="N14" i="5"/>
  <c r="AT14" i="5" s="1"/>
  <c r="AL13" i="5"/>
  <c r="T13" i="5"/>
  <c r="N13" i="5"/>
  <c r="AT13" i="5" s="1"/>
  <c r="AL12" i="5"/>
  <c r="AA12" i="5"/>
  <c r="AB12" i="5" s="1"/>
  <c r="AF12" i="5" s="1"/>
  <c r="T12" i="5"/>
  <c r="N12" i="5"/>
  <c r="AT12" i="5" s="1"/>
  <c r="AL11" i="5"/>
  <c r="AA11" i="5"/>
  <c r="AB11" i="5" s="1"/>
  <c r="AF11" i="5" s="1"/>
  <c r="T11" i="5"/>
  <c r="N11" i="5"/>
  <c r="AT11" i="5" s="1"/>
  <c r="AL10" i="5"/>
  <c r="T10" i="5"/>
  <c r="U10" i="5" s="1"/>
  <c r="N10" i="5"/>
  <c r="AT10" i="5" s="1"/>
  <c r="AL9" i="5"/>
  <c r="T9" i="5"/>
  <c r="U9" i="5" s="1"/>
  <c r="N9" i="5"/>
  <c r="AT9" i="5" s="1"/>
  <c r="AL8" i="5"/>
  <c r="T8" i="5"/>
  <c r="U8" i="5" s="1"/>
  <c r="N8" i="5"/>
  <c r="AT8" i="5" s="1"/>
  <c r="AL7" i="5"/>
  <c r="AA7" i="5"/>
  <c r="AB7" i="5" s="1"/>
  <c r="T7" i="5"/>
  <c r="U7" i="5" s="1"/>
  <c r="N7" i="5"/>
  <c r="AT7" i="5" s="1"/>
  <c r="AL6" i="5"/>
  <c r="AD6" i="5"/>
  <c r="T6" i="5"/>
  <c r="U6" i="5" s="1"/>
  <c r="N6" i="5"/>
  <c r="AT6" i="5" s="1"/>
  <c r="AL5" i="5"/>
  <c r="AD5" i="5"/>
  <c r="T5" i="5"/>
  <c r="U5" i="5" s="1"/>
  <c r="N5" i="5"/>
  <c r="AT5" i="5" s="1"/>
  <c r="I2" i="5"/>
  <c r="AA108" i="5" s="1"/>
  <c r="AB108" i="5" s="1"/>
  <c r="AL140" i="4"/>
  <c r="T140" i="4"/>
  <c r="U140" i="4" s="1"/>
  <c r="N140" i="4"/>
  <c r="AT140" i="4" s="1"/>
  <c r="AL139" i="4"/>
  <c r="U139" i="4"/>
  <c r="T139" i="4"/>
  <c r="N139" i="4"/>
  <c r="AT139" i="4" s="1"/>
  <c r="AL138" i="4"/>
  <c r="T138" i="4"/>
  <c r="U138" i="4" s="1"/>
  <c r="N138" i="4"/>
  <c r="AT138" i="4" s="1"/>
  <c r="AL137" i="4"/>
  <c r="U137" i="4"/>
  <c r="T137" i="4"/>
  <c r="N137" i="4"/>
  <c r="AT137" i="4" s="1"/>
  <c r="AL136" i="4"/>
  <c r="T136" i="4"/>
  <c r="U136" i="4" s="1"/>
  <c r="N136" i="4"/>
  <c r="AT136" i="4" s="1"/>
  <c r="AL135" i="4"/>
  <c r="U135" i="4"/>
  <c r="T135" i="4"/>
  <c r="N135" i="4"/>
  <c r="AT135" i="4" s="1"/>
  <c r="AL134" i="4"/>
  <c r="T134" i="4"/>
  <c r="U134" i="4" s="1"/>
  <c r="N134" i="4"/>
  <c r="AT134" i="4" s="1"/>
  <c r="AL133" i="4"/>
  <c r="T133" i="4"/>
  <c r="U133" i="4" s="1"/>
  <c r="N133" i="4"/>
  <c r="AT133" i="4" s="1"/>
  <c r="AL132" i="4"/>
  <c r="T132" i="4"/>
  <c r="U132" i="4" s="1"/>
  <c r="N132" i="4"/>
  <c r="AT132" i="4" s="1"/>
  <c r="AT131" i="4"/>
  <c r="AL131" i="4"/>
  <c r="T131" i="4"/>
  <c r="U131" i="4" s="1"/>
  <c r="N131" i="4"/>
  <c r="AL130" i="4"/>
  <c r="T130" i="4"/>
  <c r="U130" i="4" s="1"/>
  <c r="N130" i="4"/>
  <c r="AT130" i="4" s="1"/>
  <c r="AT129" i="4"/>
  <c r="AL129" i="4"/>
  <c r="T129" i="4"/>
  <c r="U129" i="4" s="1"/>
  <c r="N129" i="4"/>
  <c r="AL128" i="4"/>
  <c r="T128" i="4"/>
  <c r="U128" i="4" s="1"/>
  <c r="N128" i="4"/>
  <c r="AT128" i="4" s="1"/>
  <c r="AL127" i="4"/>
  <c r="T127" i="4"/>
  <c r="U127" i="4" s="1"/>
  <c r="N127" i="4"/>
  <c r="AT127" i="4" s="1"/>
  <c r="AL126" i="4"/>
  <c r="T126" i="4"/>
  <c r="U126" i="4" s="1"/>
  <c r="N126" i="4"/>
  <c r="AT126" i="4" s="1"/>
  <c r="AL125" i="4"/>
  <c r="T125" i="4"/>
  <c r="U125" i="4" s="1"/>
  <c r="N125" i="4"/>
  <c r="AT125" i="4" s="1"/>
  <c r="AL124" i="4"/>
  <c r="T124" i="4"/>
  <c r="U124" i="4" s="1"/>
  <c r="N124" i="4"/>
  <c r="AT124" i="4" s="1"/>
  <c r="AL123" i="4"/>
  <c r="U123" i="4"/>
  <c r="T123" i="4"/>
  <c r="N123" i="4"/>
  <c r="AT123" i="4" s="1"/>
  <c r="AT122" i="4"/>
  <c r="AL122" i="4"/>
  <c r="T122" i="4"/>
  <c r="U122" i="4" s="1"/>
  <c r="N122" i="4"/>
  <c r="AL121" i="4"/>
  <c r="T121" i="4"/>
  <c r="U121" i="4" s="1"/>
  <c r="N121" i="4"/>
  <c r="AT121" i="4" s="1"/>
  <c r="AT120" i="4"/>
  <c r="AL120" i="4"/>
  <c r="T120" i="4"/>
  <c r="U120" i="4" s="1"/>
  <c r="N120" i="4"/>
  <c r="AL119" i="4"/>
  <c r="U119" i="4"/>
  <c r="T119" i="4"/>
  <c r="N119" i="4"/>
  <c r="AT119" i="4" s="1"/>
  <c r="AL118" i="4"/>
  <c r="T118" i="4"/>
  <c r="U118" i="4" s="1"/>
  <c r="N118" i="4"/>
  <c r="AT118" i="4" s="1"/>
  <c r="AL117" i="4"/>
  <c r="U117" i="4"/>
  <c r="T117" i="4"/>
  <c r="N117" i="4"/>
  <c r="AT117" i="4" s="1"/>
  <c r="AL116" i="4"/>
  <c r="U116" i="4"/>
  <c r="T116" i="4"/>
  <c r="N116" i="4"/>
  <c r="AT116" i="4" s="1"/>
  <c r="AL115" i="4"/>
  <c r="U115" i="4"/>
  <c r="T115" i="4"/>
  <c r="N115" i="4"/>
  <c r="AT115" i="4" s="1"/>
  <c r="AT114" i="4"/>
  <c r="AL114" i="4"/>
  <c r="T114" i="4"/>
  <c r="U114" i="4" s="1"/>
  <c r="N114" i="4"/>
  <c r="AL113" i="4"/>
  <c r="T113" i="4"/>
  <c r="U113" i="4" s="1"/>
  <c r="N113" i="4"/>
  <c r="AT113" i="4" s="1"/>
  <c r="AL112" i="4"/>
  <c r="T112" i="4"/>
  <c r="U112" i="4" s="1"/>
  <c r="N112" i="4"/>
  <c r="AT112" i="4" s="1"/>
  <c r="AL111" i="4"/>
  <c r="U111" i="4"/>
  <c r="T111" i="4"/>
  <c r="N111" i="4"/>
  <c r="AT111" i="4" s="1"/>
  <c r="AL110" i="4"/>
  <c r="T110" i="4"/>
  <c r="U110" i="4" s="1"/>
  <c r="N110" i="4"/>
  <c r="AT110" i="4" s="1"/>
  <c r="AL109" i="4"/>
  <c r="T109" i="4"/>
  <c r="U109" i="4" s="1"/>
  <c r="N109" i="4"/>
  <c r="AT109" i="4" s="1"/>
  <c r="AT108" i="4"/>
  <c r="AL108" i="4"/>
  <c r="T108" i="4"/>
  <c r="U108" i="4" s="1"/>
  <c r="N108" i="4"/>
  <c r="AL107" i="4"/>
  <c r="T107" i="4"/>
  <c r="U107" i="4" s="1"/>
  <c r="N107" i="4"/>
  <c r="AT107" i="4" s="1"/>
  <c r="AT106" i="4"/>
  <c r="AL106" i="4"/>
  <c r="T106" i="4"/>
  <c r="U106" i="4" s="1"/>
  <c r="N106" i="4"/>
  <c r="AL105" i="4"/>
  <c r="T105" i="4"/>
  <c r="U105" i="4" s="1"/>
  <c r="N105" i="4"/>
  <c r="AT105" i="4" s="1"/>
  <c r="AL104" i="4"/>
  <c r="T104" i="4"/>
  <c r="U104" i="4" s="1"/>
  <c r="N104" i="4"/>
  <c r="AT104" i="4" s="1"/>
  <c r="AL103" i="4"/>
  <c r="T103" i="4"/>
  <c r="U103" i="4" s="1"/>
  <c r="N103" i="4"/>
  <c r="AT103" i="4" s="1"/>
  <c r="AT102" i="4"/>
  <c r="AL102" i="4"/>
  <c r="T102" i="4"/>
  <c r="U102" i="4" s="1"/>
  <c r="N102" i="4"/>
  <c r="AL101" i="4"/>
  <c r="T101" i="4"/>
  <c r="U101" i="4" s="1"/>
  <c r="N101" i="4"/>
  <c r="AT101" i="4" s="1"/>
  <c r="AT100" i="4"/>
  <c r="AL100" i="4"/>
  <c r="T100" i="4"/>
  <c r="U100" i="4" s="1"/>
  <c r="N100" i="4"/>
  <c r="AL99" i="4"/>
  <c r="T99" i="4"/>
  <c r="U99" i="4" s="1"/>
  <c r="N99" i="4"/>
  <c r="AT99" i="4" s="1"/>
  <c r="AL98" i="4"/>
  <c r="T98" i="4"/>
  <c r="U98" i="4" s="1"/>
  <c r="N98" i="4"/>
  <c r="AT98" i="4" s="1"/>
  <c r="AT97" i="4"/>
  <c r="AL97" i="4"/>
  <c r="T97" i="4"/>
  <c r="U97" i="4" s="1"/>
  <c r="N97" i="4"/>
  <c r="AL96" i="4"/>
  <c r="T96" i="4"/>
  <c r="U96" i="4" s="1"/>
  <c r="N96" i="4"/>
  <c r="AT96" i="4" s="1"/>
  <c r="AT95" i="4"/>
  <c r="AL95" i="4"/>
  <c r="T95" i="4"/>
  <c r="U95" i="4" s="1"/>
  <c r="N95" i="4"/>
  <c r="AL94" i="4"/>
  <c r="T94" i="4"/>
  <c r="U94" i="4" s="1"/>
  <c r="N94" i="4"/>
  <c r="AT94" i="4" s="1"/>
  <c r="AL93" i="4"/>
  <c r="T93" i="4"/>
  <c r="U93" i="4" s="1"/>
  <c r="N93" i="4"/>
  <c r="AT93" i="4" s="1"/>
  <c r="AL92" i="4"/>
  <c r="T92" i="4"/>
  <c r="U92" i="4" s="1"/>
  <c r="N92" i="4"/>
  <c r="AT92" i="4" s="1"/>
  <c r="AT91" i="4"/>
  <c r="AL91" i="4"/>
  <c r="U91" i="4"/>
  <c r="T91" i="4"/>
  <c r="N91" i="4"/>
  <c r="AL90" i="4"/>
  <c r="T90" i="4"/>
  <c r="U90" i="4" s="1"/>
  <c r="N90" i="4"/>
  <c r="AT90" i="4" s="1"/>
  <c r="AT89" i="4"/>
  <c r="AL89" i="4"/>
  <c r="U89" i="4"/>
  <c r="T89" i="4"/>
  <c r="N89" i="4"/>
  <c r="AL88" i="4"/>
  <c r="T88" i="4"/>
  <c r="U88" i="4" s="1"/>
  <c r="N88" i="4"/>
  <c r="AT88" i="4" s="1"/>
  <c r="AL87" i="4"/>
  <c r="T87" i="4"/>
  <c r="U87" i="4" s="1"/>
  <c r="N87" i="4"/>
  <c r="AT87" i="4" s="1"/>
  <c r="AL86" i="4"/>
  <c r="T86" i="4"/>
  <c r="U86" i="4" s="1"/>
  <c r="N86" i="4"/>
  <c r="AT86" i="4" s="1"/>
  <c r="AL85" i="4"/>
  <c r="T85" i="4"/>
  <c r="U85" i="4" s="1"/>
  <c r="N85" i="4"/>
  <c r="AT85" i="4" s="1"/>
  <c r="AL84" i="4"/>
  <c r="T84" i="4"/>
  <c r="U84" i="4" s="1"/>
  <c r="N84" i="4"/>
  <c r="AT84" i="4" s="1"/>
  <c r="AL83" i="4"/>
  <c r="T83" i="4"/>
  <c r="U83" i="4" s="1"/>
  <c r="N83" i="4"/>
  <c r="AT83" i="4" s="1"/>
  <c r="AT82" i="4"/>
  <c r="AL82" i="4"/>
  <c r="T82" i="4"/>
  <c r="U82" i="4" s="1"/>
  <c r="N82" i="4"/>
  <c r="AL81" i="4"/>
  <c r="T81" i="4"/>
  <c r="U81" i="4" s="1"/>
  <c r="N81" i="4"/>
  <c r="AT81" i="4" s="1"/>
  <c r="AL80" i="4"/>
  <c r="T80" i="4"/>
  <c r="U80" i="4" s="1"/>
  <c r="N80" i="4"/>
  <c r="AT80" i="4" s="1"/>
  <c r="AL79" i="4"/>
  <c r="T79" i="4"/>
  <c r="U79" i="4" s="1"/>
  <c r="N79" i="4"/>
  <c r="AT79" i="4" s="1"/>
  <c r="AL78" i="4"/>
  <c r="T78" i="4"/>
  <c r="U78" i="4" s="1"/>
  <c r="N78" i="4"/>
  <c r="AT78" i="4" s="1"/>
  <c r="AL77" i="4"/>
  <c r="T77" i="4"/>
  <c r="U77" i="4" s="1"/>
  <c r="N77" i="4"/>
  <c r="AT77" i="4" s="1"/>
  <c r="AL76" i="4"/>
  <c r="T76" i="4"/>
  <c r="U76" i="4" s="1"/>
  <c r="N76" i="4"/>
  <c r="AT76" i="4" s="1"/>
  <c r="AL75" i="4"/>
  <c r="T75" i="4"/>
  <c r="U75" i="4" s="1"/>
  <c r="N75" i="4"/>
  <c r="AT75" i="4" s="1"/>
  <c r="AL74" i="4"/>
  <c r="T74" i="4"/>
  <c r="U74" i="4" s="1"/>
  <c r="N74" i="4"/>
  <c r="AT74" i="4" s="1"/>
  <c r="AL73" i="4"/>
  <c r="T73" i="4"/>
  <c r="U73" i="4" s="1"/>
  <c r="N73" i="4"/>
  <c r="AT73" i="4" s="1"/>
  <c r="AL72" i="4"/>
  <c r="T72" i="4"/>
  <c r="U72" i="4" s="1"/>
  <c r="N72" i="4"/>
  <c r="AT72" i="4" s="1"/>
  <c r="AL71" i="4"/>
  <c r="U71" i="4"/>
  <c r="T71" i="4"/>
  <c r="N71" i="4"/>
  <c r="AT71" i="4" s="1"/>
  <c r="AL70" i="4"/>
  <c r="T70" i="4"/>
  <c r="U70" i="4" s="1"/>
  <c r="N70" i="4"/>
  <c r="AT70" i="4" s="1"/>
  <c r="AT69" i="4"/>
  <c r="AL69" i="4"/>
  <c r="U69" i="4"/>
  <c r="T69" i="4"/>
  <c r="N69" i="4"/>
  <c r="AT68" i="4"/>
  <c r="AL68" i="4"/>
  <c r="T68" i="4"/>
  <c r="U68" i="4" s="1"/>
  <c r="N68" i="4"/>
  <c r="AL67" i="4"/>
  <c r="T67" i="4"/>
  <c r="U67" i="4" s="1"/>
  <c r="N67" i="4"/>
  <c r="AT67" i="4" s="1"/>
  <c r="AT66" i="4"/>
  <c r="AL66" i="4"/>
  <c r="T66" i="4"/>
  <c r="U66" i="4" s="1"/>
  <c r="N66" i="4"/>
  <c r="AL65" i="4"/>
  <c r="T65" i="4"/>
  <c r="U65" i="4" s="1"/>
  <c r="N65" i="4"/>
  <c r="AT65" i="4" s="1"/>
  <c r="AL64" i="4"/>
  <c r="T64" i="4"/>
  <c r="U64" i="4" s="1"/>
  <c r="N64" i="4"/>
  <c r="AT64" i="4" s="1"/>
  <c r="AL63" i="4"/>
  <c r="T63" i="4"/>
  <c r="U63" i="4" s="1"/>
  <c r="N63" i="4"/>
  <c r="AT63" i="4" s="1"/>
  <c r="AT62" i="4"/>
  <c r="AL62" i="4"/>
  <c r="T62" i="4"/>
  <c r="U62" i="4" s="1"/>
  <c r="N62" i="4"/>
  <c r="AL61" i="4"/>
  <c r="T61" i="4"/>
  <c r="U61" i="4" s="1"/>
  <c r="N61" i="4"/>
  <c r="AT61" i="4" s="1"/>
  <c r="AL60" i="4"/>
  <c r="T60" i="4"/>
  <c r="U60" i="4" s="1"/>
  <c r="N60" i="4"/>
  <c r="AT60" i="4" s="1"/>
  <c r="AL59" i="4"/>
  <c r="T59" i="4"/>
  <c r="U59" i="4" s="1"/>
  <c r="N59" i="4"/>
  <c r="AT59" i="4" s="1"/>
  <c r="AL58" i="4"/>
  <c r="T58" i="4"/>
  <c r="U58" i="4" s="1"/>
  <c r="N58" i="4"/>
  <c r="AT58" i="4" s="1"/>
  <c r="AL57" i="4"/>
  <c r="U57" i="4"/>
  <c r="T57" i="4"/>
  <c r="N57" i="4"/>
  <c r="AT57" i="4" s="1"/>
  <c r="AL56" i="4"/>
  <c r="T56" i="4"/>
  <c r="U56" i="4" s="1"/>
  <c r="N56" i="4"/>
  <c r="AT56" i="4" s="1"/>
  <c r="AL55" i="4"/>
  <c r="T55" i="4"/>
  <c r="U55" i="4" s="1"/>
  <c r="N55" i="4"/>
  <c r="AT55" i="4" s="1"/>
  <c r="AL54" i="4"/>
  <c r="T54" i="4"/>
  <c r="U54" i="4" s="1"/>
  <c r="N54" i="4"/>
  <c r="AT54" i="4" s="1"/>
  <c r="AL53" i="4"/>
  <c r="T53" i="4"/>
  <c r="U53" i="4" s="1"/>
  <c r="N53" i="4"/>
  <c r="AT53" i="4" s="1"/>
  <c r="AL52" i="4"/>
  <c r="T52" i="4"/>
  <c r="U52" i="4" s="1"/>
  <c r="N52" i="4"/>
  <c r="AT52" i="4" s="1"/>
  <c r="AT51" i="4"/>
  <c r="AL51" i="4"/>
  <c r="U51" i="4"/>
  <c r="T51" i="4"/>
  <c r="N51" i="4"/>
  <c r="AL50" i="4"/>
  <c r="T50" i="4"/>
  <c r="U50" i="4" s="1"/>
  <c r="N50" i="4"/>
  <c r="AT50" i="4" s="1"/>
  <c r="AT49" i="4"/>
  <c r="AL49" i="4"/>
  <c r="U49" i="4"/>
  <c r="T49" i="4"/>
  <c r="N49" i="4"/>
  <c r="AL48" i="4"/>
  <c r="T48" i="4"/>
  <c r="U48" i="4" s="1"/>
  <c r="N48" i="4"/>
  <c r="AT48" i="4" s="1"/>
  <c r="AT47" i="4"/>
  <c r="AL47" i="4"/>
  <c r="T47" i="4"/>
  <c r="U47" i="4" s="1"/>
  <c r="N47" i="4"/>
  <c r="AL46" i="4"/>
  <c r="T46" i="4"/>
  <c r="U46" i="4" s="1"/>
  <c r="N46" i="4"/>
  <c r="AT46" i="4" s="1"/>
  <c r="AT45" i="4"/>
  <c r="AL45" i="4"/>
  <c r="U45" i="4"/>
  <c r="T45" i="4"/>
  <c r="N45" i="4"/>
  <c r="AL44" i="4"/>
  <c r="T44" i="4"/>
  <c r="U44" i="4" s="1"/>
  <c r="N44" i="4"/>
  <c r="AT44" i="4" s="1"/>
  <c r="AL43" i="4"/>
  <c r="U43" i="4"/>
  <c r="T43" i="4"/>
  <c r="N43" i="4"/>
  <c r="AT43" i="4" s="1"/>
  <c r="AL42" i="4"/>
  <c r="T42" i="4"/>
  <c r="N42" i="4"/>
  <c r="AT42" i="4" s="1"/>
  <c r="AL41" i="4"/>
  <c r="T41" i="4"/>
  <c r="N41" i="4"/>
  <c r="AT41" i="4" s="1"/>
  <c r="AL40" i="4"/>
  <c r="T40" i="4"/>
  <c r="N40" i="4"/>
  <c r="AT40" i="4" s="1"/>
  <c r="AL39" i="4"/>
  <c r="T39" i="4"/>
  <c r="N39" i="4"/>
  <c r="AT39" i="4" s="1"/>
  <c r="AT38" i="4"/>
  <c r="AL38" i="4"/>
  <c r="T38" i="4"/>
  <c r="N38" i="4"/>
  <c r="AL37" i="4"/>
  <c r="T37" i="4"/>
  <c r="N37" i="4"/>
  <c r="AT37" i="4" s="1"/>
  <c r="AL36" i="4"/>
  <c r="T36" i="4"/>
  <c r="N36" i="4"/>
  <c r="AT36" i="4" s="1"/>
  <c r="AL35" i="4"/>
  <c r="T35" i="4"/>
  <c r="N35" i="4"/>
  <c r="AT35" i="4" s="1"/>
  <c r="AL34" i="4"/>
  <c r="T34" i="4"/>
  <c r="N34" i="4"/>
  <c r="AT34" i="4" s="1"/>
  <c r="AL33" i="4"/>
  <c r="T33" i="4"/>
  <c r="N33" i="4"/>
  <c r="AT33" i="4" s="1"/>
  <c r="AL32" i="4"/>
  <c r="T32" i="4"/>
  <c r="N32" i="4"/>
  <c r="AT32" i="4" s="1"/>
  <c r="AL31" i="4"/>
  <c r="T31" i="4"/>
  <c r="N31" i="4"/>
  <c r="AT31" i="4" s="1"/>
  <c r="AL30" i="4"/>
  <c r="T30" i="4"/>
  <c r="N30" i="4"/>
  <c r="AT30" i="4" s="1"/>
  <c r="AL29" i="4"/>
  <c r="T29" i="4"/>
  <c r="N29" i="4"/>
  <c r="AT29" i="4" s="1"/>
  <c r="AT28" i="4"/>
  <c r="AL28" i="4"/>
  <c r="T28" i="4"/>
  <c r="N28" i="4"/>
  <c r="AL27" i="4"/>
  <c r="T27" i="4"/>
  <c r="N27" i="4"/>
  <c r="AT27" i="4" s="1"/>
  <c r="AT26" i="4"/>
  <c r="AL26" i="4"/>
  <c r="T26" i="4"/>
  <c r="N26" i="4"/>
  <c r="AL25" i="4"/>
  <c r="T25" i="4"/>
  <c r="N25" i="4"/>
  <c r="AT25" i="4" s="1"/>
  <c r="AL24" i="4"/>
  <c r="T24" i="4"/>
  <c r="N24" i="4"/>
  <c r="AT24" i="4" s="1"/>
  <c r="AL23" i="4"/>
  <c r="T23" i="4"/>
  <c r="N23" i="4"/>
  <c r="AT23" i="4" s="1"/>
  <c r="AL22" i="4"/>
  <c r="T22" i="4"/>
  <c r="N22" i="4"/>
  <c r="AT22" i="4" s="1"/>
  <c r="AL21" i="4"/>
  <c r="T21" i="4"/>
  <c r="N21" i="4"/>
  <c r="AT21" i="4" s="1"/>
  <c r="AL20" i="4"/>
  <c r="T20" i="4"/>
  <c r="N20" i="4"/>
  <c r="AT20" i="4" s="1"/>
  <c r="AL19" i="4"/>
  <c r="T19" i="4"/>
  <c r="N19" i="4"/>
  <c r="AT19" i="4" s="1"/>
  <c r="AL18" i="4"/>
  <c r="T18" i="4"/>
  <c r="N18" i="4"/>
  <c r="AT18" i="4" s="1"/>
  <c r="AL17" i="4"/>
  <c r="T17" i="4"/>
  <c r="N17" i="4"/>
  <c r="AT17" i="4" s="1"/>
  <c r="AL16" i="4"/>
  <c r="T16" i="4"/>
  <c r="N16" i="4"/>
  <c r="AT16" i="4" s="1"/>
  <c r="AL15" i="4"/>
  <c r="T15" i="4"/>
  <c r="N15" i="4"/>
  <c r="AT15" i="4" s="1"/>
  <c r="AL14" i="4"/>
  <c r="T14" i="4"/>
  <c r="N14" i="4"/>
  <c r="AT14" i="4" s="1"/>
  <c r="AL13" i="4"/>
  <c r="T13" i="4"/>
  <c r="N13" i="4"/>
  <c r="AT13" i="4" s="1"/>
  <c r="AL12" i="4"/>
  <c r="T12" i="4"/>
  <c r="N12" i="4"/>
  <c r="AT12" i="4" s="1"/>
  <c r="AL11" i="4"/>
  <c r="T11" i="4"/>
  <c r="N11" i="4"/>
  <c r="AT11" i="4" s="1"/>
  <c r="AL10" i="4"/>
  <c r="T10" i="4"/>
  <c r="U10" i="4" s="1"/>
  <c r="N10" i="4"/>
  <c r="AT10" i="4" s="1"/>
  <c r="AL9" i="4"/>
  <c r="T9" i="4"/>
  <c r="U9" i="4" s="1"/>
  <c r="N9" i="4"/>
  <c r="AT9" i="4" s="1"/>
  <c r="AL8" i="4"/>
  <c r="AA8" i="4"/>
  <c r="AB8" i="4" s="1"/>
  <c r="T8" i="4"/>
  <c r="U8" i="4" s="1"/>
  <c r="N8" i="4"/>
  <c r="AT8" i="4" s="1"/>
  <c r="AL7" i="4"/>
  <c r="T7" i="4"/>
  <c r="U7" i="4" s="1"/>
  <c r="N7" i="4"/>
  <c r="AT7" i="4" s="1"/>
  <c r="AL6" i="4"/>
  <c r="AD6" i="4"/>
  <c r="T6" i="4"/>
  <c r="U6" i="4" s="1"/>
  <c r="N6" i="4"/>
  <c r="AT6" i="4" s="1"/>
  <c r="AL5" i="4"/>
  <c r="AD5" i="4"/>
  <c r="T5" i="4"/>
  <c r="U5" i="4" s="1"/>
  <c r="N5" i="4"/>
  <c r="AT5" i="4" s="1"/>
  <c r="I2" i="4"/>
  <c r="AA97" i="4" s="1"/>
  <c r="AB97" i="4" s="1"/>
  <c r="AI19" i="6" l="1"/>
  <c r="AM19" i="6" s="1"/>
  <c r="AI11" i="6"/>
  <c r="AM11" i="6" s="1"/>
  <c r="AH11" i="6"/>
  <c r="AH12" i="6"/>
  <c r="AI12" i="6"/>
  <c r="AM12" i="6" s="1"/>
  <c r="AI9" i="6"/>
  <c r="AM9" i="6" s="1"/>
  <c r="AH9" i="6"/>
  <c r="AH16" i="6"/>
  <c r="AI16" i="6"/>
  <c r="AM16" i="6" s="1"/>
  <c r="AH15" i="6"/>
  <c r="AI15" i="6"/>
  <c r="AM15" i="6" s="1"/>
  <c r="AH63" i="7"/>
  <c r="AI63" i="7"/>
  <c r="AM63" i="7" s="1"/>
  <c r="AA48" i="5"/>
  <c r="AB48" i="5" s="1"/>
  <c r="AF48" i="5" s="1"/>
  <c r="AA69" i="5"/>
  <c r="AB69" i="5" s="1"/>
  <c r="AF69" i="5" s="1"/>
  <c r="AI69" i="5" s="1"/>
  <c r="AM69" i="5" s="1"/>
  <c r="AA71" i="5"/>
  <c r="AB71" i="5" s="1"/>
  <c r="AI111" i="6"/>
  <c r="AM111" i="6" s="1"/>
  <c r="AH118" i="6"/>
  <c r="AI114" i="7"/>
  <c r="AM114" i="7" s="1"/>
  <c r="AH20" i="7"/>
  <c r="AI20" i="7"/>
  <c r="AM20" i="7" s="1"/>
  <c r="AH40" i="7"/>
  <c r="AI40" i="7"/>
  <c r="AM40" i="7" s="1"/>
  <c r="AH91" i="6"/>
  <c r="AI91" i="6"/>
  <c r="AM91" i="6" s="1"/>
  <c r="AH95" i="6"/>
  <c r="AI95" i="6"/>
  <c r="AM95" i="6" s="1"/>
  <c r="AF97" i="4"/>
  <c r="AA65" i="4"/>
  <c r="AB65" i="4" s="1"/>
  <c r="AF65" i="4" s="1"/>
  <c r="AA18" i="5"/>
  <c r="AB18" i="5" s="1"/>
  <c r="AF18" i="5" s="1"/>
  <c r="AH18" i="5" s="1"/>
  <c r="AA38" i="5"/>
  <c r="AB38" i="5" s="1"/>
  <c r="AF38" i="5" s="1"/>
  <c r="AH38" i="5" s="1"/>
  <c r="AF80" i="5"/>
  <c r="AA101" i="5"/>
  <c r="AB101" i="5" s="1"/>
  <c r="AF101" i="5" s="1"/>
  <c r="AI10" i="7"/>
  <c r="AM10" i="7" s="1"/>
  <c r="AA27" i="5"/>
  <c r="AB27" i="5" s="1"/>
  <c r="AF27" i="5" s="1"/>
  <c r="AF52" i="5"/>
  <c r="AI52" i="5" s="1"/>
  <c r="AM52" i="5" s="1"/>
  <c r="AA60" i="5"/>
  <c r="AB60" i="5" s="1"/>
  <c r="AF60" i="5" s="1"/>
  <c r="AA80" i="5"/>
  <c r="AB80" i="5" s="1"/>
  <c r="AH61" i="6"/>
  <c r="AI24" i="6"/>
  <c r="AM24" i="6" s="1"/>
  <c r="AI81" i="7"/>
  <c r="AM81" i="7" s="1"/>
  <c r="AH71" i="7"/>
  <c r="AI71" i="7"/>
  <c r="AM71" i="7" s="1"/>
  <c r="AI66" i="6"/>
  <c r="AM66" i="6" s="1"/>
  <c r="AH66" i="6"/>
  <c r="AI84" i="6"/>
  <c r="AM84" i="6" s="1"/>
  <c r="AH84" i="6"/>
  <c r="AI135" i="7"/>
  <c r="AM135" i="7" s="1"/>
  <c r="AH135" i="7"/>
  <c r="AA126" i="4"/>
  <c r="AB126" i="4" s="1"/>
  <c r="AA8" i="5"/>
  <c r="AB8" i="5" s="1"/>
  <c r="AF8" i="5" s="1"/>
  <c r="AH8" i="5" s="1"/>
  <c r="AA47" i="5"/>
  <c r="AB47" i="5" s="1"/>
  <c r="AF47" i="5" s="1"/>
  <c r="AA52" i="5"/>
  <c r="AB52" i="5" s="1"/>
  <c r="AA62" i="5"/>
  <c r="AB62" i="5" s="1"/>
  <c r="AA110" i="5"/>
  <c r="AB110" i="5" s="1"/>
  <c r="AF110" i="5" s="1"/>
  <c r="AA112" i="5"/>
  <c r="AB112" i="5" s="1"/>
  <c r="AH121" i="6"/>
  <c r="AI46" i="7"/>
  <c r="AM46" i="7" s="1"/>
  <c r="AH6" i="7"/>
  <c r="AI25" i="6"/>
  <c r="AM25" i="6" s="1"/>
  <c r="AH25" i="6"/>
  <c r="AH16" i="7"/>
  <c r="AI16" i="7"/>
  <c r="AM16" i="7" s="1"/>
  <c r="AH103" i="6"/>
  <c r="AI103" i="6"/>
  <c r="AM103" i="6" s="1"/>
  <c r="AH94" i="6"/>
  <c r="AI94" i="6"/>
  <c r="AM94" i="6" s="1"/>
  <c r="AI18" i="6"/>
  <c r="AM18" i="6" s="1"/>
  <c r="AH18" i="6"/>
  <c r="AH122" i="6"/>
  <c r="AI122" i="6"/>
  <c r="AM122" i="6" s="1"/>
  <c r="AF108" i="5"/>
  <c r="AI108" i="5" s="1"/>
  <c r="AM108" i="5" s="1"/>
  <c r="AA17" i="5"/>
  <c r="AB17" i="5" s="1"/>
  <c r="AF17" i="5" s="1"/>
  <c r="AA23" i="5"/>
  <c r="AB23" i="5" s="1"/>
  <c r="AF23" i="5" s="1"/>
  <c r="AA32" i="5"/>
  <c r="AB32" i="5" s="1"/>
  <c r="AF32" i="5" s="1"/>
  <c r="AH32" i="5" s="1"/>
  <c r="AA91" i="5"/>
  <c r="AB91" i="5" s="1"/>
  <c r="AF91" i="5" s="1"/>
  <c r="AH126" i="6"/>
  <c r="AH124" i="6"/>
  <c r="AI48" i="6"/>
  <c r="AM48" i="6" s="1"/>
  <c r="AI71" i="6"/>
  <c r="AM71" i="6" s="1"/>
  <c r="AH43" i="7"/>
  <c r="AI43" i="7"/>
  <c r="AM43" i="7" s="1"/>
  <c r="AF71" i="5"/>
  <c r="AH71" i="5" s="1"/>
  <c r="AA106" i="4"/>
  <c r="AB106" i="4" s="1"/>
  <c r="AF51" i="5"/>
  <c r="AA79" i="5"/>
  <c r="AB79" i="5" s="1"/>
  <c r="AA121" i="5"/>
  <c r="AB121" i="5" s="1"/>
  <c r="AF121" i="5" s="1"/>
  <c r="AI12" i="7"/>
  <c r="AM12" i="7" s="1"/>
  <c r="AH12" i="7"/>
  <c r="AH14" i="7"/>
  <c r="AI14" i="7"/>
  <c r="AM14" i="7" s="1"/>
  <c r="AH125" i="7"/>
  <c r="AI125" i="7"/>
  <c r="AM125" i="7" s="1"/>
  <c r="AH63" i="6"/>
  <c r="AI63" i="6"/>
  <c r="AM63" i="6" s="1"/>
  <c r="AH68" i="7"/>
  <c r="AI68" i="7"/>
  <c r="AM68" i="7" s="1"/>
  <c r="AH8" i="7"/>
  <c r="AI8" i="7"/>
  <c r="AM8" i="7" s="1"/>
  <c r="AH108" i="7"/>
  <c r="AI108" i="7"/>
  <c r="AM108" i="7" s="1"/>
  <c r="AH132" i="7"/>
  <c r="AI132" i="7"/>
  <c r="AM132" i="7" s="1"/>
  <c r="AH37" i="7"/>
  <c r="AI37" i="7"/>
  <c r="AM37" i="7" s="1"/>
  <c r="AI30" i="7"/>
  <c r="AM30" i="7" s="1"/>
  <c r="AH30" i="7"/>
  <c r="AH53" i="7"/>
  <c r="AI53" i="7"/>
  <c r="AM53" i="7" s="1"/>
  <c r="AH92" i="7"/>
  <c r="AI92" i="7"/>
  <c r="AM92" i="7" s="1"/>
  <c r="AH52" i="7"/>
  <c r="AI52" i="7"/>
  <c r="AM52" i="7" s="1"/>
  <c r="AH57" i="7"/>
  <c r="AI57" i="7"/>
  <c r="AM57" i="7" s="1"/>
  <c r="AH28" i="7"/>
  <c r="AI28" i="7"/>
  <c r="AM28" i="7" s="1"/>
  <c r="AI90" i="7"/>
  <c r="AM90" i="7" s="1"/>
  <c r="AH90" i="7"/>
  <c r="AH137" i="7"/>
  <c r="AI137" i="7"/>
  <c r="AM137" i="7" s="1"/>
  <c r="AH17" i="7"/>
  <c r="AI17" i="7"/>
  <c r="AM17" i="7" s="1"/>
  <c r="AI70" i="7"/>
  <c r="AM70" i="7" s="1"/>
  <c r="AH70" i="7"/>
  <c r="AI24" i="7"/>
  <c r="AM24" i="7" s="1"/>
  <c r="AH24" i="7"/>
  <c r="AH97" i="7"/>
  <c r="AI97" i="7"/>
  <c r="AM97" i="7" s="1"/>
  <c r="AH130" i="7"/>
  <c r="AI130" i="7"/>
  <c r="AM130" i="7" s="1"/>
  <c r="AI110" i="7"/>
  <c r="AM110" i="7" s="1"/>
  <c r="AH110" i="7"/>
  <c r="AI32" i="7"/>
  <c r="AM32" i="7" s="1"/>
  <c r="AH32" i="7"/>
  <c r="AH87" i="6"/>
  <c r="AI87" i="6"/>
  <c r="AM87" i="6" s="1"/>
  <c r="AI67" i="6"/>
  <c r="AM67" i="6" s="1"/>
  <c r="AH67" i="6"/>
  <c r="AH107" i="6"/>
  <c r="AI107" i="6"/>
  <c r="AM107" i="6" s="1"/>
  <c r="AH108" i="6"/>
  <c r="AI108" i="6"/>
  <c r="AM108" i="6" s="1"/>
  <c r="AH70" i="6"/>
  <c r="AI70" i="6"/>
  <c r="AM70" i="6" s="1"/>
  <c r="AH68" i="6"/>
  <c r="AI68" i="6"/>
  <c r="AM68" i="6" s="1"/>
  <c r="AH27" i="6"/>
  <c r="AI27" i="6"/>
  <c r="AM27" i="6" s="1"/>
  <c r="AH88" i="6"/>
  <c r="AI88" i="6"/>
  <c r="AM88" i="6" s="1"/>
  <c r="AH7" i="6"/>
  <c r="AI7" i="6"/>
  <c r="AM7" i="6" s="1"/>
  <c r="AH128" i="6"/>
  <c r="AI128" i="6"/>
  <c r="AM128" i="6" s="1"/>
  <c r="AI33" i="6"/>
  <c r="AM33" i="6" s="1"/>
  <c r="AH33" i="6"/>
  <c r="AH30" i="6"/>
  <c r="AI30" i="6"/>
  <c r="AM30" i="6" s="1"/>
  <c r="AH40" i="6"/>
  <c r="AI40" i="6"/>
  <c r="AM40" i="6" s="1"/>
  <c r="AH59" i="6"/>
  <c r="AI59" i="6"/>
  <c r="AM59" i="6" s="1"/>
  <c r="AH90" i="6"/>
  <c r="AI90" i="6"/>
  <c r="AM90" i="6" s="1"/>
  <c r="AH28" i="6"/>
  <c r="AI28" i="6"/>
  <c r="AM28" i="6" s="1"/>
  <c r="AH8" i="6"/>
  <c r="AI8" i="6"/>
  <c r="AM8" i="6" s="1"/>
  <c r="AH35" i="6"/>
  <c r="AI35" i="6"/>
  <c r="AM35" i="6" s="1"/>
  <c r="AF7" i="5"/>
  <c r="AF112" i="5"/>
  <c r="AH112" i="5" s="1"/>
  <c r="AA53" i="5"/>
  <c r="AB53" i="5" s="1"/>
  <c r="AF53" i="5" s="1"/>
  <c r="AA102" i="5"/>
  <c r="AB102" i="5" s="1"/>
  <c r="AF102" i="5" s="1"/>
  <c r="AA29" i="5"/>
  <c r="AB29" i="5" s="1"/>
  <c r="AF29" i="5" s="1"/>
  <c r="AH29" i="5" s="1"/>
  <c r="AA49" i="5"/>
  <c r="AB49" i="5" s="1"/>
  <c r="AF49" i="5" s="1"/>
  <c r="AA58" i="5"/>
  <c r="AB58" i="5" s="1"/>
  <c r="AF58" i="5" s="1"/>
  <c r="AA67" i="5"/>
  <c r="AB67" i="5" s="1"/>
  <c r="AF67" i="5" s="1"/>
  <c r="AF82" i="5"/>
  <c r="AH82" i="5" s="1"/>
  <c r="AF139" i="5"/>
  <c r="AA9" i="5"/>
  <c r="AB9" i="5" s="1"/>
  <c r="AF9" i="5" s="1"/>
  <c r="AA24" i="5"/>
  <c r="AB24" i="5" s="1"/>
  <c r="AF24" i="5" s="1"/>
  <c r="AI24" i="5" s="1"/>
  <c r="AM24" i="5" s="1"/>
  <c r="AA45" i="5"/>
  <c r="AB45" i="5" s="1"/>
  <c r="AF45" i="5" s="1"/>
  <c r="AI45" i="5" s="1"/>
  <c r="AM45" i="5" s="1"/>
  <c r="AA82" i="5"/>
  <c r="AB82" i="5" s="1"/>
  <c r="AA139" i="5"/>
  <c r="AB139" i="5" s="1"/>
  <c r="AA63" i="5"/>
  <c r="AB63" i="5" s="1"/>
  <c r="AF63" i="5" s="1"/>
  <c r="AA78" i="5"/>
  <c r="AB78" i="5" s="1"/>
  <c r="AF78" i="5" s="1"/>
  <c r="AA119" i="5"/>
  <c r="AB119" i="5" s="1"/>
  <c r="AA50" i="5"/>
  <c r="AB50" i="5" s="1"/>
  <c r="AF50" i="5" s="1"/>
  <c r="AA54" i="5"/>
  <c r="AB54" i="5" s="1"/>
  <c r="AF54" i="5" s="1"/>
  <c r="AA88" i="5"/>
  <c r="AB88" i="5" s="1"/>
  <c r="AF88" i="5" s="1"/>
  <c r="AH88" i="5" s="1"/>
  <c r="AA15" i="5"/>
  <c r="AB15" i="5" s="1"/>
  <c r="AF15" i="5" s="1"/>
  <c r="AI15" i="5" s="1"/>
  <c r="AM15" i="5" s="1"/>
  <c r="AA20" i="5"/>
  <c r="AB20" i="5" s="1"/>
  <c r="AF20" i="5" s="1"/>
  <c r="AI20" i="5" s="1"/>
  <c r="AM20" i="5" s="1"/>
  <c r="AF119" i="5"/>
  <c r="AI119" i="5" s="1"/>
  <c r="AM119" i="5" s="1"/>
  <c r="AA6" i="5"/>
  <c r="AB6" i="5" s="1"/>
  <c r="AF6" i="5" s="1"/>
  <c r="AA36" i="5"/>
  <c r="AB36" i="5" s="1"/>
  <c r="AF36" i="5" s="1"/>
  <c r="AI36" i="5" s="1"/>
  <c r="AM36" i="5" s="1"/>
  <c r="AA41" i="5"/>
  <c r="AB41" i="5" s="1"/>
  <c r="AF41" i="5" s="1"/>
  <c r="AI41" i="5" s="1"/>
  <c r="AM41" i="5" s="1"/>
  <c r="AA130" i="5"/>
  <c r="AB130" i="5" s="1"/>
  <c r="AF130" i="5" s="1"/>
  <c r="AI130" i="5" s="1"/>
  <c r="AM130" i="5" s="1"/>
  <c r="AI11" i="5"/>
  <c r="AM11" i="5" s="1"/>
  <c r="AH11" i="5"/>
  <c r="AH51" i="5"/>
  <c r="AI51" i="5"/>
  <c r="AM51" i="5" s="1"/>
  <c r="AI12" i="5"/>
  <c r="AM12" i="5" s="1"/>
  <c r="AH12" i="5"/>
  <c r="AI132" i="5"/>
  <c r="AM132" i="5" s="1"/>
  <c r="AH132" i="5"/>
  <c r="AI22" i="5"/>
  <c r="AM22" i="5" s="1"/>
  <c r="AH22" i="5"/>
  <c r="AI80" i="5"/>
  <c r="AM80" i="5" s="1"/>
  <c r="AH80" i="5"/>
  <c r="AI38" i="5"/>
  <c r="AM38" i="5" s="1"/>
  <c r="AI48" i="5"/>
  <c r="AM48" i="5" s="1"/>
  <c r="AH48" i="5"/>
  <c r="AI112" i="5"/>
  <c r="AM112" i="5" s="1"/>
  <c r="AI39" i="5"/>
  <c r="AM39" i="5" s="1"/>
  <c r="AH39" i="5"/>
  <c r="AH65" i="5"/>
  <c r="AI65" i="5"/>
  <c r="AM65" i="5" s="1"/>
  <c r="AI32" i="5"/>
  <c r="AM32" i="5" s="1"/>
  <c r="AI27" i="5"/>
  <c r="AM27" i="5" s="1"/>
  <c r="AH27" i="5"/>
  <c r="AH108" i="5"/>
  <c r="AF92" i="5"/>
  <c r="AI18" i="5"/>
  <c r="AM18" i="5" s="1"/>
  <c r="AH139" i="5"/>
  <c r="AI139" i="5"/>
  <c r="AM139" i="5" s="1"/>
  <c r="AH17" i="5"/>
  <c r="AI17" i="5"/>
  <c r="AM17" i="5" s="1"/>
  <c r="AF79" i="5"/>
  <c r="AF120" i="5"/>
  <c r="AF62" i="5"/>
  <c r="AH23" i="5"/>
  <c r="AI23" i="5"/>
  <c r="AM23" i="5" s="1"/>
  <c r="AF83" i="5"/>
  <c r="AF75" i="5"/>
  <c r="AA128" i="5"/>
  <c r="AB128" i="5" s="1"/>
  <c r="AF128" i="5" s="1"/>
  <c r="AH7" i="5"/>
  <c r="AI7" i="5"/>
  <c r="AM7" i="5" s="1"/>
  <c r="AA10" i="5"/>
  <c r="AB10" i="5" s="1"/>
  <c r="AF10" i="5" s="1"/>
  <c r="AA31" i="5"/>
  <c r="AB31" i="5" s="1"/>
  <c r="AF31" i="5" s="1"/>
  <c r="AA43" i="5"/>
  <c r="AB43" i="5" s="1"/>
  <c r="AF43" i="5" s="1"/>
  <c r="AA56" i="5"/>
  <c r="AB56" i="5" s="1"/>
  <c r="AF56" i="5" s="1"/>
  <c r="AA90" i="5"/>
  <c r="AB90" i="5" s="1"/>
  <c r="AF90" i="5" s="1"/>
  <c r="AA122" i="5"/>
  <c r="AB122" i="5" s="1"/>
  <c r="AF122" i="5" s="1"/>
  <c r="AA13" i="5"/>
  <c r="AB13" i="5" s="1"/>
  <c r="AF13" i="5" s="1"/>
  <c r="AA25" i="5"/>
  <c r="AB25" i="5" s="1"/>
  <c r="AF25" i="5" s="1"/>
  <c r="AA37" i="5"/>
  <c r="AB37" i="5" s="1"/>
  <c r="AF37" i="5" s="1"/>
  <c r="AA99" i="5"/>
  <c r="AB99" i="5" s="1"/>
  <c r="AF99" i="5" s="1"/>
  <c r="AA137" i="5"/>
  <c r="AB137" i="5" s="1"/>
  <c r="AF137" i="5" s="1"/>
  <c r="AA117" i="5"/>
  <c r="AB117" i="5" s="1"/>
  <c r="AF117" i="5" s="1"/>
  <c r="AA97" i="5"/>
  <c r="AB97" i="5" s="1"/>
  <c r="AF97" i="5" s="1"/>
  <c r="AA77" i="5"/>
  <c r="AB77" i="5" s="1"/>
  <c r="AF77" i="5" s="1"/>
  <c r="AA57" i="5"/>
  <c r="AB57" i="5" s="1"/>
  <c r="AF57" i="5" s="1"/>
  <c r="AA104" i="5"/>
  <c r="AB104" i="5" s="1"/>
  <c r="AF104" i="5" s="1"/>
  <c r="AA133" i="5"/>
  <c r="AB133" i="5" s="1"/>
  <c r="AF133" i="5" s="1"/>
  <c r="AA113" i="5"/>
  <c r="AB113" i="5" s="1"/>
  <c r="AF113" i="5" s="1"/>
  <c r="AA93" i="5"/>
  <c r="AB93" i="5" s="1"/>
  <c r="AF93" i="5" s="1"/>
  <c r="AA73" i="5"/>
  <c r="AB73" i="5" s="1"/>
  <c r="AF73" i="5" s="1"/>
  <c r="AA126" i="5"/>
  <c r="AB126" i="5" s="1"/>
  <c r="AF126" i="5" s="1"/>
  <c r="AA106" i="5"/>
  <c r="AB106" i="5" s="1"/>
  <c r="AF106" i="5" s="1"/>
  <c r="AA86" i="5"/>
  <c r="AB86" i="5" s="1"/>
  <c r="AF86" i="5" s="1"/>
  <c r="AA66" i="5"/>
  <c r="AB66" i="5" s="1"/>
  <c r="AF66" i="5" s="1"/>
  <c r="AA46" i="5"/>
  <c r="AB46" i="5" s="1"/>
  <c r="AF46" i="5" s="1"/>
  <c r="AA44" i="5"/>
  <c r="AB44" i="5" s="1"/>
  <c r="AF44" i="5" s="1"/>
  <c r="AA135" i="5"/>
  <c r="AB135" i="5" s="1"/>
  <c r="AF135" i="5" s="1"/>
  <c r="AA115" i="5"/>
  <c r="AB115" i="5" s="1"/>
  <c r="AF115" i="5" s="1"/>
  <c r="AA95" i="5"/>
  <c r="AB95" i="5" s="1"/>
  <c r="AF95" i="5" s="1"/>
  <c r="AA75" i="5"/>
  <c r="AB75" i="5" s="1"/>
  <c r="AA55" i="5"/>
  <c r="AB55" i="5" s="1"/>
  <c r="AF55" i="5" s="1"/>
  <c r="AA5" i="5"/>
  <c r="AB5" i="5" s="1"/>
  <c r="AF5" i="5" s="1"/>
  <c r="AA124" i="5"/>
  <c r="AB124" i="5" s="1"/>
  <c r="AF124" i="5" s="1"/>
  <c r="AA84" i="5"/>
  <c r="AB84" i="5" s="1"/>
  <c r="AF84" i="5" s="1"/>
  <c r="AA64" i="5"/>
  <c r="AB64" i="5" s="1"/>
  <c r="AF64" i="5" s="1"/>
  <c r="AA123" i="5"/>
  <c r="AB123" i="5" s="1"/>
  <c r="AF123" i="5" s="1"/>
  <c r="AA92" i="5"/>
  <c r="AB92" i="5" s="1"/>
  <c r="AA81" i="5"/>
  <c r="AB81" i="5" s="1"/>
  <c r="AF81" i="5" s="1"/>
  <c r="AA70" i="5"/>
  <c r="AB70" i="5" s="1"/>
  <c r="AF70" i="5" s="1"/>
  <c r="AA68" i="5"/>
  <c r="AB68" i="5" s="1"/>
  <c r="AF68" i="5" s="1"/>
  <c r="AA26" i="5"/>
  <c r="AB26" i="5" s="1"/>
  <c r="AF26" i="5" s="1"/>
  <c r="AA94" i="5"/>
  <c r="AB94" i="5" s="1"/>
  <c r="AF94" i="5" s="1"/>
  <c r="AA28" i="5"/>
  <c r="AB28" i="5" s="1"/>
  <c r="AF28" i="5" s="1"/>
  <c r="AA129" i="5"/>
  <c r="AB129" i="5" s="1"/>
  <c r="AF129" i="5" s="1"/>
  <c r="AA107" i="5"/>
  <c r="AB107" i="5" s="1"/>
  <c r="AF107" i="5" s="1"/>
  <c r="AA59" i="5"/>
  <c r="AB59" i="5" s="1"/>
  <c r="AF59" i="5" s="1"/>
  <c r="AA111" i="5"/>
  <c r="AB111" i="5" s="1"/>
  <c r="AF111" i="5" s="1"/>
  <c r="AA87" i="5"/>
  <c r="AB87" i="5" s="1"/>
  <c r="AF87" i="5" s="1"/>
  <c r="AA76" i="5"/>
  <c r="AB76" i="5" s="1"/>
  <c r="AF76" i="5" s="1"/>
  <c r="AA61" i="5"/>
  <c r="AB61" i="5" s="1"/>
  <c r="AF61" i="5" s="1"/>
  <c r="AA134" i="5"/>
  <c r="AB134" i="5" s="1"/>
  <c r="AF134" i="5" s="1"/>
  <c r="AA103" i="5"/>
  <c r="AB103" i="5" s="1"/>
  <c r="AF103" i="5" s="1"/>
  <c r="AA72" i="5"/>
  <c r="AB72" i="5" s="1"/>
  <c r="AF72" i="5" s="1"/>
  <c r="AA40" i="5"/>
  <c r="AB40" i="5" s="1"/>
  <c r="AF40" i="5" s="1"/>
  <c r="AA19" i="5"/>
  <c r="AB19" i="5" s="1"/>
  <c r="AF19" i="5" s="1"/>
  <c r="AA140" i="5"/>
  <c r="AB140" i="5" s="1"/>
  <c r="AF140" i="5" s="1"/>
  <c r="AA116" i="5"/>
  <c r="AB116" i="5" s="1"/>
  <c r="AF116" i="5" s="1"/>
  <c r="AA21" i="5"/>
  <c r="AB21" i="5" s="1"/>
  <c r="AF21" i="5" s="1"/>
  <c r="AA96" i="5"/>
  <c r="AB96" i="5" s="1"/>
  <c r="AA98" i="5"/>
  <c r="AB98" i="5" s="1"/>
  <c r="AF98" i="5" s="1"/>
  <c r="AA30" i="5"/>
  <c r="AB30" i="5" s="1"/>
  <c r="AF30" i="5" s="1"/>
  <c r="AA114" i="5"/>
  <c r="AB114" i="5" s="1"/>
  <c r="AF114" i="5" s="1"/>
  <c r="AA83" i="5"/>
  <c r="AB83" i="5" s="1"/>
  <c r="AA33" i="5"/>
  <c r="AB33" i="5" s="1"/>
  <c r="AF33" i="5" s="1"/>
  <c r="AA14" i="5"/>
  <c r="AB14" i="5" s="1"/>
  <c r="AF14" i="5" s="1"/>
  <c r="AA136" i="5"/>
  <c r="AB136" i="5" s="1"/>
  <c r="AF136" i="5" s="1"/>
  <c r="AA125" i="5"/>
  <c r="AB125" i="5" s="1"/>
  <c r="AF125" i="5" s="1"/>
  <c r="AA127" i="5"/>
  <c r="AB127" i="5" s="1"/>
  <c r="AF127" i="5" s="1"/>
  <c r="AA118" i="5"/>
  <c r="AB118" i="5" s="1"/>
  <c r="AF118" i="5" s="1"/>
  <c r="AA109" i="5"/>
  <c r="AB109" i="5" s="1"/>
  <c r="AF109" i="5" s="1"/>
  <c r="AA35" i="5"/>
  <c r="AB35" i="5" s="1"/>
  <c r="AF35" i="5" s="1"/>
  <c r="AA89" i="5"/>
  <c r="AB89" i="5" s="1"/>
  <c r="AF89" i="5" s="1"/>
  <c r="AA138" i="5"/>
  <c r="AB138" i="5" s="1"/>
  <c r="AF138" i="5" s="1"/>
  <c r="AA105" i="5"/>
  <c r="AB105" i="5" s="1"/>
  <c r="AF105" i="5" s="1"/>
  <c r="AA74" i="5"/>
  <c r="AB74" i="5" s="1"/>
  <c r="AF74" i="5" s="1"/>
  <c r="AA42" i="5"/>
  <c r="AB42" i="5" s="1"/>
  <c r="AF42" i="5" s="1"/>
  <c r="AA131" i="5"/>
  <c r="AB131" i="5" s="1"/>
  <c r="AF131" i="5" s="1"/>
  <c r="AA120" i="5"/>
  <c r="AB120" i="5" s="1"/>
  <c r="AA85" i="5"/>
  <c r="AB85" i="5" s="1"/>
  <c r="AF85" i="5" s="1"/>
  <c r="AA16" i="5"/>
  <c r="AB16" i="5" s="1"/>
  <c r="AF16" i="5" s="1"/>
  <c r="AA100" i="5"/>
  <c r="AB100" i="5" s="1"/>
  <c r="AF100" i="5" s="1"/>
  <c r="AA34" i="5"/>
  <c r="AB34" i="5" s="1"/>
  <c r="AF34" i="5" s="1"/>
  <c r="AF96" i="5"/>
  <c r="AF126" i="4"/>
  <c r="AH126" i="4" s="1"/>
  <c r="AA70" i="4"/>
  <c r="AB70" i="4" s="1"/>
  <c r="AF70" i="4" s="1"/>
  <c r="AH70" i="4" s="1"/>
  <c r="AA50" i="4"/>
  <c r="AB50" i="4" s="1"/>
  <c r="AF50" i="4" s="1"/>
  <c r="AI50" i="4" s="1"/>
  <c r="AM50" i="4" s="1"/>
  <c r="AA41" i="4"/>
  <c r="AB41" i="4" s="1"/>
  <c r="AF41" i="4" s="1"/>
  <c r="AI41" i="4" s="1"/>
  <c r="AM41" i="4" s="1"/>
  <c r="AA29" i="4"/>
  <c r="AB29" i="4" s="1"/>
  <c r="AF29" i="4" s="1"/>
  <c r="AI29" i="4" s="1"/>
  <c r="AM29" i="4" s="1"/>
  <c r="AA24" i="4"/>
  <c r="AB24" i="4" s="1"/>
  <c r="AF24" i="4" s="1"/>
  <c r="AH24" i="4" s="1"/>
  <c r="AA31" i="4"/>
  <c r="AB31" i="4" s="1"/>
  <c r="AF31" i="4" s="1"/>
  <c r="AH31" i="4" s="1"/>
  <c r="AA38" i="4"/>
  <c r="AB38" i="4" s="1"/>
  <c r="AF38" i="4" s="1"/>
  <c r="AH38" i="4" s="1"/>
  <c r="AA10" i="4"/>
  <c r="AB10" i="4" s="1"/>
  <c r="AF10" i="4" s="1"/>
  <c r="AI10" i="4" s="1"/>
  <c r="AM10" i="4" s="1"/>
  <c r="AA22" i="4"/>
  <c r="AB22" i="4" s="1"/>
  <c r="AF22" i="4" s="1"/>
  <c r="AH22" i="4" s="1"/>
  <c r="AA63" i="4"/>
  <c r="AB63" i="4" s="1"/>
  <c r="AA68" i="4"/>
  <c r="AB68" i="4" s="1"/>
  <c r="AF68" i="4" s="1"/>
  <c r="AA139" i="4"/>
  <c r="AB139" i="4" s="1"/>
  <c r="AF139" i="4" s="1"/>
  <c r="AA56" i="4"/>
  <c r="AB56" i="4" s="1"/>
  <c r="AF56" i="4" s="1"/>
  <c r="AA43" i="4"/>
  <c r="AB43" i="4" s="1"/>
  <c r="AF43" i="4" s="1"/>
  <c r="AH43" i="4" s="1"/>
  <c r="AF63" i="4"/>
  <c r="AH63" i="4" s="1"/>
  <c r="AA52" i="4"/>
  <c r="AB52" i="4" s="1"/>
  <c r="AF52" i="4" s="1"/>
  <c r="AI52" i="4" s="1"/>
  <c r="AM52" i="4" s="1"/>
  <c r="AA15" i="4"/>
  <c r="AB15" i="4" s="1"/>
  <c r="AF15" i="4" s="1"/>
  <c r="AI15" i="4" s="1"/>
  <c r="AM15" i="4" s="1"/>
  <c r="AA34" i="4"/>
  <c r="AB34" i="4" s="1"/>
  <c r="AF34" i="4" s="1"/>
  <c r="AH34" i="4" s="1"/>
  <c r="AA54" i="4"/>
  <c r="AB54" i="4" s="1"/>
  <c r="AF54" i="4" s="1"/>
  <c r="AA117" i="4"/>
  <c r="AB117" i="4" s="1"/>
  <c r="AF117" i="4" s="1"/>
  <c r="AA27" i="4"/>
  <c r="AB27" i="4" s="1"/>
  <c r="AF27" i="4" s="1"/>
  <c r="AI27" i="4" s="1"/>
  <c r="AM27" i="4" s="1"/>
  <c r="AA17" i="4"/>
  <c r="AB17" i="4" s="1"/>
  <c r="AF17" i="4" s="1"/>
  <c r="AH17" i="4" s="1"/>
  <c r="AA59" i="4"/>
  <c r="AB59" i="4" s="1"/>
  <c r="AF59" i="4" s="1"/>
  <c r="AH59" i="4" s="1"/>
  <c r="AA130" i="4"/>
  <c r="AB130" i="4" s="1"/>
  <c r="AF130" i="4" s="1"/>
  <c r="AH130" i="4" s="1"/>
  <c r="AA103" i="4"/>
  <c r="AB103" i="4" s="1"/>
  <c r="AF103" i="4" s="1"/>
  <c r="AA77" i="4"/>
  <c r="AB77" i="4" s="1"/>
  <c r="AF77" i="4" s="1"/>
  <c r="AI77" i="4" s="1"/>
  <c r="AM77" i="4" s="1"/>
  <c r="AA114" i="4"/>
  <c r="AB114" i="4" s="1"/>
  <c r="AF114" i="4" s="1"/>
  <c r="AH114" i="4" s="1"/>
  <c r="AA12" i="4"/>
  <c r="AB12" i="4" s="1"/>
  <c r="AF12" i="4" s="1"/>
  <c r="AH12" i="4" s="1"/>
  <c r="AA45" i="4"/>
  <c r="AB45" i="4" s="1"/>
  <c r="AF45" i="4" s="1"/>
  <c r="AA36" i="4"/>
  <c r="AB36" i="4" s="1"/>
  <c r="AF36" i="4" s="1"/>
  <c r="AH36" i="4" s="1"/>
  <c r="AA119" i="4"/>
  <c r="AB119" i="4" s="1"/>
  <c r="AF119" i="4" s="1"/>
  <c r="AA85" i="4"/>
  <c r="AB85" i="4" s="1"/>
  <c r="AF85" i="4" s="1"/>
  <c r="AA90" i="4"/>
  <c r="AB90" i="4" s="1"/>
  <c r="AF90" i="4" s="1"/>
  <c r="AA80" i="4"/>
  <c r="AB80" i="4" s="1"/>
  <c r="AF80" i="4" s="1"/>
  <c r="AA125" i="4"/>
  <c r="AB125" i="4" s="1"/>
  <c r="AF125" i="4" s="1"/>
  <c r="AA66" i="4"/>
  <c r="AB66" i="4" s="1"/>
  <c r="AF66" i="4" s="1"/>
  <c r="AA111" i="4"/>
  <c r="AB111" i="4" s="1"/>
  <c r="AF111" i="4" s="1"/>
  <c r="AI17" i="4"/>
  <c r="AM17" i="4" s="1"/>
  <c r="AI31" i="4"/>
  <c r="AM31" i="4" s="1"/>
  <c r="AI24" i="4"/>
  <c r="AM24" i="4" s="1"/>
  <c r="AI22" i="4"/>
  <c r="AM22" i="4" s="1"/>
  <c r="AI126" i="4"/>
  <c r="AM126" i="4" s="1"/>
  <c r="AF8" i="4"/>
  <c r="AI97" i="4"/>
  <c r="AM97" i="4" s="1"/>
  <c r="AH97" i="4"/>
  <c r="AF106" i="4"/>
  <c r="AH41" i="4"/>
  <c r="AA120" i="4"/>
  <c r="AB120" i="4" s="1"/>
  <c r="AF120" i="4" s="1"/>
  <c r="AA20" i="4"/>
  <c r="AB20" i="4" s="1"/>
  <c r="AF20" i="4" s="1"/>
  <c r="AA64" i="4"/>
  <c r="AB64" i="4" s="1"/>
  <c r="AF64" i="4" s="1"/>
  <c r="AA71" i="4"/>
  <c r="AB71" i="4" s="1"/>
  <c r="AF71" i="4" s="1"/>
  <c r="AA83" i="4"/>
  <c r="AB83" i="4" s="1"/>
  <c r="AF83" i="4" s="1"/>
  <c r="AA99" i="4"/>
  <c r="AB99" i="4" s="1"/>
  <c r="AF99" i="4" s="1"/>
  <c r="AA57" i="4"/>
  <c r="AB57" i="4" s="1"/>
  <c r="AF57" i="4" s="1"/>
  <c r="AA18" i="4"/>
  <c r="AB18" i="4" s="1"/>
  <c r="AF18" i="4" s="1"/>
  <c r="AA123" i="4"/>
  <c r="AB123" i="4" s="1"/>
  <c r="AF123" i="4" s="1"/>
  <c r="AA16" i="4"/>
  <c r="AB16" i="4" s="1"/>
  <c r="AF16" i="4" s="1"/>
  <c r="AA94" i="4"/>
  <c r="AB94" i="4" s="1"/>
  <c r="AF94" i="4" s="1"/>
  <c r="AA30" i="4"/>
  <c r="AB30" i="4" s="1"/>
  <c r="AF30" i="4" s="1"/>
  <c r="AA35" i="4"/>
  <c r="AB35" i="4" s="1"/>
  <c r="AF35" i="4" s="1"/>
  <c r="AA42" i="4"/>
  <c r="AB42" i="4" s="1"/>
  <c r="AF42" i="4" s="1"/>
  <c r="AA51" i="4"/>
  <c r="AB51" i="4" s="1"/>
  <c r="AF51" i="4" s="1"/>
  <c r="AA62" i="4"/>
  <c r="AB62" i="4" s="1"/>
  <c r="AF62" i="4" s="1"/>
  <c r="AA110" i="4"/>
  <c r="AB110" i="4" s="1"/>
  <c r="AF110" i="4" s="1"/>
  <c r="AA140" i="4"/>
  <c r="AB140" i="4" s="1"/>
  <c r="AF140" i="4" s="1"/>
  <c r="AA25" i="4"/>
  <c r="AB25" i="4" s="1"/>
  <c r="AF25" i="4" s="1"/>
  <c r="AA131" i="4"/>
  <c r="AB131" i="4" s="1"/>
  <c r="AF131" i="4" s="1"/>
  <c r="AA21" i="4"/>
  <c r="AB21" i="4" s="1"/>
  <c r="AF21" i="4" s="1"/>
  <c r="AA28" i="4"/>
  <c r="AB28" i="4" s="1"/>
  <c r="AF28" i="4" s="1"/>
  <c r="AA60" i="4"/>
  <c r="AB60" i="4" s="1"/>
  <c r="AF60" i="4" s="1"/>
  <c r="AA74" i="4"/>
  <c r="AB74" i="4" s="1"/>
  <c r="AF74" i="4" s="1"/>
  <c r="AA137" i="4"/>
  <c r="AB137" i="4" s="1"/>
  <c r="AF137" i="4" s="1"/>
  <c r="AA135" i="4"/>
  <c r="AB135" i="4" s="1"/>
  <c r="AF135" i="4" s="1"/>
  <c r="AA115" i="4"/>
  <c r="AB115" i="4" s="1"/>
  <c r="AF115" i="4" s="1"/>
  <c r="AA95" i="4"/>
  <c r="AB95" i="4" s="1"/>
  <c r="AF95" i="4" s="1"/>
  <c r="AA75" i="4"/>
  <c r="AB75" i="4" s="1"/>
  <c r="AF75" i="4" s="1"/>
  <c r="AA55" i="4"/>
  <c r="AB55" i="4" s="1"/>
  <c r="AF55" i="4" s="1"/>
  <c r="AA5" i="4"/>
  <c r="AB5" i="4" s="1"/>
  <c r="AF5" i="4" s="1"/>
  <c r="AA124" i="4"/>
  <c r="AB124" i="4" s="1"/>
  <c r="AF124" i="4" s="1"/>
  <c r="AA104" i="4"/>
  <c r="AB104" i="4" s="1"/>
  <c r="AF104" i="4" s="1"/>
  <c r="AA133" i="4"/>
  <c r="AB133" i="4" s="1"/>
  <c r="AF133" i="4" s="1"/>
  <c r="AA113" i="4"/>
  <c r="AB113" i="4" s="1"/>
  <c r="AF113" i="4" s="1"/>
  <c r="AA93" i="4"/>
  <c r="AB93" i="4" s="1"/>
  <c r="AF93" i="4" s="1"/>
  <c r="AA73" i="4"/>
  <c r="AB73" i="4" s="1"/>
  <c r="AF73" i="4" s="1"/>
  <c r="AA53" i="4"/>
  <c r="AB53" i="4" s="1"/>
  <c r="AF53" i="4" s="1"/>
  <c r="AA122" i="4"/>
  <c r="AB122" i="4" s="1"/>
  <c r="AF122" i="4" s="1"/>
  <c r="AA102" i="4"/>
  <c r="AB102" i="4" s="1"/>
  <c r="AF102" i="4" s="1"/>
  <c r="AA82" i="4"/>
  <c r="AB82" i="4" s="1"/>
  <c r="AF82" i="4" s="1"/>
  <c r="AA129" i="4"/>
  <c r="AB129" i="4" s="1"/>
  <c r="AF129" i="4" s="1"/>
  <c r="AA109" i="4"/>
  <c r="AB109" i="4" s="1"/>
  <c r="AF109" i="4" s="1"/>
  <c r="AA89" i="4"/>
  <c r="AB89" i="4" s="1"/>
  <c r="AF89" i="4" s="1"/>
  <c r="AA69" i="4"/>
  <c r="AB69" i="4" s="1"/>
  <c r="AF69" i="4" s="1"/>
  <c r="AA49" i="4"/>
  <c r="AB49" i="4" s="1"/>
  <c r="AF49" i="4" s="1"/>
  <c r="AA138" i="4"/>
  <c r="AB138" i="4" s="1"/>
  <c r="AF138" i="4" s="1"/>
  <c r="AA118" i="4"/>
  <c r="AB118" i="4" s="1"/>
  <c r="AF118" i="4" s="1"/>
  <c r="AA98" i="4"/>
  <c r="AB98" i="4" s="1"/>
  <c r="AF98" i="4" s="1"/>
  <c r="AA127" i="4"/>
  <c r="AB127" i="4" s="1"/>
  <c r="AF127" i="4" s="1"/>
  <c r="AA107" i="4"/>
  <c r="AB107" i="4" s="1"/>
  <c r="AF107" i="4" s="1"/>
  <c r="AA87" i="4"/>
  <c r="AB87" i="4" s="1"/>
  <c r="AF87" i="4" s="1"/>
  <c r="AA67" i="4"/>
  <c r="AB67" i="4" s="1"/>
  <c r="AF67" i="4" s="1"/>
  <c r="AA47" i="4"/>
  <c r="AB47" i="4" s="1"/>
  <c r="AF47" i="4" s="1"/>
  <c r="AA6" i="4"/>
  <c r="AB6" i="4" s="1"/>
  <c r="AF6" i="4" s="1"/>
  <c r="AA136" i="4"/>
  <c r="AB136" i="4" s="1"/>
  <c r="AF136" i="4" s="1"/>
  <c r="AA116" i="4"/>
  <c r="AB116" i="4" s="1"/>
  <c r="AF116" i="4" s="1"/>
  <c r="AA96" i="4"/>
  <c r="AB96" i="4" s="1"/>
  <c r="AF96" i="4" s="1"/>
  <c r="AA76" i="4"/>
  <c r="AB76" i="4" s="1"/>
  <c r="AF76" i="4" s="1"/>
  <c r="AA121" i="4"/>
  <c r="AB121" i="4" s="1"/>
  <c r="AF121" i="4" s="1"/>
  <c r="AA101" i="4"/>
  <c r="AB101" i="4" s="1"/>
  <c r="AF101" i="4" s="1"/>
  <c r="AA81" i="4"/>
  <c r="AB81" i="4" s="1"/>
  <c r="AF81" i="4" s="1"/>
  <c r="AA61" i="4"/>
  <c r="AB61" i="4" s="1"/>
  <c r="AF61" i="4" s="1"/>
  <c r="AA48" i="4"/>
  <c r="AB48" i="4" s="1"/>
  <c r="AF48" i="4" s="1"/>
  <c r="AA88" i="4"/>
  <c r="AB88" i="4" s="1"/>
  <c r="AF88" i="4" s="1"/>
  <c r="AA39" i="4"/>
  <c r="AB39" i="4" s="1"/>
  <c r="AF39" i="4" s="1"/>
  <c r="AA112" i="4"/>
  <c r="AB112" i="4" s="1"/>
  <c r="AF112" i="4" s="1"/>
  <c r="AA44" i="4"/>
  <c r="AB44" i="4" s="1"/>
  <c r="AF44" i="4" s="1"/>
  <c r="AA134" i="4"/>
  <c r="AB134" i="4" s="1"/>
  <c r="AF134" i="4" s="1"/>
  <c r="AA7" i="4"/>
  <c r="AB7" i="4" s="1"/>
  <c r="AF7" i="4" s="1"/>
  <c r="AA14" i="4"/>
  <c r="AB14" i="4" s="1"/>
  <c r="AF14" i="4" s="1"/>
  <c r="AA79" i="4"/>
  <c r="AB79" i="4" s="1"/>
  <c r="AF79" i="4" s="1"/>
  <c r="AA105" i="4"/>
  <c r="AB105" i="4" s="1"/>
  <c r="AF105" i="4" s="1"/>
  <c r="AA13" i="4"/>
  <c r="AB13" i="4" s="1"/>
  <c r="AF13" i="4" s="1"/>
  <c r="AA128" i="4"/>
  <c r="AB128" i="4" s="1"/>
  <c r="AF128" i="4" s="1"/>
  <c r="AA46" i="4"/>
  <c r="AB46" i="4" s="1"/>
  <c r="AF46" i="4" s="1"/>
  <c r="AA78" i="4"/>
  <c r="AB78" i="4" s="1"/>
  <c r="AF78" i="4" s="1"/>
  <c r="AA11" i="4"/>
  <c r="AB11" i="4" s="1"/>
  <c r="AF11" i="4" s="1"/>
  <c r="AA33" i="4"/>
  <c r="AB33" i="4" s="1"/>
  <c r="AF33" i="4" s="1"/>
  <c r="AA40" i="4"/>
  <c r="AB40" i="4" s="1"/>
  <c r="AF40" i="4" s="1"/>
  <c r="AA58" i="4"/>
  <c r="AB58" i="4" s="1"/>
  <c r="AF58" i="4" s="1"/>
  <c r="AA84" i="4"/>
  <c r="AB84" i="4" s="1"/>
  <c r="AF84" i="4" s="1"/>
  <c r="AA108" i="4"/>
  <c r="AB108" i="4" s="1"/>
  <c r="AF108" i="4" s="1"/>
  <c r="AA132" i="4"/>
  <c r="AB132" i="4" s="1"/>
  <c r="AF132" i="4" s="1"/>
  <c r="AA32" i="4"/>
  <c r="AB32" i="4" s="1"/>
  <c r="AF32" i="4" s="1"/>
  <c r="AA37" i="4"/>
  <c r="AB37" i="4" s="1"/>
  <c r="AF37" i="4" s="1"/>
  <c r="AA86" i="4"/>
  <c r="AB86" i="4" s="1"/>
  <c r="AF86" i="4" s="1"/>
  <c r="AA9" i="4"/>
  <c r="AB9" i="4" s="1"/>
  <c r="AF9" i="4" s="1"/>
  <c r="AA23" i="4"/>
  <c r="AB23" i="4" s="1"/>
  <c r="AF23" i="4" s="1"/>
  <c r="AA91" i="4"/>
  <c r="AB91" i="4" s="1"/>
  <c r="AF91" i="4" s="1"/>
  <c r="AA19" i="4"/>
  <c r="AB19" i="4" s="1"/>
  <c r="AF19" i="4" s="1"/>
  <c r="AA26" i="4"/>
  <c r="AB26" i="4" s="1"/>
  <c r="AF26" i="4" s="1"/>
  <c r="AA72" i="4"/>
  <c r="AB72" i="4" s="1"/>
  <c r="AF72" i="4" s="1"/>
  <c r="AA92" i="4"/>
  <c r="AB92" i="4" s="1"/>
  <c r="AF92" i="4" s="1"/>
  <c r="AA100" i="4"/>
  <c r="AB100" i="4" s="1"/>
  <c r="AF100" i="4" s="1"/>
  <c r="AH101" i="5" l="1"/>
  <c r="AI101" i="5"/>
  <c r="AM101" i="5" s="1"/>
  <c r="AI121" i="5"/>
  <c r="AM121" i="5" s="1"/>
  <c r="AH121" i="5"/>
  <c r="AI110" i="5"/>
  <c r="AM110" i="5" s="1"/>
  <c r="AH110" i="5"/>
  <c r="AI65" i="4"/>
  <c r="AM65" i="4" s="1"/>
  <c r="AH65" i="4"/>
  <c r="AH91" i="5"/>
  <c r="AI91" i="5"/>
  <c r="AM91" i="5" s="1"/>
  <c r="AI47" i="5"/>
  <c r="AM47" i="5" s="1"/>
  <c r="AH47" i="5"/>
  <c r="AI60" i="5"/>
  <c r="AM60" i="5" s="1"/>
  <c r="AH60" i="5"/>
  <c r="AH41" i="5"/>
  <c r="AI71" i="5"/>
  <c r="AM71" i="5" s="1"/>
  <c r="AH52" i="5"/>
  <c r="AH36" i="5"/>
  <c r="AH29" i="4"/>
  <c r="AI29" i="5"/>
  <c r="AM29" i="5" s="1"/>
  <c r="AI8" i="5"/>
  <c r="AM8" i="5" s="1"/>
  <c r="AI63" i="5"/>
  <c r="AM63" i="5" s="1"/>
  <c r="AH63" i="5"/>
  <c r="AH67" i="5"/>
  <c r="AI67" i="5"/>
  <c r="AM67" i="5" s="1"/>
  <c r="AI102" i="5"/>
  <c r="AM102" i="5" s="1"/>
  <c r="AH102" i="5"/>
  <c r="AH9" i="5"/>
  <c r="AI9" i="5"/>
  <c r="AM9" i="5" s="1"/>
  <c r="AH49" i="5"/>
  <c r="AI49" i="5"/>
  <c r="AM49" i="5" s="1"/>
  <c r="AH53" i="5"/>
  <c r="AI53" i="5"/>
  <c r="AM53" i="5" s="1"/>
  <c r="AI78" i="5"/>
  <c r="AM78" i="5" s="1"/>
  <c r="AH78" i="5"/>
  <c r="AH6" i="5"/>
  <c r="AI6" i="5"/>
  <c r="AM6" i="5" s="1"/>
  <c r="AI58" i="5"/>
  <c r="AM58" i="5" s="1"/>
  <c r="AH58" i="5"/>
  <c r="AI54" i="5"/>
  <c r="AM54" i="5" s="1"/>
  <c r="AH54" i="5"/>
  <c r="AH50" i="5"/>
  <c r="AI50" i="5"/>
  <c r="AM50" i="5" s="1"/>
  <c r="AH130" i="5"/>
  <c r="AI82" i="5"/>
  <c r="AM82" i="5" s="1"/>
  <c r="AH20" i="5"/>
  <c r="AH69" i="5"/>
  <c r="AI88" i="5"/>
  <c r="AM88" i="5" s="1"/>
  <c r="AH119" i="5"/>
  <c r="AH45" i="5"/>
  <c r="AH15" i="5"/>
  <c r="AH24" i="5"/>
  <c r="AI55" i="5"/>
  <c r="AM55" i="5" s="1"/>
  <c r="AH55" i="5"/>
  <c r="AI61" i="5"/>
  <c r="AM61" i="5" s="1"/>
  <c r="AH61" i="5"/>
  <c r="AI46" i="5"/>
  <c r="AM46" i="5" s="1"/>
  <c r="AH46" i="5"/>
  <c r="AI134" i="5"/>
  <c r="AM134" i="5" s="1"/>
  <c r="AH134" i="5"/>
  <c r="AI76" i="5"/>
  <c r="AM76" i="5" s="1"/>
  <c r="AH76" i="5"/>
  <c r="AH87" i="5"/>
  <c r="AI87" i="5"/>
  <c r="AM87" i="5" s="1"/>
  <c r="AI59" i="5"/>
  <c r="AM59" i="5" s="1"/>
  <c r="AH59" i="5"/>
  <c r="AI133" i="5"/>
  <c r="AM133" i="5" s="1"/>
  <c r="AH133" i="5"/>
  <c r="AH64" i="5"/>
  <c r="AI64" i="5"/>
  <c r="AM64" i="5" s="1"/>
  <c r="AI57" i="5"/>
  <c r="AM57" i="5" s="1"/>
  <c r="AH57" i="5"/>
  <c r="AI10" i="5"/>
  <c r="AM10" i="5" s="1"/>
  <c r="AH10" i="5"/>
  <c r="AH136" i="5"/>
  <c r="AI136" i="5"/>
  <c r="AM136" i="5" s="1"/>
  <c r="AI114" i="5"/>
  <c r="AM114" i="5" s="1"/>
  <c r="AH114" i="5"/>
  <c r="AI90" i="5"/>
  <c r="AM90" i="5" s="1"/>
  <c r="AH90" i="5"/>
  <c r="AI56" i="5"/>
  <c r="AM56" i="5" s="1"/>
  <c r="AH56" i="5"/>
  <c r="AI140" i="5"/>
  <c r="AM140" i="5" s="1"/>
  <c r="AH140" i="5"/>
  <c r="AI105" i="5"/>
  <c r="AM105" i="5" s="1"/>
  <c r="AH105" i="5"/>
  <c r="AH84" i="5"/>
  <c r="AI84" i="5"/>
  <c r="AM84" i="5" s="1"/>
  <c r="AI77" i="5"/>
  <c r="AM77" i="5" s="1"/>
  <c r="AH77" i="5"/>
  <c r="AI118" i="5"/>
  <c r="AM118" i="5" s="1"/>
  <c r="AH118" i="5"/>
  <c r="AH115" i="5"/>
  <c r="AI115" i="5"/>
  <c r="AM115" i="5" s="1"/>
  <c r="AI135" i="5"/>
  <c r="AM135" i="5" s="1"/>
  <c r="AH135" i="5"/>
  <c r="AI129" i="5"/>
  <c r="AM129" i="5" s="1"/>
  <c r="AH129" i="5"/>
  <c r="AH104" i="5"/>
  <c r="AI104" i="5"/>
  <c r="AM104" i="5" s="1"/>
  <c r="AH124" i="5"/>
  <c r="AI124" i="5"/>
  <c r="AM124" i="5" s="1"/>
  <c r="AH97" i="5"/>
  <c r="AI97" i="5"/>
  <c r="AM97" i="5" s="1"/>
  <c r="AI137" i="5"/>
  <c r="AM137" i="5" s="1"/>
  <c r="AH137" i="5"/>
  <c r="AI95" i="5"/>
  <c r="AM95" i="5" s="1"/>
  <c r="AH95" i="5"/>
  <c r="AI127" i="5"/>
  <c r="AM127" i="5" s="1"/>
  <c r="AH127" i="5"/>
  <c r="AH44" i="5"/>
  <c r="AI44" i="5"/>
  <c r="AM44" i="5" s="1"/>
  <c r="AI43" i="5"/>
  <c r="AM43" i="5" s="1"/>
  <c r="AH43" i="5"/>
  <c r="AI123" i="5"/>
  <c r="AM123" i="5" s="1"/>
  <c r="AH123" i="5"/>
  <c r="AI74" i="5"/>
  <c r="AM74" i="5" s="1"/>
  <c r="AH74" i="5"/>
  <c r="AI138" i="5"/>
  <c r="AM138" i="5" s="1"/>
  <c r="AH138" i="5"/>
  <c r="AI89" i="5"/>
  <c r="AM89" i="5" s="1"/>
  <c r="AH89" i="5"/>
  <c r="AH5" i="5"/>
  <c r="AI5" i="5"/>
  <c r="AM5" i="5" s="1"/>
  <c r="AI72" i="5"/>
  <c r="AM72" i="5" s="1"/>
  <c r="AH72" i="5"/>
  <c r="AI113" i="5"/>
  <c r="AM113" i="5" s="1"/>
  <c r="AH113" i="5"/>
  <c r="AI83" i="5"/>
  <c r="AM83" i="5" s="1"/>
  <c r="AH83" i="5"/>
  <c r="AI19" i="5"/>
  <c r="AM19" i="5" s="1"/>
  <c r="AH19" i="5"/>
  <c r="AI75" i="5"/>
  <c r="AM75" i="5" s="1"/>
  <c r="AH75" i="5"/>
  <c r="AH117" i="5"/>
  <c r="AI117" i="5"/>
  <c r="AM117" i="5" s="1"/>
  <c r="AI85" i="5"/>
  <c r="AM85" i="5" s="1"/>
  <c r="AH85" i="5"/>
  <c r="AI126" i="5"/>
  <c r="AM126" i="5" s="1"/>
  <c r="AH126" i="5"/>
  <c r="AI62" i="5"/>
  <c r="AM62" i="5" s="1"/>
  <c r="AH62" i="5"/>
  <c r="AI98" i="5"/>
  <c r="AM98" i="5" s="1"/>
  <c r="AH98" i="5"/>
  <c r="AI28" i="5"/>
  <c r="AM28" i="5" s="1"/>
  <c r="AH28" i="5"/>
  <c r="AH106" i="5"/>
  <c r="AI106" i="5"/>
  <c r="AM106" i="5" s="1"/>
  <c r="AI16" i="5"/>
  <c r="AM16" i="5" s="1"/>
  <c r="AH16" i="5"/>
  <c r="AH68" i="5"/>
  <c r="AI68" i="5"/>
  <c r="AM68" i="5" s="1"/>
  <c r="AI79" i="5"/>
  <c r="AM79" i="5" s="1"/>
  <c r="AH79" i="5"/>
  <c r="AI116" i="5"/>
  <c r="AM116" i="5" s="1"/>
  <c r="AH116" i="5"/>
  <c r="AI131" i="5"/>
  <c r="AM131" i="5" s="1"/>
  <c r="AH131" i="5"/>
  <c r="AI35" i="5"/>
  <c r="AM35" i="5" s="1"/>
  <c r="AH35" i="5"/>
  <c r="AI92" i="5"/>
  <c r="AM92" i="5" s="1"/>
  <c r="AH92" i="5"/>
  <c r="AI93" i="5"/>
  <c r="AM93" i="5" s="1"/>
  <c r="AH93" i="5"/>
  <c r="AI31" i="5"/>
  <c r="AM31" i="5" s="1"/>
  <c r="AH31" i="5"/>
  <c r="AH86" i="5"/>
  <c r="AI86" i="5"/>
  <c r="AM86" i="5" s="1"/>
  <c r="AI14" i="5"/>
  <c r="AM14" i="5" s="1"/>
  <c r="AH14" i="5"/>
  <c r="AI34" i="5"/>
  <c r="AM34" i="5" s="1"/>
  <c r="AH34" i="5"/>
  <c r="AH70" i="5"/>
  <c r="AI70" i="5"/>
  <c r="AM70" i="5" s="1"/>
  <c r="AI99" i="5"/>
  <c r="AM99" i="5" s="1"/>
  <c r="AH99" i="5"/>
  <c r="AI42" i="5"/>
  <c r="AM42" i="5" s="1"/>
  <c r="AH42" i="5"/>
  <c r="AI128" i="5"/>
  <c r="AM128" i="5" s="1"/>
  <c r="AH128" i="5"/>
  <c r="AI109" i="5"/>
  <c r="AM109" i="5" s="1"/>
  <c r="AH109" i="5"/>
  <c r="AH103" i="5"/>
  <c r="AI103" i="5"/>
  <c r="AM103" i="5" s="1"/>
  <c r="AI40" i="5"/>
  <c r="AM40" i="5" s="1"/>
  <c r="AH40" i="5"/>
  <c r="AH125" i="5"/>
  <c r="AI125" i="5"/>
  <c r="AM125" i="5" s="1"/>
  <c r="AI81" i="5"/>
  <c r="AM81" i="5" s="1"/>
  <c r="AH81" i="5"/>
  <c r="AH66" i="5"/>
  <c r="AI66" i="5"/>
  <c r="AM66" i="5" s="1"/>
  <c r="AI96" i="5"/>
  <c r="AM96" i="5" s="1"/>
  <c r="AH96" i="5"/>
  <c r="AI26" i="5"/>
  <c r="AM26" i="5" s="1"/>
  <c r="AH26" i="5"/>
  <c r="AH120" i="5"/>
  <c r="AI120" i="5"/>
  <c r="AM120" i="5" s="1"/>
  <c r="AI21" i="5"/>
  <c r="AM21" i="5" s="1"/>
  <c r="AH21" i="5"/>
  <c r="AI37" i="5"/>
  <c r="AM37" i="5" s="1"/>
  <c r="AH37" i="5"/>
  <c r="AH13" i="5"/>
  <c r="AI13" i="5"/>
  <c r="AM13" i="5" s="1"/>
  <c r="AH94" i="5"/>
  <c r="AI94" i="5"/>
  <c r="AM94" i="5" s="1"/>
  <c r="AI122" i="5"/>
  <c r="AM122" i="5" s="1"/>
  <c r="AH122" i="5"/>
  <c r="AI107" i="5"/>
  <c r="AM107" i="5" s="1"/>
  <c r="AH107" i="5"/>
  <c r="AH111" i="5"/>
  <c r="AI111" i="5"/>
  <c r="AM111" i="5" s="1"/>
  <c r="AI73" i="5"/>
  <c r="AM73" i="5" s="1"/>
  <c r="AH73" i="5"/>
  <c r="AH33" i="5"/>
  <c r="AI33" i="5"/>
  <c r="AM33" i="5" s="1"/>
  <c r="AH100" i="5"/>
  <c r="AI100" i="5"/>
  <c r="AM100" i="5" s="1"/>
  <c r="AI30" i="5"/>
  <c r="AM30" i="5" s="1"/>
  <c r="AH30" i="5"/>
  <c r="AI25" i="5"/>
  <c r="AM25" i="5" s="1"/>
  <c r="AH25" i="5"/>
  <c r="AI38" i="4"/>
  <c r="AM38" i="4" s="1"/>
  <c r="AI34" i="4"/>
  <c r="AM34" i="4" s="1"/>
  <c r="AH50" i="4"/>
  <c r="AH77" i="4"/>
  <c r="AH27" i="4"/>
  <c r="AH54" i="4"/>
  <c r="AI54" i="4"/>
  <c r="AM54" i="4" s="1"/>
  <c r="AI56" i="4"/>
  <c r="AM56" i="4" s="1"/>
  <c r="AH56" i="4"/>
  <c r="AI117" i="4"/>
  <c r="AM117" i="4" s="1"/>
  <c r="AH117" i="4"/>
  <c r="AH68" i="4"/>
  <c r="AI68" i="4"/>
  <c r="AM68" i="4" s="1"/>
  <c r="AH15" i="4"/>
  <c r="AI36" i="4"/>
  <c r="AM36" i="4" s="1"/>
  <c r="AI63" i="4"/>
  <c r="AM63" i="4" s="1"/>
  <c r="AI12" i="4"/>
  <c r="AM12" i="4" s="1"/>
  <c r="AH10" i="4"/>
  <c r="AI114" i="4"/>
  <c r="AM114" i="4" s="1"/>
  <c r="AH52" i="4"/>
  <c r="AI43" i="4"/>
  <c r="AM43" i="4" s="1"/>
  <c r="AI59" i="4"/>
  <c r="AM59" i="4" s="1"/>
  <c r="AH90" i="4"/>
  <c r="AI90" i="4"/>
  <c r="AM90" i="4" s="1"/>
  <c r="AI111" i="4"/>
  <c r="AM111" i="4" s="1"/>
  <c r="AH111" i="4"/>
  <c r="AH125" i="4"/>
  <c r="AI125" i="4"/>
  <c r="AM125" i="4" s="1"/>
  <c r="AH85" i="4"/>
  <c r="AI85" i="4"/>
  <c r="AM85" i="4" s="1"/>
  <c r="AI70" i="4"/>
  <c r="AM70" i="4" s="1"/>
  <c r="AI130" i="4"/>
  <c r="AM130" i="4" s="1"/>
  <c r="AH102" i="4"/>
  <c r="AI102" i="4"/>
  <c r="AM102" i="4" s="1"/>
  <c r="AH48" i="4"/>
  <c r="AI48" i="4"/>
  <c r="AM48" i="4" s="1"/>
  <c r="AH128" i="4"/>
  <c r="AI128" i="4"/>
  <c r="AM128" i="4" s="1"/>
  <c r="AI137" i="4"/>
  <c r="AM137" i="4" s="1"/>
  <c r="AH137" i="4"/>
  <c r="AI58" i="4"/>
  <c r="AM58" i="4" s="1"/>
  <c r="AH58" i="4"/>
  <c r="AI53" i="4"/>
  <c r="AM53" i="4" s="1"/>
  <c r="AH53" i="4"/>
  <c r="AI104" i="4"/>
  <c r="AM104" i="4" s="1"/>
  <c r="AH104" i="4"/>
  <c r="AI84" i="4"/>
  <c r="AM84" i="4" s="1"/>
  <c r="AH84" i="4"/>
  <c r="AH61" i="4"/>
  <c r="AI61" i="4"/>
  <c r="AM61" i="4" s="1"/>
  <c r="AH74" i="4"/>
  <c r="AI74" i="4"/>
  <c r="AM74" i="4" s="1"/>
  <c r="AH82" i="4"/>
  <c r="AI82" i="4"/>
  <c r="AM82" i="4" s="1"/>
  <c r="AI78" i="4"/>
  <c r="AM78" i="4" s="1"/>
  <c r="AH78" i="4"/>
  <c r="AI113" i="4"/>
  <c r="AM113" i="4" s="1"/>
  <c r="AH113" i="4"/>
  <c r="AI133" i="4"/>
  <c r="AM133" i="4" s="1"/>
  <c r="AH133" i="4"/>
  <c r="AH75" i="4"/>
  <c r="AI75" i="4"/>
  <c r="AM75" i="4" s="1"/>
  <c r="AH88" i="4"/>
  <c r="AI88" i="4"/>
  <c r="AM88" i="4" s="1"/>
  <c r="AH101" i="4"/>
  <c r="AI101" i="4"/>
  <c r="AM101" i="4" s="1"/>
  <c r="AH99" i="4"/>
  <c r="AI99" i="4"/>
  <c r="AM99" i="4" s="1"/>
  <c r="AI131" i="4"/>
  <c r="AM131" i="4" s="1"/>
  <c r="AH131" i="4"/>
  <c r="AH93" i="4"/>
  <c r="AI93" i="4"/>
  <c r="AM93" i="4" s="1"/>
  <c r="AI120" i="4"/>
  <c r="AM120" i="4" s="1"/>
  <c r="AH120" i="4"/>
  <c r="AI124" i="4"/>
  <c r="AM124" i="4" s="1"/>
  <c r="AH124" i="4"/>
  <c r="AI44" i="4"/>
  <c r="AM44" i="4" s="1"/>
  <c r="AH44" i="4"/>
  <c r="AI118" i="4"/>
  <c r="AM118" i="4" s="1"/>
  <c r="AH118" i="4"/>
  <c r="AI123" i="4"/>
  <c r="AM123" i="4" s="1"/>
  <c r="AH123" i="4"/>
  <c r="AI71" i="4"/>
  <c r="AM71" i="4" s="1"/>
  <c r="AH71" i="4"/>
  <c r="AI87" i="4"/>
  <c r="AM87" i="4" s="1"/>
  <c r="AH87" i="4"/>
  <c r="AI112" i="4"/>
  <c r="AM112" i="4" s="1"/>
  <c r="AH112" i="4"/>
  <c r="AI138" i="4"/>
  <c r="AM138" i="4" s="1"/>
  <c r="AH138" i="4"/>
  <c r="AI94" i="4"/>
  <c r="AM94" i="4" s="1"/>
  <c r="AH94" i="4"/>
  <c r="AI69" i="4"/>
  <c r="AM69" i="4" s="1"/>
  <c r="AH69" i="4"/>
  <c r="AI57" i="4"/>
  <c r="AM57" i="4" s="1"/>
  <c r="AH57" i="4"/>
  <c r="AH121" i="4"/>
  <c r="AI121" i="4"/>
  <c r="AM121" i="4" s="1"/>
  <c r="AI73" i="4"/>
  <c r="AM73" i="4" s="1"/>
  <c r="AH73" i="4"/>
  <c r="AI86" i="4"/>
  <c r="AM86" i="4" s="1"/>
  <c r="AH86" i="4"/>
  <c r="AI98" i="4"/>
  <c r="AM98" i="4" s="1"/>
  <c r="AH98" i="4"/>
  <c r="AI49" i="4"/>
  <c r="AM49" i="4" s="1"/>
  <c r="AH49" i="4"/>
  <c r="AI135" i="4"/>
  <c r="AM135" i="4" s="1"/>
  <c r="AH135" i="4"/>
  <c r="AI115" i="4"/>
  <c r="AM115" i="4" s="1"/>
  <c r="AH115" i="4"/>
  <c r="AH80" i="4"/>
  <c r="AI80" i="4"/>
  <c r="AM80" i="4" s="1"/>
  <c r="AH42" i="4"/>
  <c r="AI42" i="4"/>
  <c r="AM42" i="4" s="1"/>
  <c r="AI35" i="4"/>
  <c r="AM35" i="4" s="1"/>
  <c r="AH35" i="4"/>
  <c r="AI89" i="4"/>
  <c r="AM89" i="4" s="1"/>
  <c r="AH89" i="4"/>
  <c r="AH16" i="4"/>
  <c r="AI16" i="4"/>
  <c r="AM16" i="4" s="1"/>
  <c r="AI110" i="4"/>
  <c r="AM110" i="4" s="1"/>
  <c r="AH110" i="4"/>
  <c r="AI72" i="4"/>
  <c r="AM72" i="4" s="1"/>
  <c r="AH72" i="4"/>
  <c r="AI132" i="4"/>
  <c r="AM132" i="4" s="1"/>
  <c r="AH132" i="4"/>
  <c r="AH108" i="4"/>
  <c r="AI108" i="4"/>
  <c r="AM108" i="4" s="1"/>
  <c r="AI11" i="4"/>
  <c r="AM11" i="4" s="1"/>
  <c r="AH11" i="4"/>
  <c r="AI9" i="4"/>
  <c r="AM9" i="4" s="1"/>
  <c r="AH9" i="4"/>
  <c r="AH28" i="4"/>
  <c r="AI28" i="4"/>
  <c r="AM28" i="4" s="1"/>
  <c r="AI55" i="4"/>
  <c r="AM55" i="4" s="1"/>
  <c r="AH55" i="4"/>
  <c r="AI7" i="4"/>
  <c r="AM7" i="4" s="1"/>
  <c r="AH7" i="4"/>
  <c r="AH136" i="4"/>
  <c r="AI136" i="4"/>
  <c r="AM136" i="4" s="1"/>
  <c r="AH60" i="4"/>
  <c r="AI60" i="4"/>
  <c r="AM60" i="4" s="1"/>
  <c r="AH26" i="4"/>
  <c r="AI26" i="4"/>
  <c r="AM26" i="4" s="1"/>
  <c r="AH106" i="4"/>
  <c r="AI106" i="4"/>
  <c r="AM106" i="4" s="1"/>
  <c r="AI13" i="4"/>
  <c r="AM13" i="4" s="1"/>
  <c r="AH13" i="4"/>
  <c r="AI134" i="4"/>
  <c r="AM134" i="4" s="1"/>
  <c r="AH134" i="4"/>
  <c r="AI45" i="4"/>
  <c r="AM45" i="4" s="1"/>
  <c r="AH45" i="4"/>
  <c r="AH96" i="4"/>
  <c r="AI96" i="4"/>
  <c r="AM96" i="4" s="1"/>
  <c r="AI83" i="4"/>
  <c r="AM83" i="4" s="1"/>
  <c r="AH83" i="4"/>
  <c r="AI51" i="4"/>
  <c r="AM51" i="4" s="1"/>
  <c r="AH51" i="4"/>
  <c r="AI109" i="4"/>
  <c r="AM109" i="4" s="1"/>
  <c r="AH109" i="4"/>
  <c r="AI33" i="4"/>
  <c r="AM33" i="4" s="1"/>
  <c r="AH33" i="4"/>
  <c r="AI6" i="4"/>
  <c r="AM6" i="4" s="1"/>
  <c r="AH6" i="4"/>
  <c r="AH21" i="4"/>
  <c r="AI21" i="4"/>
  <c r="AM21" i="4" s="1"/>
  <c r="AI139" i="4"/>
  <c r="AM139" i="4" s="1"/>
  <c r="AH139" i="4"/>
  <c r="AI66" i="4"/>
  <c r="AM66" i="4" s="1"/>
  <c r="AH66" i="4"/>
  <c r="AH76" i="4"/>
  <c r="AI76" i="4"/>
  <c r="AM76" i="4" s="1"/>
  <c r="AI100" i="4"/>
  <c r="AM100" i="4" s="1"/>
  <c r="AH100" i="4"/>
  <c r="AH8" i="4"/>
  <c r="AI8" i="4"/>
  <c r="AM8" i="4" s="1"/>
  <c r="AH62" i="4"/>
  <c r="AI62" i="4"/>
  <c r="AM62" i="4" s="1"/>
  <c r="AH40" i="4"/>
  <c r="AI40" i="4"/>
  <c r="AM40" i="4" s="1"/>
  <c r="AI129" i="4"/>
  <c r="AM129" i="4" s="1"/>
  <c r="AH129" i="4"/>
  <c r="AH46" i="4"/>
  <c r="AI46" i="4"/>
  <c r="AM46" i="4" s="1"/>
  <c r="AH122" i="4"/>
  <c r="AI122" i="4"/>
  <c r="AM122" i="4" s="1"/>
  <c r="AH64" i="4"/>
  <c r="AI64" i="4"/>
  <c r="AM64" i="4" s="1"/>
  <c r="AI119" i="4"/>
  <c r="AM119" i="4" s="1"/>
  <c r="AH119" i="4"/>
  <c r="AH19" i="4"/>
  <c r="AI19" i="4"/>
  <c r="AM19" i="4" s="1"/>
  <c r="AI23" i="4"/>
  <c r="AM23" i="4" s="1"/>
  <c r="AH23" i="4"/>
  <c r="AH14" i="4"/>
  <c r="AI14" i="4"/>
  <c r="AM14" i="4" s="1"/>
  <c r="AI95" i="4"/>
  <c r="AM95" i="4" s="1"/>
  <c r="AH95" i="4"/>
  <c r="AH30" i="4"/>
  <c r="AI30" i="4"/>
  <c r="AM30" i="4" s="1"/>
  <c r="AI140" i="4"/>
  <c r="AM140" i="4" s="1"/>
  <c r="AH140" i="4"/>
  <c r="AI81" i="4"/>
  <c r="AM81" i="4" s="1"/>
  <c r="AH81" i="4"/>
  <c r="AI105" i="4"/>
  <c r="AM105" i="4" s="1"/>
  <c r="AH105" i="4"/>
  <c r="AI67" i="4"/>
  <c r="AM67" i="4" s="1"/>
  <c r="AH67" i="4"/>
  <c r="AI103" i="4"/>
  <c r="AM103" i="4" s="1"/>
  <c r="AH103" i="4"/>
  <c r="AI47" i="4"/>
  <c r="AM47" i="4" s="1"/>
  <c r="AH47" i="4"/>
  <c r="AI25" i="4"/>
  <c r="AM25" i="4" s="1"/>
  <c r="AH25" i="4"/>
  <c r="AH20" i="4"/>
  <c r="AI20" i="4"/>
  <c r="AM20" i="4" s="1"/>
  <c r="AI91" i="4"/>
  <c r="AM91" i="4" s="1"/>
  <c r="AH91" i="4"/>
  <c r="AH116" i="4"/>
  <c r="AI116" i="4"/>
  <c r="AM116" i="4" s="1"/>
  <c r="AI127" i="4"/>
  <c r="AM127" i="4" s="1"/>
  <c r="AH127" i="4"/>
  <c r="AH39" i="4"/>
  <c r="AI39" i="4"/>
  <c r="AM39" i="4" s="1"/>
  <c r="AH79" i="4"/>
  <c r="AI79" i="4"/>
  <c r="AM79" i="4" s="1"/>
  <c r="AH18" i="4"/>
  <c r="AI18" i="4"/>
  <c r="AM18" i="4" s="1"/>
  <c r="AI92" i="4"/>
  <c r="AM92" i="4" s="1"/>
  <c r="AH92" i="4"/>
  <c r="AI107" i="4"/>
  <c r="AM107" i="4" s="1"/>
  <c r="AH107" i="4"/>
  <c r="AI5" i="4"/>
  <c r="AM5" i="4" s="1"/>
  <c r="AH5" i="4"/>
  <c r="AI37" i="4"/>
  <c r="AM37" i="4" s="1"/>
  <c r="AH37" i="4"/>
  <c r="AH32" i="4"/>
  <c r="AI32" i="4"/>
  <c r="AM32" i="4" s="1"/>
  <c r="AD5" i="3" l="1"/>
  <c r="AD6" i="3"/>
  <c r="T10" i="3"/>
  <c r="U10" i="3" s="1"/>
  <c r="N10" i="3"/>
  <c r="T9" i="3"/>
  <c r="U9" i="3" s="1"/>
  <c r="N9" i="3"/>
  <c r="T8" i="3"/>
  <c r="U8" i="3" s="1"/>
  <c r="N8" i="3"/>
  <c r="T7" i="3"/>
  <c r="U7" i="3" s="1"/>
  <c r="N7" i="3"/>
  <c r="T6" i="3"/>
  <c r="U6" i="3" s="1"/>
  <c r="N6" i="3"/>
  <c r="T5" i="3"/>
  <c r="U5" i="3" s="1"/>
  <c r="N5" i="3"/>
  <c r="T11" i="3" l="1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AL140" i="3"/>
  <c r="T140" i="3"/>
  <c r="U140" i="3" s="1"/>
  <c r="N140" i="3"/>
  <c r="AT140" i="3" s="1"/>
  <c r="AL139" i="3"/>
  <c r="T139" i="3"/>
  <c r="U139" i="3" s="1"/>
  <c r="N139" i="3"/>
  <c r="AT139" i="3" s="1"/>
  <c r="AL138" i="3"/>
  <c r="T138" i="3"/>
  <c r="U138" i="3" s="1"/>
  <c r="N138" i="3"/>
  <c r="AT138" i="3" s="1"/>
  <c r="AT137" i="3"/>
  <c r="AL137" i="3"/>
  <c r="T137" i="3"/>
  <c r="U137" i="3" s="1"/>
  <c r="N137" i="3"/>
  <c r="AL136" i="3"/>
  <c r="T136" i="3"/>
  <c r="U136" i="3" s="1"/>
  <c r="N136" i="3"/>
  <c r="AT136" i="3" s="1"/>
  <c r="AL135" i="3"/>
  <c r="T135" i="3"/>
  <c r="U135" i="3" s="1"/>
  <c r="N135" i="3"/>
  <c r="AT135" i="3" s="1"/>
  <c r="AL134" i="3"/>
  <c r="T134" i="3"/>
  <c r="U134" i="3" s="1"/>
  <c r="N134" i="3"/>
  <c r="AT134" i="3" s="1"/>
  <c r="AL133" i="3"/>
  <c r="T133" i="3"/>
  <c r="U133" i="3" s="1"/>
  <c r="N133" i="3"/>
  <c r="AT133" i="3" s="1"/>
  <c r="AL132" i="3"/>
  <c r="T132" i="3"/>
  <c r="U132" i="3" s="1"/>
  <c r="N132" i="3"/>
  <c r="AT132" i="3" s="1"/>
  <c r="AL131" i="3"/>
  <c r="T131" i="3"/>
  <c r="U131" i="3" s="1"/>
  <c r="N131" i="3"/>
  <c r="AT131" i="3" s="1"/>
  <c r="AL130" i="3"/>
  <c r="T130" i="3"/>
  <c r="U130" i="3" s="1"/>
  <c r="N130" i="3"/>
  <c r="AT130" i="3" s="1"/>
  <c r="AL129" i="3"/>
  <c r="T129" i="3"/>
  <c r="U129" i="3" s="1"/>
  <c r="N129" i="3"/>
  <c r="AT129" i="3" s="1"/>
  <c r="AL128" i="3"/>
  <c r="T128" i="3"/>
  <c r="U128" i="3" s="1"/>
  <c r="N128" i="3"/>
  <c r="AT128" i="3" s="1"/>
  <c r="AL127" i="3"/>
  <c r="T127" i="3"/>
  <c r="U127" i="3" s="1"/>
  <c r="N127" i="3"/>
  <c r="AT127" i="3" s="1"/>
  <c r="AL126" i="3"/>
  <c r="T126" i="3"/>
  <c r="U126" i="3" s="1"/>
  <c r="N126" i="3"/>
  <c r="AT126" i="3" s="1"/>
  <c r="AL125" i="3"/>
  <c r="T125" i="3"/>
  <c r="U125" i="3" s="1"/>
  <c r="N125" i="3"/>
  <c r="AT125" i="3" s="1"/>
  <c r="AL124" i="3"/>
  <c r="T124" i="3"/>
  <c r="U124" i="3" s="1"/>
  <c r="N124" i="3"/>
  <c r="AT124" i="3" s="1"/>
  <c r="AL123" i="3"/>
  <c r="T123" i="3"/>
  <c r="U123" i="3" s="1"/>
  <c r="N123" i="3"/>
  <c r="AT123" i="3" s="1"/>
  <c r="AL122" i="3"/>
  <c r="T122" i="3"/>
  <c r="U122" i="3" s="1"/>
  <c r="N122" i="3"/>
  <c r="AT122" i="3" s="1"/>
  <c r="AL121" i="3"/>
  <c r="T121" i="3"/>
  <c r="U121" i="3" s="1"/>
  <c r="N121" i="3"/>
  <c r="AT121" i="3" s="1"/>
  <c r="AL120" i="3"/>
  <c r="T120" i="3"/>
  <c r="U120" i="3" s="1"/>
  <c r="N120" i="3"/>
  <c r="AT120" i="3" s="1"/>
  <c r="AL119" i="3"/>
  <c r="T119" i="3"/>
  <c r="U119" i="3" s="1"/>
  <c r="N119" i="3"/>
  <c r="AT119" i="3" s="1"/>
  <c r="AL118" i="3"/>
  <c r="T118" i="3"/>
  <c r="U118" i="3" s="1"/>
  <c r="N118" i="3"/>
  <c r="AT118" i="3" s="1"/>
  <c r="AL117" i="3"/>
  <c r="T117" i="3"/>
  <c r="U117" i="3" s="1"/>
  <c r="N117" i="3"/>
  <c r="AT117" i="3" s="1"/>
  <c r="AL116" i="3"/>
  <c r="T116" i="3"/>
  <c r="U116" i="3" s="1"/>
  <c r="N116" i="3"/>
  <c r="AT116" i="3" s="1"/>
  <c r="AL115" i="3"/>
  <c r="T115" i="3"/>
  <c r="U115" i="3" s="1"/>
  <c r="N115" i="3"/>
  <c r="AT115" i="3" s="1"/>
  <c r="AL114" i="3"/>
  <c r="T114" i="3"/>
  <c r="U114" i="3" s="1"/>
  <c r="N114" i="3"/>
  <c r="AT114" i="3" s="1"/>
  <c r="AL113" i="3"/>
  <c r="T113" i="3"/>
  <c r="U113" i="3" s="1"/>
  <c r="N113" i="3"/>
  <c r="AT113" i="3" s="1"/>
  <c r="AL112" i="3"/>
  <c r="T112" i="3"/>
  <c r="U112" i="3" s="1"/>
  <c r="N112" i="3"/>
  <c r="AT112" i="3" s="1"/>
  <c r="AL111" i="3"/>
  <c r="T111" i="3"/>
  <c r="U111" i="3" s="1"/>
  <c r="N111" i="3"/>
  <c r="AT111" i="3" s="1"/>
  <c r="AL110" i="3"/>
  <c r="T110" i="3"/>
  <c r="U110" i="3" s="1"/>
  <c r="N110" i="3"/>
  <c r="AT110" i="3" s="1"/>
  <c r="AL109" i="3"/>
  <c r="T109" i="3"/>
  <c r="U109" i="3" s="1"/>
  <c r="N109" i="3"/>
  <c r="AT109" i="3" s="1"/>
  <c r="AL108" i="3"/>
  <c r="T108" i="3"/>
  <c r="U108" i="3" s="1"/>
  <c r="N108" i="3"/>
  <c r="AT108" i="3" s="1"/>
  <c r="AL107" i="3"/>
  <c r="T107" i="3"/>
  <c r="U107" i="3" s="1"/>
  <c r="N107" i="3"/>
  <c r="AT107" i="3" s="1"/>
  <c r="AL106" i="3"/>
  <c r="T106" i="3"/>
  <c r="U106" i="3" s="1"/>
  <c r="N106" i="3"/>
  <c r="AT106" i="3" s="1"/>
  <c r="AL105" i="3"/>
  <c r="T105" i="3"/>
  <c r="U105" i="3" s="1"/>
  <c r="N105" i="3"/>
  <c r="AT105" i="3" s="1"/>
  <c r="AL104" i="3"/>
  <c r="T104" i="3"/>
  <c r="U104" i="3" s="1"/>
  <c r="N104" i="3"/>
  <c r="AT104" i="3" s="1"/>
  <c r="AL103" i="3"/>
  <c r="T103" i="3"/>
  <c r="U103" i="3" s="1"/>
  <c r="N103" i="3"/>
  <c r="AT103" i="3" s="1"/>
  <c r="AL102" i="3"/>
  <c r="U102" i="3"/>
  <c r="T102" i="3"/>
  <c r="N102" i="3"/>
  <c r="AT102" i="3" s="1"/>
  <c r="AL101" i="3"/>
  <c r="T101" i="3"/>
  <c r="U101" i="3" s="1"/>
  <c r="N101" i="3"/>
  <c r="AT101" i="3" s="1"/>
  <c r="AL100" i="3"/>
  <c r="T100" i="3"/>
  <c r="U100" i="3" s="1"/>
  <c r="N100" i="3"/>
  <c r="AT100" i="3" s="1"/>
  <c r="AL99" i="3"/>
  <c r="T99" i="3"/>
  <c r="U99" i="3" s="1"/>
  <c r="N99" i="3"/>
  <c r="AT99" i="3" s="1"/>
  <c r="AL98" i="3"/>
  <c r="U98" i="3"/>
  <c r="T98" i="3"/>
  <c r="N98" i="3"/>
  <c r="AT98" i="3" s="1"/>
  <c r="AL97" i="3"/>
  <c r="T97" i="3"/>
  <c r="U97" i="3" s="1"/>
  <c r="N97" i="3"/>
  <c r="AT97" i="3" s="1"/>
  <c r="AL96" i="3"/>
  <c r="T96" i="3"/>
  <c r="U96" i="3" s="1"/>
  <c r="N96" i="3"/>
  <c r="AT96" i="3" s="1"/>
  <c r="AL95" i="3"/>
  <c r="T95" i="3"/>
  <c r="U95" i="3" s="1"/>
  <c r="N95" i="3"/>
  <c r="AT95" i="3" s="1"/>
  <c r="AL94" i="3"/>
  <c r="T94" i="3"/>
  <c r="U94" i="3" s="1"/>
  <c r="N94" i="3"/>
  <c r="AT94" i="3" s="1"/>
  <c r="AL93" i="3"/>
  <c r="T93" i="3"/>
  <c r="U93" i="3" s="1"/>
  <c r="N93" i="3"/>
  <c r="AT93" i="3" s="1"/>
  <c r="AL92" i="3"/>
  <c r="T92" i="3"/>
  <c r="U92" i="3" s="1"/>
  <c r="N92" i="3"/>
  <c r="AT92" i="3" s="1"/>
  <c r="AL91" i="3"/>
  <c r="T91" i="3"/>
  <c r="U91" i="3" s="1"/>
  <c r="N91" i="3"/>
  <c r="AT91" i="3" s="1"/>
  <c r="AL90" i="3"/>
  <c r="T90" i="3"/>
  <c r="U90" i="3" s="1"/>
  <c r="N90" i="3"/>
  <c r="AT90" i="3" s="1"/>
  <c r="AL89" i="3"/>
  <c r="T89" i="3"/>
  <c r="U89" i="3" s="1"/>
  <c r="N89" i="3"/>
  <c r="AT89" i="3" s="1"/>
  <c r="AL88" i="3"/>
  <c r="T88" i="3"/>
  <c r="U88" i="3" s="1"/>
  <c r="N88" i="3"/>
  <c r="AT88" i="3" s="1"/>
  <c r="AL87" i="3"/>
  <c r="T87" i="3"/>
  <c r="U87" i="3" s="1"/>
  <c r="N87" i="3"/>
  <c r="AT87" i="3" s="1"/>
  <c r="AL86" i="3"/>
  <c r="T86" i="3"/>
  <c r="U86" i="3" s="1"/>
  <c r="N86" i="3"/>
  <c r="AT86" i="3" s="1"/>
  <c r="AL85" i="3"/>
  <c r="T85" i="3"/>
  <c r="U85" i="3" s="1"/>
  <c r="N85" i="3"/>
  <c r="AT85" i="3" s="1"/>
  <c r="AL84" i="3"/>
  <c r="T84" i="3"/>
  <c r="U84" i="3" s="1"/>
  <c r="N84" i="3"/>
  <c r="AT84" i="3" s="1"/>
  <c r="AL83" i="3"/>
  <c r="T83" i="3"/>
  <c r="U83" i="3" s="1"/>
  <c r="N83" i="3"/>
  <c r="AT83" i="3" s="1"/>
  <c r="AL82" i="3"/>
  <c r="T82" i="3"/>
  <c r="U82" i="3" s="1"/>
  <c r="N82" i="3"/>
  <c r="AT82" i="3" s="1"/>
  <c r="AL81" i="3"/>
  <c r="T81" i="3"/>
  <c r="U81" i="3" s="1"/>
  <c r="N81" i="3"/>
  <c r="AT81" i="3" s="1"/>
  <c r="AL80" i="3"/>
  <c r="T80" i="3"/>
  <c r="U80" i="3" s="1"/>
  <c r="N80" i="3"/>
  <c r="AT80" i="3" s="1"/>
  <c r="AL79" i="3"/>
  <c r="T79" i="3"/>
  <c r="U79" i="3" s="1"/>
  <c r="N79" i="3"/>
  <c r="AT79" i="3" s="1"/>
  <c r="AL78" i="3"/>
  <c r="T78" i="3"/>
  <c r="U78" i="3" s="1"/>
  <c r="N78" i="3"/>
  <c r="AT78" i="3" s="1"/>
  <c r="AL77" i="3"/>
  <c r="T77" i="3"/>
  <c r="U77" i="3" s="1"/>
  <c r="N77" i="3"/>
  <c r="AT77" i="3" s="1"/>
  <c r="AL76" i="3"/>
  <c r="T76" i="3"/>
  <c r="U76" i="3" s="1"/>
  <c r="N76" i="3"/>
  <c r="AT76" i="3" s="1"/>
  <c r="AL75" i="3"/>
  <c r="T75" i="3"/>
  <c r="U75" i="3" s="1"/>
  <c r="N75" i="3"/>
  <c r="AT75" i="3" s="1"/>
  <c r="AL74" i="3"/>
  <c r="T74" i="3"/>
  <c r="U74" i="3" s="1"/>
  <c r="N74" i="3"/>
  <c r="AT74" i="3" s="1"/>
  <c r="AL73" i="3"/>
  <c r="T73" i="3"/>
  <c r="U73" i="3" s="1"/>
  <c r="N73" i="3"/>
  <c r="AT73" i="3" s="1"/>
  <c r="AL72" i="3"/>
  <c r="T72" i="3"/>
  <c r="U72" i="3" s="1"/>
  <c r="N72" i="3"/>
  <c r="AT72" i="3" s="1"/>
  <c r="AL71" i="3"/>
  <c r="T71" i="3"/>
  <c r="U71" i="3" s="1"/>
  <c r="N71" i="3"/>
  <c r="AT71" i="3" s="1"/>
  <c r="AL70" i="3"/>
  <c r="T70" i="3"/>
  <c r="U70" i="3" s="1"/>
  <c r="N70" i="3"/>
  <c r="AT70" i="3" s="1"/>
  <c r="AL69" i="3"/>
  <c r="T69" i="3"/>
  <c r="U69" i="3" s="1"/>
  <c r="N69" i="3"/>
  <c r="AT69" i="3" s="1"/>
  <c r="AL68" i="3"/>
  <c r="T68" i="3"/>
  <c r="U68" i="3" s="1"/>
  <c r="N68" i="3"/>
  <c r="AT68" i="3" s="1"/>
  <c r="AL67" i="3"/>
  <c r="T67" i="3"/>
  <c r="U67" i="3" s="1"/>
  <c r="N67" i="3"/>
  <c r="AT67" i="3" s="1"/>
  <c r="AL66" i="3"/>
  <c r="T66" i="3"/>
  <c r="U66" i="3" s="1"/>
  <c r="N66" i="3"/>
  <c r="AT66" i="3" s="1"/>
  <c r="AL65" i="3"/>
  <c r="T65" i="3"/>
  <c r="U65" i="3" s="1"/>
  <c r="N65" i="3"/>
  <c r="AT65" i="3" s="1"/>
  <c r="AL64" i="3"/>
  <c r="T64" i="3"/>
  <c r="U64" i="3" s="1"/>
  <c r="N64" i="3"/>
  <c r="AT64" i="3" s="1"/>
  <c r="AL63" i="3"/>
  <c r="T63" i="3"/>
  <c r="U63" i="3" s="1"/>
  <c r="N63" i="3"/>
  <c r="AT63" i="3" s="1"/>
  <c r="AL62" i="3"/>
  <c r="T62" i="3"/>
  <c r="U62" i="3" s="1"/>
  <c r="N62" i="3"/>
  <c r="AT62" i="3" s="1"/>
  <c r="AL61" i="3"/>
  <c r="T61" i="3"/>
  <c r="U61" i="3" s="1"/>
  <c r="N61" i="3"/>
  <c r="AT61" i="3" s="1"/>
  <c r="AL60" i="3"/>
  <c r="T60" i="3"/>
  <c r="U60" i="3" s="1"/>
  <c r="N60" i="3"/>
  <c r="AT60" i="3" s="1"/>
  <c r="AL59" i="3"/>
  <c r="T59" i="3"/>
  <c r="U59" i="3" s="1"/>
  <c r="N59" i="3"/>
  <c r="AT59" i="3" s="1"/>
  <c r="AL58" i="3"/>
  <c r="T58" i="3"/>
  <c r="U58" i="3" s="1"/>
  <c r="N58" i="3"/>
  <c r="AT58" i="3" s="1"/>
  <c r="AL57" i="3"/>
  <c r="T57" i="3"/>
  <c r="U57" i="3" s="1"/>
  <c r="N57" i="3"/>
  <c r="AT57" i="3" s="1"/>
  <c r="AL56" i="3"/>
  <c r="T56" i="3"/>
  <c r="U56" i="3" s="1"/>
  <c r="N56" i="3"/>
  <c r="AT56" i="3" s="1"/>
  <c r="AL55" i="3"/>
  <c r="T55" i="3"/>
  <c r="U55" i="3" s="1"/>
  <c r="N55" i="3"/>
  <c r="AT55" i="3" s="1"/>
  <c r="AL54" i="3"/>
  <c r="T54" i="3"/>
  <c r="U54" i="3" s="1"/>
  <c r="N54" i="3"/>
  <c r="AT54" i="3" s="1"/>
  <c r="AT53" i="3"/>
  <c r="AL53" i="3"/>
  <c r="T53" i="3"/>
  <c r="U53" i="3" s="1"/>
  <c r="N53" i="3"/>
  <c r="AL52" i="3"/>
  <c r="T52" i="3"/>
  <c r="U52" i="3" s="1"/>
  <c r="N52" i="3"/>
  <c r="AT52" i="3" s="1"/>
  <c r="AL51" i="3"/>
  <c r="T51" i="3"/>
  <c r="U51" i="3" s="1"/>
  <c r="N51" i="3"/>
  <c r="AT51" i="3" s="1"/>
  <c r="AL50" i="3"/>
  <c r="T50" i="3"/>
  <c r="U50" i="3" s="1"/>
  <c r="N50" i="3"/>
  <c r="AT50" i="3" s="1"/>
  <c r="AL49" i="3"/>
  <c r="T49" i="3"/>
  <c r="U49" i="3" s="1"/>
  <c r="N49" i="3"/>
  <c r="AT49" i="3" s="1"/>
  <c r="AL48" i="3"/>
  <c r="T48" i="3"/>
  <c r="U48" i="3" s="1"/>
  <c r="N48" i="3"/>
  <c r="AT48" i="3" s="1"/>
  <c r="AL47" i="3"/>
  <c r="T47" i="3"/>
  <c r="U47" i="3" s="1"/>
  <c r="N47" i="3"/>
  <c r="AT47" i="3" s="1"/>
  <c r="AL46" i="3"/>
  <c r="T46" i="3"/>
  <c r="U46" i="3" s="1"/>
  <c r="N46" i="3"/>
  <c r="AT46" i="3" s="1"/>
  <c r="AL45" i="3"/>
  <c r="T45" i="3"/>
  <c r="U45" i="3" s="1"/>
  <c r="N45" i="3"/>
  <c r="AT45" i="3" s="1"/>
  <c r="AL44" i="3"/>
  <c r="T44" i="3"/>
  <c r="U44" i="3" s="1"/>
  <c r="N44" i="3"/>
  <c r="AT44" i="3" s="1"/>
  <c r="AL43" i="3"/>
  <c r="T43" i="3"/>
  <c r="U43" i="3" s="1"/>
  <c r="N43" i="3"/>
  <c r="AT43" i="3" s="1"/>
  <c r="AL42" i="3"/>
  <c r="N42" i="3"/>
  <c r="AT42" i="3" s="1"/>
  <c r="AL41" i="3"/>
  <c r="N41" i="3"/>
  <c r="AT41" i="3" s="1"/>
  <c r="AL40" i="3"/>
  <c r="N40" i="3"/>
  <c r="AT40" i="3" s="1"/>
  <c r="AL39" i="3"/>
  <c r="N39" i="3"/>
  <c r="AT39" i="3" s="1"/>
  <c r="AL38" i="3"/>
  <c r="N38" i="3"/>
  <c r="AT38" i="3" s="1"/>
  <c r="AL37" i="3"/>
  <c r="N37" i="3"/>
  <c r="AT37" i="3" s="1"/>
  <c r="AL36" i="3"/>
  <c r="N36" i="3"/>
  <c r="AT36" i="3" s="1"/>
  <c r="AL35" i="3"/>
  <c r="N35" i="3"/>
  <c r="AT35" i="3" s="1"/>
  <c r="AL34" i="3"/>
  <c r="N34" i="3"/>
  <c r="AT34" i="3" s="1"/>
  <c r="AL33" i="3"/>
  <c r="N33" i="3"/>
  <c r="AT33" i="3" s="1"/>
  <c r="AL32" i="3"/>
  <c r="N32" i="3"/>
  <c r="AT32" i="3" s="1"/>
  <c r="AL31" i="3"/>
  <c r="N31" i="3"/>
  <c r="AT31" i="3" s="1"/>
  <c r="AL30" i="3"/>
  <c r="N30" i="3"/>
  <c r="AT30" i="3" s="1"/>
  <c r="AT29" i="3"/>
  <c r="AL29" i="3"/>
  <c r="N29" i="3"/>
  <c r="AL28" i="3"/>
  <c r="N28" i="3"/>
  <c r="AT28" i="3" s="1"/>
  <c r="AL27" i="3"/>
  <c r="N27" i="3"/>
  <c r="AT27" i="3" s="1"/>
  <c r="AL26" i="3"/>
  <c r="N26" i="3"/>
  <c r="AT26" i="3" s="1"/>
  <c r="AL25" i="3"/>
  <c r="N25" i="3"/>
  <c r="AT25" i="3" s="1"/>
  <c r="AL24" i="3"/>
  <c r="N24" i="3"/>
  <c r="AT24" i="3" s="1"/>
  <c r="AL23" i="3"/>
  <c r="N23" i="3"/>
  <c r="AT23" i="3" s="1"/>
  <c r="AT22" i="3"/>
  <c r="AL22" i="3"/>
  <c r="N22" i="3"/>
  <c r="AL21" i="3"/>
  <c r="N21" i="3"/>
  <c r="AT21" i="3" s="1"/>
  <c r="AL20" i="3"/>
  <c r="N20" i="3"/>
  <c r="AT20" i="3" s="1"/>
  <c r="AL19" i="3"/>
  <c r="N19" i="3"/>
  <c r="AT19" i="3" s="1"/>
  <c r="AL18" i="3"/>
  <c r="N18" i="3"/>
  <c r="AT18" i="3" s="1"/>
  <c r="AL17" i="3"/>
  <c r="N17" i="3"/>
  <c r="AT17" i="3" s="1"/>
  <c r="AL16" i="3"/>
  <c r="N16" i="3"/>
  <c r="AT16" i="3" s="1"/>
  <c r="AL15" i="3"/>
  <c r="N15" i="3"/>
  <c r="AT15" i="3" s="1"/>
  <c r="AL14" i="3"/>
  <c r="N14" i="3"/>
  <c r="AT14" i="3" s="1"/>
  <c r="AL13" i="3"/>
  <c r="N13" i="3"/>
  <c r="AT13" i="3" s="1"/>
  <c r="AL12" i="3"/>
  <c r="N12" i="3"/>
  <c r="AT12" i="3" s="1"/>
  <c r="AL11" i="3"/>
  <c r="N11" i="3"/>
  <c r="AT11" i="3" s="1"/>
  <c r="AT10" i="3"/>
  <c r="AL10" i="3"/>
  <c r="AL9" i="3"/>
  <c r="AT9" i="3"/>
  <c r="AL8" i="3"/>
  <c r="AT8" i="3"/>
  <c r="AL7" i="3"/>
  <c r="AT7" i="3"/>
  <c r="AL6" i="3"/>
  <c r="AT6" i="3"/>
  <c r="AL5" i="3"/>
  <c r="AT5" i="3"/>
  <c r="I2" i="3"/>
  <c r="AA14" i="3" s="1"/>
  <c r="AA119" i="3" l="1"/>
  <c r="AB119" i="3" s="1"/>
  <c r="AA114" i="3"/>
  <c r="AB114" i="3" s="1"/>
  <c r="AA71" i="3"/>
  <c r="AB71" i="3" s="1"/>
  <c r="AA138" i="3"/>
  <c r="AB138" i="3" s="1"/>
  <c r="AA43" i="3"/>
  <c r="AB43" i="3" s="1"/>
  <c r="AF43" i="3" s="1"/>
  <c r="AA90" i="3"/>
  <c r="AB90" i="3" s="1"/>
  <c r="AF90" i="3" s="1"/>
  <c r="AA59" i="3"/>
  <c r="AB59" i="3" s="1"/>
  <c r="AA42" i="3"/>
  <c r="AA27" i="3"/>
  <c r="AB27" i="3" s="1"/>
  <c r="AA105" i="3"/>
  <c r="AB105" i="3" s="1"/>
  <c r="AA25" i="3"/>
  <c r="AB25" i="3" s="1"/>
  <c r="AF25" i="3" s="1"/>
  <c r="AA40" i="3"/>
  <c r="AB40" i="3" s="1"/>
  <c r="AF40" i="3" s="1"/>
  <c r="AA28" i="3"/>
  <c r="AB28" i="3" s="1"/>
  <c r="AF28" i="3" s="1"/>
  <c r="AA69" i="3"/>
  <c r="AB69" i="3" s="1"/>
  <c r="AF69" i="3" s="1"/>
  <c r="AA24" i="3"/>
  <c r="AB24" i="3" s="1"/>
  <c r="AF24" i="3" s="1"/>
  <c r="AA38" i="3"/>
  <c r="AA23" i="3"/>
  <c r="AF119" i="3"/>
  <c r="AH119" i="3" s="1"/>
  <c r="AA85" i="3"/>
  <c r="AB85" i="3" s="1"/>
  <c r="AF85" i="3" s="1"/>
  <c r="AF49" i="3"/>
  <c r="AI49" i="3" s="1"/>
  <c r="AM49" i="3" s="1"/>
  <c r="AA30" i="3"/>
  <c r="AA122" i="3"/>
  <c r="AB122" i="3" s="1"/>
  <c r="AA26" i="3"/>
  <c r="AB26" i="3" s="1"/>
  <c r="AF26" i="3" s="1"/>
  <c r="AA22" i="3"/>
  <c r="AA41" i="3"/>
  <c r="AB41" i="3" s="1"/>
  <c r="AF41" i="3" s="1"/>
  <c r="AA49" i="3"/>
  <c r="AB49" i="3" s="1"/>
  <c r="AA110" i="3"/>
  <c r="AB110" i="3" s="1"/>
  <c r="AF110" i="3" s="1"/>
  <c r="AA46" i="3"/>
  <c r="AB46" i="3" s="1"/>
  <c r="AF46" i="3" s="1"/>
  <c r="AH46" i="3" s="1"/>
  <c r="AA21" i="3"/>
  <c r="AB21" i="3" s="1"/>
  <c r="AF21" i="3" s="1"/>
  <c r="AF138" i="3"/>
  <c r="AI138" i="3" s="1"/>
  <c r="AM138" i="3" s="1"/>
  <c r="AA139" i="3"/>
  <c r="AB139" i="3" s="1"/>
  <c r="AA20" i="3"/>
  <c r="AA29" i="3"/>
  <c r="AB29" i="3" s="1"/>
  <c r="AF29" i="3" s="1"/>
  <c r="AI29" i="3" s="1"/>
  <c r="AM29" i="3" s="1"/>
  <c r="AA76" i="3"/>
  <c r="AB76" i="3" s="1"/>
  <c r="AF76" i="3" s="1"/>
  <c r="AA18" i="3"/>
  <c r="AB18" i="3" s="1"/>
  <c r="AF18" i="3" s="1"/>
  <c r="AF71" i="3"/>
  <c r="AH71" i="3" s="1"/>
  <c r="AA39" i="3"/>
  <c r="AB39" i="3" s="1"/>
  <c r="AF39" i="3" s="1"/>
  <c r="AA19" i="3"/>
  <c r="AB19" i="3" s="1"/>
  <c r="AF19" i="3" s="1"/>
  <c r="AA37" i="3"/>
  <c r="AB37" i="3" s="1"/>
  <c r="AF37" i="3" s="1"/>
  <c r="AA131" i="3"/>
  <c r="AB131" i="3" s="1"/>
  <c r="AF131" i="3" s="1"/>
  <c r="AA36" i="3"/>
  <c r="AB36" i="3" s="1"/>
  <c r="AF36" i="3" s="1"/>
  <c r="AA16" i="3"/>
  <c r="AB16" i="3" s="1"/>
  <c r="AF16" i="3" s="1"/>
  <c r="AA136" i="3"/>
  <c r="AB136" i="3" s="1"/>
  <c r="AF136" i="3" s="1"/>
  <c r="AA35" i="3"/>
  <c r="AB35" i="3" s="1"/>
  <c r="AF35" i="3" s="1"/>
  <c r="AA15" i="3"/>
  <c r="AB15" i="3" s="1"/>
  <c r="AF15" i="3" s="1"/>
  <c r="AA17" i="3"/>
  <c r="AB17" i="3" s="1"/>
  <c r="AF17" i="3" s="1"/>
  <c r="AA34" i="3"/>
  <c r="AB34" i="3" s="1"/>
  <c r="AF34" i="3" s="1"/>
  <c r="AI34" i="3" s="1"/>
  <c r="AM34" i="3" s="1"/>
  <c r="AF105" i="3"/>
  <c r="AF139" i="3"/>
  <c r="AI139" i="3" s="1"/>
  <c r="AM139" i="3" s="1"/>
  <c r="AA81" i="3"/>
  <c r="AB81" i="3" s="1"/>
  <c r="AF81" i="3" s="1"/>
  <c r="AA8" i="3"/>
  <c r="AB8" i="3" s="1"/>
  <c r="AF8" i="3" s="1"/>
  <c r="AH8" i="3" s="1"/>
  <c r="AA7" i="3"/>
  <c r="AB7" i="3" s="1"/>
  <c r="AF7" i="3" s="1"/>
  <c r="AH7" i="3" s="1"/>
  <c r="AA6" i="3"/>
  <c r="AB6" i="3" s="1"/>
  <c r="AF6" i="3" s="1"/>
  <c r="AH6" i="3" s="1"/>
  <c r="AA5" i="3"/>
  <c r="AB5" i="3" s="1"/>
  <c r="AF5" i="3" s="1"/>
  <c r="AH5" i="3" s="1"/>
  <c r="AA10" i="3"/>
  <c r="AB10" i="3" s="1"/>
  <c r="AF10" i="3" s="1"/>
  <c r="AH10" i="3" s="1"/>
  <c r="AA9" i="3"/>
  <c r="AB9" i="3" s="1"/>
  <c r="AF9" i="3" s="1"/>
  <c r="AH9" i="3" s="1"/>
  <c r="AA62" i="3"/>
  <c r="AB62" i="3" s="1"/>
  <c r="AF62" i="3" s="1"/>
  <c r="AA33" i="3"/>
  <c r="AB33" i="3" s="1"/>
  <c r="AF33" i="3" s="1"/>
  <c r="AA13" i="3"/>
  <c r="AB13" i="3" s="1"/>
  <c r="AF13" i="3" s="1"/>
  <c r="AA53" i="3"/>
  <c r="AB53" i="3" s="1"/>
  <c r="AF53" i="3" s="1"/>
  <c r="AA132" i="3"/>
  <c r="AB132" i="3" s="1"/>
  <c r="AF132" i="3" s="1"/>
  <c r="AA32" i="3"/>
  <c r="AB32" i="3" s="1"/>
  <c r="AF32" i="3" s="1"/>
  <c r="AA12" i="3"/>
  <c r="AB12" i="3" s="1"/>
  <c r="AF12" i="3" s="1"/>
  <c r="AH12" i="3" s="1"/>
  <c r="AA83" i="3"/>
  <c r="AB83" i="3" s="1"/>
  <c r="AF83" i="3" s="1"/>
  <c r="AA127" i="3"/>
  <c r="AB127" i="3" s="1"/>
  <c r="AF127" i="3" s="1"/>
  <c r="AA31" i="3"/>
  <c r="AB31" i="3" s="1"/>
  <c r="AF31" i="3" s="1"/>
  <c r="AH31" i="3" s="1"/>
  <c r="AA11" i="3"/>
  <c r="AB11" i="3" s="1"/>
  <c r="AF11" i="3" s="1"/>
  <c r="AH25" i="3"/>
  <c r="AI25" i="3"/>
  <c r="AM25" i="3" s="1"/>
  <c r="AF59" i="3"/>
  <c r="AF67" i="3"/>
  <c r="AI105" i="3"/>
  <c r="AM105" i="3" s="1"/>
  <c r="AH105" i="3"/>
  <c r="AI119" i="3"/>
  <c r="AM119" i="3" s="1"/>
  <c r="AF27" i="3"/>
  <c r="AF114" i="3"/>
  <c r="AB42" i="3"/>
  <c r="AF42" i="3" s="1"/>
  <c r="AA102" i="3"/>
  <c r="AB102" i="3" s="1"/>
  <c r="AF102" i="3" s="1"/>
  <c r="AA107" i="3"/>
  <c r="AB107" i="3" s="1"/>
  <c r="AF107" i="3" s="1"/>
  <c r="AA112" i="3"/>
  <c r="AB112" i="3" s="1"/>
  <c r="AF112" i="3" s="1"/>
  <c r="AB23" i="3"/>
  <c r="AF23" i="3" s="1"/>
  <c r="AB38" i="3"/>
  <c r="AF38" i="3" s="1"/>
  <c r="AA78" i="3"/>
  <c r="AB78" i="3" s="1"/>
  <c r="AF78" i="3" s="1"/>
  <c r="AA88" i="3"/>
  <c r="AB88" i="3" s="1"/>
  <c r="AF88" i="3" s="1"/>
  <c r="AA134" i="3"/>
  <c r="AB134" i="3" s="1"/>
  <c r="AF134" i="3" s="1"/>
  <c r="AA51" i="3"/>
  <c r="AB51" i="3" s="1"/>
  <c r="AF51" i="3" s="1"/>
  <c r="AF122" i="3"/>
  <c r="AA137" i="3"/>
  <c r="AB137" i="3" s="1"/>
  <c r="AF137" i="3" s="1"/>
  <c r="AA117" i="3"/>
  <c r="AB117" i="3" s="1"/>
  <c r="AF117" i="3" s="1"/>
  <c r="AA97" i="3"/>
  <c r="AB97" i="3" s="1"/>
  <c r="AF97" i="3" s="1"/>
  <c r="AA77" i="3"/>
  <c r="AB77" i="3" s="1"/>
  <c r="AF77" i="3" s="1"/>
  <c r="AA57" i="3"/>
  <c r="AB57" i="3" s="1"/>
  <c r="AF57" i="3" s="1"/>
  <c r="AA126" i="3"/>
  <c r="AB126" i="3" s="1"/>
  <c r="AF126" i="3" s="1"/>
  <c r="AA106" i="3"/>
  <c r="AB106" i="3" s="1"/>
  <c r="AF106" i="3" s="1"/>
  <c r="AA86" i="3"/>
  <c r="AB86" i="3" s="1"/>
  <c r="AF86" i="3" s="1"/>
  <c r="AA66" i="3"/>
  <c r="AB66" i="3" s="1"/>
  <c r="AF66" i="3" s="1"/>
  <c r="AA135" i="3"/>
  <c r="AB135" i="3" s="1"/>
  <c r="AF135" i="3" s="1"/>
  <c r="AA115" i="3"/>
  <c r="AB115" i="3" s="1"/>
  <c r="AF115" i="3" s="1"/>
  <c r="AA95" i="3"/>
  <c r="AB95" i="3" s="1"/>
  <c r="AF95" i="3" s="1"/>
  <c r="AA75" i="3"/>
  <c r="AB75" i="3" s="1"/>
  <c r="AF75" i="3" s="1"/>
  <c r="AA55" i="3"/>
  <c r="AB55" i="3" s="1"/>
  <c r="AF55" i="3" s="1"/>
  <c r="AA113" i="3"/>
  <c r="AB113" i="3" s="1"/>
  <c r="AF113" i="3" s="1"/>
  <c r="AA124" i="3"/>
  <c r="AB124" i="3" s="1"/>
  <c r="AF124" i="3" s="1"/>
  <c r="AA104" i="3"/>
  <c r="AB104" i="3" s="1"/>
  <c r="AF104" i="3" s="1"/>
  <c r="AA84" i="3"/>
  <c r="AB84" i="3" s="1"/>
  <c r="AF84" i="3" s="1"/>
  <c r="AA64" i="3"/>
  <c r="AB64" i="3" s="1"/>
  <c r="AF64" i="3" s="1"/>
  <c r="AA44" i="3"/>
  <c r="AB44" i="3" s="1"/>
  <c r="AF44" i="3" s="1"/>
  <c r="AA133" i="3"/>
  <c r="AB133" i="3" s="1"/>
  <c r="AF133" i="3" s="1"/>
  <c r="AA93" i="3"/>
  <c r="AB93" i="3" s="1"/>
  <c r="AF93" i="3" s="1"/>
  <c r="AA73" i="3"/>
  <c r="AB73" i="3" s="1"/>
  <c r="AF73" i="3" s="1"/>
  <c r="AA140" i="3"/>
  <c r="AB140" i="3" s="1"/>
  <c r="AF140" i="3" s="1"/>
  <c r="AA120" i="3"/>
  <c r="AB120" i="3" s="1"/>
  <c r="AF120" i="3" s="1"/>
  <c r="AA100" i="3"/>
  <c r="AB100" i="3" s="1"/>
  <c r="AF100" i="3" s="1"/>
  <c r="AA80" i="3"/>
  <c r="AB80" i="3" s="1"/>
  <c r="AF80" i="3" s="1"/>
  <c r="AA60" i="3"/>
  <c r="AB60" i="3" s="1"/>
  <c r="AF60" i="3" s="1"/>
  <c r="AB20" i="3"/>
  <c r="AF20" i="3" s="1"/>
  <c r="AA129" i="3"/>
  <c r="AB129" i="3" s="1"/>
  <c r="AF129" i="3" s="1"/>
  <c r="AA109" i="3"/>
  <c r="AB109" i="3" s="1"/>
  <c r="AF109" i="3" s="1"/>
  <c r="AA89" i="3"/>
  <c r="AB89" i="3" s="1"/>
  <c r="AF89" i="3" s="1"/>
  <c r="AA74" i="3"/>
  <c r="AB74" i="3" s="1"/>
  <c r="AF74" i="3" s="1"/>
  <c r="AA67" i="3"/>
  <c r="AB67" i="3" s="1"/>
  <c r="AA79" i="3"/>
  <c r="AB79" i="3" s="1"/>
  <c r="AF79" i="3" s="1"/>
  <c r="AA91" i="3"/>
  <c r="AB91" i="3" s="1"/>
  <c r="AF91" i="3" s="1"/>
  <c r="AA96" i="3"/>
  <c r="AB96" i="3" s="1"/>
  <c r="AF96" i="3" s="1"/>
  <c r="AA130" i="3"/>
  <c r="AB130" i="3" s="1"/>
  <c r="AF130" i="3" s="1"/>
  <c r="AA45" i="3"/>
  <c r="AB45" i="3" s="1"/>
  <c r="AF45" i="3" s="1"/>
  <c r="AA98" i="3"/>
  <c r="AB98" i="3" s="1"/>
  <c r="AF98" i="3" s="1"/>
  <c r="AA103" i="3"/>
  <c r="AB103" i="3" s="1"/>
  <c r="AF103" i="3" s="1"/>
  <c r="AA65" i="3"/>
  <c r="AB65" i="3" s="1"/>
  <c r="AF65" i="3" s="1"/>
  <c r="AA56" i="3"/>
  <c r="AB56" i="3" s="1"/>
  <c r="AF56" i="3" s="1"/>
  <c r="AA58" i="3"/>
  <c r="AB58" i="3" s="1"/>
  <c r="AF58" i="3" s="1"/>
  <c r="AA101" i="3"/>
  <c r="AB101" i="3" s="1"/>
  <c r="AF101" i="3" s="1"/>
  <c r="AA125" i="3"/>
  <c r="AB125" i="3" s="1"/>
  <c r="AF125" i="3" s="1"/>
  <c r="AA72" i="3"/>
  <c r="AB72" i="3" s="1"/>
  <c r="AF72" i="3" s="1"/>
  <c r="AB30" i="3"/>
  <c r="AF30" i="3" s="1"/>
  <c r="AB22" i="3"/>
  <c r="AF22" i="3" s="1"/>
  <c r="AA54" i="3"/>
  <c r="AB54" i="3" s="1"/>
  <c r="AF54" i="3" s="1"/>
  <c r="AA94" i="3"/>
  <c r="AB94" i="3" s="1"/>
  <c r="AF94" i="3" s="1"/>
  <c r="AA118" i="3"/>
  <c r="AB118" i="3" s="1"/>
  <c r="AF118" i="3" s="1"/>
  <c r="AA128" i="3"/>
  <c r="AB128" i="3" s="1"/>
  <c r="AF128" i="3" s="1"/>
  <c r="AA52" i="3"/>
  <c r="AB52" i="3" s="1"/>
  <c r="AF52" i="3" s="1"/>
  <c r="AA63" i="3"/>
  <c r="AB63" i="3" s="1"/>
  <c r="AF63" i="3" s="1"/>
  <c r="AA70" i="3"/>
  <c r="AB70" i="3" s="1"/>
  <c r="AF70" i="3" s="1"/>
  <c r="AA123" i="3"/>
  <c r="AB123" i="3" s="1"/>
  <c r="AF123" i="3" s="1"/>
  <c r="AA108" i="3"/>
  <c r="AB108" i="3" s="1"/>
  <c r="AF108" i="3" s="1"/>
  <c r="AA99" i="3"/>
  <c r="AB99" i="3" s="1"/>
  <c r="AF99" i="3" s="1"/>
  <c r="AA111" i="3"/>
  <c r="AB111" i="3" s="1"/>
  <c r="AF111" i="3" s="1"/>
  <c r="AA116" i="3"/>
  <c r="AB116" i="3" s="1"/>
  <c r="AF116" i="3" s="1"/>
  <c r="AA47" i="3"/>
  <c r="AB47" i="3" s="1"/>
  <c r="AF47" i="3" s="1"/>
  <c r="AA48" i="3"/>
  <c r="AB48" i="3" s="1"/>
  <c r="AF48" i="3" s="1"/>
  <c r="AA50" i="3"/>
  <c r="AB50" i="3" s="1"/>
  <c r="AF50" i="3" s="1"/>
  <c r="AA61" i="3"/>
  <c r="AB61" i="3" s="1"/>
  <c r="AF61" i="3" s="1"/>
  <c r="AA68" i="3"/>
  <c r="AB68" i="3" s="1"/>
  <c r="AF68" i="3" s="1"/>
  <c r="AA121" i="3"/>
  <c r="AB121" i="3" s="1"/>
  <c r="AF121" i="3" s="1"/>
  <c r="AB14" i="3"/>
  <c r="AF14" i="3" s="1"/>
  <c r="AA82" i="3"/>
  <c r="AB82" i="3" s="1"/>
  <c r="AF82" i="3" s="1"/>
  <c r="AA87" i="3"/>
  <c r="AB87" i="3" s="1"/>
  <c r="AF87" i="3" s="1"/>
  <c r="AA92" i="3"/>
  <c r="AB92" i="3" s="1"/>
  <c r="AF92" i="3" s="1"/>
  <c r="I2" i="2"/>
  <c r="AA5" i="2" s="1"/>
  <c r="AB5" i="2" s="1"/>
  <c r="N5" i="2"/>
  <c r="T5" i="2"/>
  <c r="U5" i="2" s="1"/>
  <c r="AL5" i="2"/>
  <c r="AT5" i="2"/>
  <c r="N6" i="2"/>
  <c r="AT6" i="2" s="1"/>
  <c r="T6" i="2"/>
  <c r="U6" i="2" s="1"/>
  <c r="AA6" i="2"/>
  <c r="AB6" i="2" s="1"/>
  <c r="AL6" i="2"/>
  <c r="N7" i="2"/>
  <c r="AT7" i="2" s="1"/>
  <c r="T7" i="2"/>
  <c r="U7" i="2" s="1"/>
  <c r="AA7" i="2"/>
  <c r="AB7" i="2" s="1"/>
  <c r="AL7" i="2"/>
  <c r="N8" i="2"/>
  <c r="AT8" i="2" s="1"/>
  <c r="T8" i="2"/>
  <c r="U8" i="2" s="1"/>
  <c r="AA8" i="2"/>
  <c r="AB8" i="2" s="1"/>
  <c r="AL8" i="2"/>
  <c r="N9" i="2"/>
  <c r="T9" i="2"/>
  <c r="U9" i="2" s="1"/>
  <c r="AA9" i="2"/>
  <c r="AB9" i="2" s="1"/>
  <c r="AL9" i="2"/>
  <c r="AT9" i="2"/>
  <c r="N10" i="2"/>
  <c r="T10" i="2"/>
  <c r="U10" i="2" s="1"/>
  <c r="AA10" i="2"/>
  <c r="AB10" i="2" s="1"/>
  <c r="AL10" i="2"/>
  <c r="AT10" i="2"/>
  <c r="N11" i="2"/>
  <c r="AT11" i="2" s="1"/>
  <c r="T11" i="2"/>
  <c r="U11" i="2" s="1"/>
  <c r="AA11" i="2"/>
  <c r="AB11" i="2" s="1"/>
  <c r="AL11" i="2"/>
  <c r="N12" i="2"/>
  <c r="AT12" i="2" s="1"/>
  <c r="T12" i="2"/>
  <c r="U12" i="2" s="1"/>
  <c r="AA12" i="2"/>
  <c r="AB12" i="2" s="1"/>
  <c r="AL12" i="2"/>
  <c r="N13" i="2"/>
  <c r="AT13" i="2" s="1"/>
  <c r="T13" i="2"/>
  <c r="U13" i="2" s="1"/>
  <c r="AA13" i="2"/>
  <c r="AB13" i="2" s="1"/>
  <c r="AL13" i="2"/>
  <c r="N14" i="2"/>
  <c r="AT14" i="2" s="1"/>
  <c r="T14" i="2"/>
  <c r="U14" i="2" s="1"/>
  <c r="AA14" i="2"/>
  <c r="AB14" i="2" s="1"/>
  <c r="AL14" i="2"/>
  <c r="N15" i="2"/>
  <c r="AT15" i="2" s="1"/>
  <c r="T15" i="2"/>
  <c r="U15" i="2" s="1"/>
  <c r="AA15" i="2"/>
  <c r="AB15" i="2" s="1"/>
  <c r="AL15" i="2"/>
  <c r="N16" i="2"/>
  <c r="AT16" i="2" s="1"/>
  <c r="T16" i="2"/>
  <c r="U16" i="2" s="1"/>
  <c r="AF16" i="2" s="1"/>
  <c r="AA16" i="2"/>
  <c r="AB16" i="2" s="1"/>
  <c r="AL16" i="2"/>
  <c r="N17" i="2"/>
  <c r="T17" i="2"/>
  <c r="U17" i="2"/>
  <c r="AA17" i="2"/>
  <c r="AB17" i="2" s="1"/>
  <c r="AL17" i="2"/>
  <c r="AT17" i="2"/>
  <c r="N18" i="2"/>
  <c r="T18" i="2"/>
  <c r="U18" i="2" s="1"/>
  <c r="AA18" i="2"/>
  <c r="AB18" i="2" s="1"/>
  <c r="AL18" i="2"/>
  <c r="AT18" i="2"/>
  <c r="N19" i="2"/>
  <c r="AT19" i="2" s="1"/>
  <c r="T19" i="2"/>
  <c r="U19" i="2" s="1"/>
  <c r="AA19" i="2"/>
  <c r="AB19" i="2" s="1"/>
  <c r="AL19" i="2"/>
  <c r="N20" i="2"/>
  <c r="AT20" i="2" s="1"/>
  <c r="T20" i="2"/>
  <c r="U20" i="2" s="1"/>
  <c r="AA20" i="2"/>
  <c r="AB20" i="2" s="1"/>
  <c r="AL20" i="2"/>
  <c r="N21" i="2"/>
  <c r="T21" i="2"/>
  <c r="U21" i="2" s="1"/>
  <c r="AA21" i="2"/>
  <c r="AB21" i="2"/>
  <c r="AL21" i="2"/>
  <c r="AT21" i="2"/>
  <c r="N22" i="2"/>
  <c r="AT22" i="2" s="1"/>
  <c r="T22" i="2"/>
  <c r="U22" i="2" s="1"/>
  <c r="AA22" i="2"/>
  <c r="AB22" i="2" s="1"/>
  <c r="AL22" i="2"/>
  <c r="N23" i="2"/>
  <c r="AT23" i="2" s="1"/>
  <c r="T23" i="2"/>
  <c r="U23" i="2" s="1"/>
  <c r="AA23" i="2"/>
  <c r="AB23" i="2" s="1"/>
  <c r="AL23" i="2"/>
  <c r="N24" i="2"/>
  <c r="AT24" i="2" s="1"/>
  <c r="T24" i="2"/>
  <c r="U24" i="2" s="1"/>
  <c r="AA24" i="2"/>
  <c r="AB24" i="2" s="1"/>
  <c r="AL24" i="2"/>
  <c r="N25" i="2"/>
  <c r="T25" i="2"/>
  <c r="U25" i="2" s="1"/>
  <c r="AA25" i="2"/>
  <c r="AB25" i="2" s="1"/>
  <c r="AL25" i="2"/>
  <c r="AT25" i="2"/>
  <c r="N26" i="2"/>
  <c r="T26" i="2"/>
  <c r="U26" i="2" s="1"/>
  <c r="AF26" i="2" s="1"/>
  <c r="AA26" i="2"/>
  <c r="AB26" i="2" s="1"/>
  <c r="AL26" i="2"/>
  <c r="AT26" i="2"/>
  <c r="N27" i="2"/>
  <c r="AT27" i="2" s="1"/>
  <c r="T27" i="2"/>
  <c r="U27" i="2" s="1"/>
  <c r="AF27" i="2" s="1"/>
  <c r="AA27" i="2"/>
  <c r="AB27" i="2" s="1"/>
  <c r="AL27" i="2"/>
  <c r="N28" i="2"/>
  <c r="AT28" i="2" s="1"/>
  <c r="T28" i="2"/>
  <c r="U28" i="2" s="1"/>
  <c r="AA28" i="2"/>
  <c r="AB28" i="2" s="1"/>
  <c r="AL28" i="2"/>
  <c r="N29" i="2"/>
  <c r="AT29" i="2" s="1"/>
  <c r="T29" i="2"/>
  <c r="U29" i="2" s="1"/>
  <c r="AA29" i="2"/>
  <c r="AB29" i="2"/>
  <c r="AL29" i="2"/>
  <c r="N30" i="2"/>
  <c r="AT30" i="2" s="1"/>
  <c r="T30" i="2"/>
  <c r="U30" i="2"/>
  <c r="AA30" i="2"/>
  <c r="AB30" i="2" s="1"/>
  <c r="AL30" i="2"/>
  <c r="N31" i="2"/>
  <c r="AT31" i="2" s="1"/>
  <c r="T31" i="2"/>
  <c r="U31" i="2" s="1"/>
  <c r="AA31" i="2"/>
  <c r="AB31" i="2" s="1"/>
  <c r="AL31" i="2"/>
  <c r="N32" i="2"/>
  <c r="AT32" i="2" s="1"/>
  <c r="T32" i="2"/>
  <c r="U32" i="2" s="1"/>
  <c r="AA32" i="2"/>
  <c r="AB32" i="2" s="1"/>
  <c r="AL32" i="2"/>
  <c r="N33" i="2"/>
  <c r="T33" i="2"/>
  <c r="U33" i="2" s="1"/>
  <c r="AA33" i="2"/>
  <c r="AB33" i="2" s="1"/>
  <c r="AL33" i="2"/>
  <c r="AT33" i="2"/>
  <c r="N34" i="2"/>
  <c r="T34" i="2"/>
  <c r="U34" i="2" s="1"/>
  <c r="AA34" i="2"/>
  <c r="AB34" i="2" s="1"/>
  <c r="AL34" i="2"/>
  <c r="AT34" i="2"/>
  <c r="N35" i="2"/>
  <c r="AT35" i="2" s="1"/>
  <c r="T35" i="2"/>
  <c r="U35" i="2" s="1"/>
  <c r="AA35" i="2"/>
  <c r="AB35" i="2" s="1"/>
  <c r="AL35" i="2"/>
  <c r="N36" i="2"/>
  <c r="AT36" i="2" s="1"/>
  <c r="T36" i="2"/>
  <c r="U36" i="2" s="1"/>
  <c r="AA36" i="2"/>
  <c r="AB36" i="2"/>
  <c r="AL36" i="2"/>
  <c r="N37" i="2"/>
  <c r="AT37" i="2" s="1"/>
  <c r="T37" i="2"/>
  <c r="U37" i="2" s="1"/>
  <c r="AA37" i="2"/>
  <c r="AB37" i="2" s="1"/>
  <c r="AL37" i="2"/>
  <c r="N38" i="2"/>
  <c r="AT38" i="2" s="1"/>
  <c r="T38" i="2"/>
  <c r="U38" i="2" s="1"/>
  <c r="AF38" i="2" s="1"/>
  <c r="AA38" i="2"/>
  <c r="AB38" i="2" s="1"/>
  <c r="AL38" i="2"/>
  <c r="N39" i="2"/>
  <c r="AT39" i="2" s="1"/>
  <c r="T39" i="2"/>
  <c r="U39" i="2" s="1"/>
  <c r="AA39" i="2"/>
  <c r="AB39" i="2" s="1"/>
  <c r="AL39" i="2"/>
  <c r="N40" i="2"/>
  <c r="AT40" i="2" s="1"/>
  <c r="T40" i="2"/>
  <c r="U40" i="2" s="1"/>
  <c r="AF40" i="2" s="1"/>
  <c r="AA40" i="2"/>
  <c r="AB40" i="2" s="1"/>
  <c r="AL40" i="2"/>
  <c r="N41" i="2"/>
  <c r="AT41" i="2" s="1"/>
  <c r="T41" i="2"/>
  <c r="U41" i="2" s="1"/>
  <c r="AF41" i="2" s="1"/>
  <c r="AA41" i="2"/>
  <c r="AB41" i="2" s="1"/>
  <c r="AL41" i="2"/>
  <c r="N42" i="2"/>
  <c r="AT42" i="2" s="1"/>
  <c r="T42" i="2"/>
  <c r="U42" i="2" s="1"/>
  <c r="AA42" i="2"/>
  <c r="AB42" i="2" s="1"/>
  <c r="AL42" i="2"/>
  <c r="N43" i="2"/>
  <c r="AT43" i="2" s="1"/>
  <c r="T43" i="2"/>
  <c r="U43" i="2" s="1"/>
  <c r="AA43" i="2"/>
  <c r="AB43" i="2" s="1"/>
  <c r="AL43" i="2"/>
  <c r="N44" i="2"/>
  <c r="AT44" i="2" s="1"/>
  <c r="T44" i="2"/>
  <c r="U44" i="2" s="1"/>
  <c r="AA44" i="2"/>
  <c r="AB44" i="2" s="1"/>
  <c r="AL44" i="2"/>
  <c r="N45" i="2"/>
  <c r="AT45" i="2" s="1"/>
  <c r="T45" i="2"/>
  <c r="U45" i="2" s="1"/>
  <c r="AA45" i="2"/>
  <c r="AB45" i="2"/>
  <c r="AL45" i="2"/>
  <c r="N46" i="2"/>
  <c r="AT46" i="2" s="1"/>
  <c r="T46" i="2"/>
  <c r="U46" i="2" s="1"/>
  <c r="AA46" i="2"/>
  <c r="AB46" i="2" s="1"/>
  <c r="AL46" i="2"/>
  <c r="N47" i="2"/>
  <c r="AT47" i="2" s="1"/>
  <c r="T47" i="2"/>
  <c r="U47" i="2" s="1"/>
  <c r="AA47" i="2"/>
  <c r="AB47" i="2" s="1"/>
  <c r="AL47" i="2"/>
  <c r="N48" i="2"/>
  <c r="AT48" i="2" s="1"/>
  <c r="T48" i="2"/>
  <c r="U48" i="2" s="1"/>
  <c r="AF48" i="2" s="1"/>
  <c r="AA48" i="2"/>
  <c r="AB48" i="2" s="1"/>
  <c r="AL48" i="2"/>
  <c r="N49" i="2"/>
  <c r="AT49" i="2" s="1"/>
  <c r="T49" i="2"/>
  <c r="U49" i="2" s="1"/>
  <c r="AA49" i="2"/>
  <c r="AB49" i="2" s="1"/>
  <c r="AL49" i="2"/>
  <c r="N50" i="2"/>
  <c r="T50" i="2"/>
  <c r="U50" i="2"/>
  <c r="AA50" i="2"/>
  <c r="AB50" i="2" s="1"/>
  <c r="AL50" i="2"/>
  <c r="AT50" i="2"/>
  <c r="N51" i="2"/>
  <c r="AT51" i="2" s="1"/>
  <c r="T51" i="2"/>
  <c r="U51" i="2" s="1"/>
  <c r="AA51" i="2"/>
  <c r="AB51" i="2" s="1"/>
  <c r="AL51" i="2"/>
  <c r="N52" i="2"/>
  <c r="AT52" i="2" s="1"/>
  <c r="T52" i="2"/>
  <c r="U52" i="2" s="1"/>
  <c r="AA52" i="2"/>
  <c r="AB52" i="2" s="1"/>
  <c r="AL52" i="2"/>
  <c r="N53" i="2"/>
  <c r="AT53" i="2" s="1"/>
  <c r="T53" i="2"/>
  <c r="U53" i="2" s="1"/>
  <c r="AA53" i="2"/>
  <c r="AB53" i="2"/>
  <c r="AL53" i="2"/>
  <c r="N54" i="2"/>
  <c r="AT54" i="2" s="1"/>
  <c r="T54" i="2"/>
  <c r="U54" i="2" s="1"/>
  <c r="AA54" i="2"/>
  <c r="AB54" i="2" s="1"/>
  <c r="AL54" i="2"/>
  <c r="N55" i="2"/>
  <c r="AT55" i="2" s="1"/>
  <c r="T55" i="2"/>
  <c r="U55" i="2" s="1"/>
  <c r="AA55" i="2"/>
  <c r="AB55" i="2" s="1"/>
  <c r="AL55" i="2"/>
  <c r="N56" i="2"/>
  <c r="AT56" i="2" s="1"/>
  <c r="T56" i="2"/>
  <c r="U56" i="2" s="1"/>
  <c r="AA56" i="2"/>
  <c r="AB56" i="2" s="1"/>
  <c r="AL56" i="2"/>
  <c r="N57" i="2"/>
  <c r="AT57" i="2" s="1"/>
  <c r="T57" i="2"/>
  <c r="U57" i="2" s="1"/>
  <c r="AA57" i="2"/>
  <c r="AB57" i="2" s="1"/>
  <c r="AL57" i="2"/>
  <c r="N58" i="2"/>
  <c r="T58" i="2"/>
  <c r="U58" i="2" s="1"/>
  <c r="AA58" i="2"/>
  <c r="AB58" i="2" s="1"/>
  <c r="AL58" i="2"/>
  <c r="AT58" i="2"/>
  <c r="N59" i="2"/>
  <c r="AT59" i="2" s="1"/>
  <c r="T59" i="2"/>
  <c r="U59" i="2"/>
  <c r="AA59" i="2"/>
  <c r="AB59" i="2" s="1"/>
  <c r="AL59" i="2"/>
  <c r="N60" i="2"/>
  <c r="AT60" i="2" s="1"/>
  <c r="T60" i="2"/>
  <c r="U60" i="2" s="1"/>
  <c r="AA60" i="2"/>
  <c r="AB60" i="2" s="1"/>
  <c r="AL60" i="2"/>
  <c r="N61" i="2"/>
  <c r="T61" i="2"/>
  <c r="U61" i="2" s="1"/>
  <c r="AA61" i="2"/>
  <c r="AB61" i="2" s="1"/>
  <c r="AL61" i="2"/>
  <c r="AT61" i="2"/>
  <c r="N62" i="2"/>
  <c r="AT62" i="2" s="1"/>
  <c r="T62" i="2"/>
  <c r="U62" i="2" s="1"/>
  <c r="AA62" i="2"/>
  <c r="AB62" i="2" s="1"/>
  <c r="AL62" i="2"/>
  <c r="N63" i="2"/>
  <c r="AT63" i="2" s="1"/>
  <c r="T63" i="2"/>
  <c r="U63" i="2" s="1"/>
  <c r="AA63" i="2"/>
  <c r="AB63" i="2" s="1"/>
  <c r="AL63" i="2"/>
  <c r="N64" i="2"/>
  <c r="AT64" i="2" s="1"/>
  <c r="T64" i="2"/>
  <c r="U64" i="2" s="1"/>
  <c r="AA64" i="2"/>
  <c r="AB64" i="2" s="1"/>
  <c r="AL64" i="2"/>
  <c r="N65" i="2"/>
  <c r="AT65" i="2" s="1"/>
  <c r="T65" i="2"/>
  <c r="U65" i="2"/>
  <c r="AA65" i="2"/>
  <c r="AB65" i="2" s="1"/>
  <c r="AL65" i="2"/>
  <c r="N66" i="2"/>
  <c r="AT66" i="2" s="1"/>
  <c r="T66" i="2"/>
  <c r="U66" i="2" s="1"/>
  <c r="AF66" i="2" s="1"/>
  <c r="AA66" i="2"/>
  <c r="AB66" i="2"/>
  <c r="AL66" i="2"/>
  <c r="N67" i="2"/>
  <c r="AT67" i="2" s="1"/>
  <c r="T67" i="2"/>
  <c r="U67" i="2" s="1"/>
  <c r="AA67" i="2"/>
  <c r="AB67" i="2" s="1"/>
  <c r="AL67" i="2"/>
  <c r="N68" i="2"/>
  <c r="AT68" i="2" s="1"/>
  <c r="T68" i="2"/>
  <c r="U68" i="2" s="1"/>
  <c r="AA68" i="2"/>
  <c r="AB68" i="2" s="1"/>
  <c r="AL68" i="2"/>
  <c r="N69" i="2"/>
  <c r="AT69" i="2" s="1"/>
  <c r="T69" i="2"/>
  <c r="U69" i="2" s="1"/>
  <c r="AA69" i="2"/>
  <c r="AB69" i="2" s="1"/>
  <c r="AL69" i="2"/>
  <c r="N70" i="2"/>
  <c r="AT70" i="2" s="1"/>
  <c r="T70" i="2"/>
  <c r="U70" i="2" s="1"/>
  <c r="AA70" i="2"/>
  <c r="AB70" i="2" s="1"/>
  <c r="AL70" i="2"/>
  <c r="N71" i="2"/>
  <c r="AT71" i="2" s="1"/>
  <c r="T71" i="2"/>
  <c r="U71" i="2" s="1"/>
  <c r="AA71" i="2"/>
  <c r="AB71" i="2" s="1"/>
  <c r="AL71" i="2"/>
  <c r="N72" i="2"/>
  <c r="AT72" i="2" s="1"/>
  <c r="T72" i="2"/>
  <c r="U72" i="2" s="1"/>
  <c r="AF72" i="2" s="1"/>
  <c r="AA72" i="2"/>
  <c r="AB72" i="2" s="1"/>
  <c r="AL72" i="2"/>
  <c r="N73" i="2"/>
  <c r="AT73" i="2" s="1"/>
  <c r="T73" i="2"/>
  <c r="U73" i="2" s="1"/>
  <c r="AF73" i="2" s="1"/>
  <c r="AA73" i="2"/>
  <c r="AB73" i="2" s="1"/>
  <c r="AL73" i="2"/>
  <c r="N74" i="2"/>
  <c r="AT74" i="2" s="1"/>
  <c r="T74" i="2"/>
  <c r="U74" i="2" s="1"/>
  <c r="AA74" i="2"/>
  <c r="AB74" i="2" s="1"/>
  <c r="AL74" i="2"/>
  <c r="N75" i="2"/>
  <c r="AT75" i="2" s="1"/>
  <c r="T75" i="2"/>
  <c r="U75" i="2" s="1"/>
  <c r="AA75" i="2"/>
  <c r="AB75" i="2" s="1"/>
  <c r="AL75" i="2"/>
  <c r="N76" i="2"/>
  <c r="AT76" i="2" s="1"/>
  <c r="T76" i="2"/>
  <c r="U76" i="2" s="1"/>
  <c r="AA76" i="2"/>
  <c r="AB76" i="2" s="1"/>
  <c r="AL76" i="2"/>
  <c r="N77" i="2"/>
  <c r="AT77" i="2" s="1"/>
  <c r="T77" i="2"/>
  <c r="U77" i="2" s="1"/>
  <c r="AA77" i="2"/>
  <c r="AB77" i="2" s="1"/>
  <c r="AL77" i="2"/>
  <c r="N78" i="2"/>
  <c r="T78" i="2"/>
  <c r="U78" i="2" s="1"/>
  <c r="AA78" i="2"/>
  <c r="AB78" i="2" s="1"/>
  <c r="AL78" i="2"/>
  <c r="AT78" i="2"/>
  <c r="N79" i="2"/>
  <c r="AT79" i="2" s="1"/>
  <c r="T79" i="2"/>
  <c r="U79" i="2" s="1"/>
  <c r="AA79" i="2"/>
  <c r="AB79" i="2" s="1"/>
  <c r="AL79" i="2"/>
  <c r="N80" i="2"/>
  <c r="AT80" i="2" s="1"/>
  <c r="T80" i="2"/>
  <c r="U80" i="2" s="1"/>
  <c r="AF80" i="2" s="1"/>
  <c r="AA80" i="2"/>
  <c r="AB80" i="2" s="1"/>
  <c r="AL80" i="2"/>
  <c r="N81" i="2"/>
  <c r="AT81" i="2" s="1"/>
  <c r="T81" i="2"/>
  <c r="U81" i="2" s="1"/>
  <c r="AA81" i="2"/>
  <c r="AB81" i="2" s="1"/>
  <c r="AL81" i="2"/>
  <c r="N82" i="2"/>
  <c r="AT82" i="2" s="1"/>
  <c r="T82" i="2"/>
  <c r="U82" i="2"/>
  <c r="AA82" i="2"/>
  <c r="AB82" i="2" s="1"/>
  <c r="AL82" i="2"/>
  <c r="N83" i="2"/>
  <c r="AT83" i="2" s="1"/>
  <c r="T83" i="2"/>
  <c r="U83" i="2" s="1"/>
  <c r="AA83" i="2"/>
  <c r="AB83" i="2" s="1"/>
  <c r="AL83" i="2"/>
  <c r="N84" i="2"/>
  <c r="AT84" i="2" s="1"/>
  <c r="T84" i="2"/>
  <c r="U84" i="2" s="1"/>
  <c r="AA84" i="2"/>
  <c r="AB84" i="2" s="1"/>
  <c r="AL84" i="2"/>
  <c r="N85" i="2"/>
  <c r="AT85" i="2" s="1"/>
  <c r="T85" i="2"/>
  <c r="U85" i="2" s="1"/>
  <c r="AA85" i="2"/>
  <c r="AB85" i="2"/>
  <c r="AL85" i="2"/>
  <c r="N86" i="2"/>
  <c r="AT86" i="2" s="1"/>
  <c r="T86" i="2"/>
  <c r="U86" i="2" s="1"/>
  <c r="AA86" i="2"/>
  <c r="AB86" i="2" s="1"/>
  <c r="AL86" i="2"/>
  <c r="N87" i="2"/>
  <c r="AT87" i="2" s="1"/>
  <c r="T87" i="2"/>
  <c r="U87" i="2" s="1"/>
  <c r="AA87" i="2"/>
  <c r="AB87" i="2" s="1"/>
  <c r="AL87" i="2"/>
  <c r="N88" i="2"/>
  <c r="AT88" i="2" s="1"/>
  <c r="T88" i="2"/>
  <c r="U88" i="2" s="1"/>
  <c r="AA88" i="2"/>
  <c r="AB88" i="2" s="1"/>
  <c r="AL88" i="2"/>
  <c r="N89" i="2"/>
  <c r="AT89" i="2" s="1"/>
  <c r="T89" i="2"/>
  <c r="U89" i="2"/>
  <c r="AA89" i="2"/>
  <c r="AB89" i="2" s="1"/>
  <c r="AL89" i="2"/>
  <c r="N90" i="2"/>
  <c r="T90" i="2"/>
  <c r="U90" i="2" s="1"/>
  <c r="AF90" i="2" s="1"/>
  <c r="AA90" i="2"/>
  <c r="AB90" i="2"/>
  <c r="AL90" i="2"/>
  <c r="AT90" i="2"/>
  <c r="N91" i="2"/>
  <c r="AT91" i="2" s="1"/>
  <c r="T91" i="2"/>
  <c r="U91" i="2" s="1"/>
  <c r="AA91" i="2"/>
  <c r="AB91" i="2" s="1"/>
  <c r="AL91" i="2"/>
  <c r="N92" i="2"/>
  <c r="AT92" i="2" s="1"/>
  <c r="T92" i="2"/>
  <c r="U92" i="2" s="1"/>
  <c r="AA92" i="2"/>
  <c r="AB92" i="2" s="1"/>
  <c r="AL92" i="2"/>
  <c r="N93" i="2"/>
  <c r="T93" i="2"/>
  <c r="U93" i="2" s="1"/>
  <c r="AA93" i="2"/>
  <c r="AB93" i="2"/>
  <c r="AL93" i="2"/>
  <c r="AT93" i="2"/>
  <c r="N94" i="2"/>
  <c r="AT94" i="2" s="1"/>
  <c r="T94" i="2"/>
  <c r="U94" i="2" s="1"/>
  <c r="AF94" i="2" s="1"/>
  <c r="AA94" i="2"/>
  <c r="AB94" i="2" s="1"/>
  <c r="AL94" i="2"/>
  <c r="N95" i="2"/>
  <c r="AT95" i="2" s="1"/>
  <c r="T95" i="2"/>
  <c r="U95" i="2" s="1"/>
  <c r="AA95" i="2"/>
  <c r="AB95" i="2" s="1"/>
  <c r="AL95" i="2"/>
  <c r="N96" i="2"/>
  <c r="AT96" i="2" s="1"/>
  <c r="T96" i="2"/>
  <c r="U96" i="2" s="1"/>
  <c r="AA96" i="2"/>
  <c r="AB96" i="2" s="1"/>
  <c r="AL96" i="2"/>
  <c r="N97" i="2"/>
  <c r="AT97" i="2" s="1"/>
  <c r="T97" i="2"/>
  <c r="U97" i="2" s="1"/>
  <c r="AA97" i="2"/>
  <c r="AB97" i="2" s="1"/>
  <c r="AF97" i="2" s="1"/>
  <c r="AL97" i="2"/>
  <c r="N98" i="2"/>
  <c r="T98" i="2"/>
  <c r="U98" i="2"/>
  <c r="AF98" i="2" s="1"/>
  <c r="AA98" i="2"/>
  <c r="AB98" i="2"/>
  <c r="AL98" i="2"/>
  <c r="AT98" i="2"/>
  <c r="N99" i="2"/>
  <c r="AT99" i="2" s="1"/>
  <c r="T99" i="2"/>
  <c r="U99" i="2" s="1"/>
  <c r="AA99" i="2"/>
  <c r="AB99" i="2" s="1"/>
  <c r="AL99" i="2"/>
  <c r="N100" i="2"/>
  <c r="AT100" i="2" s="1"/>
  <c r="T100" i="2"/>
  <c r="U100" i="2" s="1"/>
  <c r="AA100" i="2"/>
  <c r="AB100" i="2"/>
  <c r="AL100" i="2"/>
  <c r="N101" i="2"/>
  <c r="AT101" i="2" s="1"/>
  <c r="T101" i="2"/>
  <c r="U101" i="2" s="1"/>
  <c r="AA101" i="2"/>
  <c r="AB101" i="2" s="1"/>
  <c r="AL101" i="2"/>
  <c r="N102" i="2"/>
  <c r="AT102" i="2" s="1"/>
  <c r="T102" i="2"/>
  <c r="U102" i="2" s="1"/>
  <c r="AA102" i="2"/>
  <c r="AB102" i="2" s="1"/>
  <c r="AL102" i="2"/>
  <c r="N103" i="2"/>
  <c r="T103" i="2"/>
  <c r="U103" i="2" s="1"/>
  <c r="AA103" i="2"/>
  <c r="AB103" i="2" s="1"/>
  <c r="AL103" i="2"/>
  <c r="AT103" i="2"/>
  <c r="N104" i="2"/>
  <c r="AT104" i="2" s="1"/>
  <c r="T104" i="2"/>
  <c r="U104" i="2" s="1"/>
  <c r="AA104" i="2"/>
  <c r="AB104" i="2" s="1"/>
  <c r="AL104" i="2"/>
  <c r="N105" i="2"/>
  <c r="AT105" i="2" s="1"/>
  <c r="T105" i="2"/>
  <c r="U105" i="2" s="1"/>
  <c r="AA105" i="2"/>
  <c r="AB105" i="2" s="1"/>
  <c r="AF105" i="2" s="1"/>
  <c r="AL105" i="2"/>
  <c r="N106" i="2"/>
  <c r="AT106" i="2" s="1"/>
  <c r="T106" i="2"/>
  <c r="U106" i="2" s="1"/>
  <c r="AA106" i="2"/>
  <c r="AB106" i="2" s="1"/>
  <c r="AL106" i="2"/>
  <c r="N107" i="2"/>
  <c r="AT107" i="2" s="1"/>
  <c r="T107" i="2"/>
  <c r="U107" i="2" s="1"/>
  <c r="AA107" i="2"/>
  <c r="AB107" i="2" s="1"/>
  <c r="AL107" i="2"/>
  <c r="N108" i="2"/>
  <c r="AT108" i="2" s="1"/>
  <c r="T108" i="2"/>
  <c r="U108" i="2" s="1"/>
  <c r="AA108" i="2"/>
  <c r="AB108" i="2" s="1"/>
  <c r="AL108" i="2"/>
  <c r="N109" i="2"/>
  <c r="AT109" i="2" s="1"/>
  <c r="T109" i="2"/>
  <c r="U109" i="2" s="1"/>
  <c r="AF109" i="2" s="1"/>
  <c r="AA109" i="2"/>
  <c r="AB109" i="2"/>
  <c r="AL109" i="2"/>
  <c r="N110" i="2"/>
  <c r="AT110" i="2" s="1"/>
  <c r="T110" i="2"/>
  <c r="U110" i="2" s="1"/>
  <c r="AF110" i="2" s="1"/>
  <c r="AA110" i="2"/>
  <c r="AB110" i="2" s="1"/>
  <c r="AL110" i="2"/>
  <c r="N111" i="2"/>
  <c r="AT111" i="2" s="1"/>
  <c r="T111" i="2"/>
  <c r="U111" i="2"/>
  <c r="AA111" i="2"/>
  <c r="AB111" i="2" s="1"/>
  <c r="AL111" i="2"/>
  <c r="N112" i="2"/>
  <c r="AT112" i="2" s="1"/>
  <c r="T112" i="2"/>
  <c r="U112" i="2" s="1"/>
  <c r="AA112" i="2"/>
  <c r="AB112" i="2" s="1"/>
  <c r="AL112" i="2"/>
  <c r="N113" i="2"/>
  <c r="AT113" i="2" s="1"/>
  <c r="T113" i="2"/>
  <c r="U113" i="2"/>
  <c r="AA113" i="2"/>
  <c r="AB113" i="2" s="1"/>
  <c r="AL113" i="2"/>
  <c r="N114" i="2"/>
  <c r="T114" i="2"/>
  <c r="U114" i="2" s="1"/>
  <c r="AA114" i="2"/>
  <c r="AB114" i="2" s="1"/>
  <c r="AL114" i="2"/>
  <c r="AT114" i="2"/>
  <c r="N115" i="2"/>
  <c r="AT115" i="2" s="1"/>
  <c r="T115" i="2"/>
  <c r="U115" i="2" s="1"/>
  <c r="AA115" i="2"/>
  <c r="AB115" i="2"/>
  <c r="AL115" i="2"/>
  <c r="N116" i="2"/>
  <c r="AT116" i="2" s="1"/>
  <c r="T116" i="2"/>
  <c r="U116" i="2" s="1"/>
  <c r="AA116" i="2"/>
  <c r="AB116" i="2" s="1"/>
  <c r="AL116" i="2"/>
  <c r="N117" i="2"/>
  <c r="AT117" i="2" s="1"/>
  <c r="T117" i="2"/>
  <c r="U117" i="2" s="1"/>
  <c r="AA117" i="2"/>
  <c r="AB117" i="2" s="1"/>
  <c r="AL117" i="2"/>
  <c r="N118" i="2"/>
  <c r="AT118" i="2" s="1"/>
  <c r="T118" i="2"/>
  <c r="U118" i="2" s="1"/>
  <c r="AF118" i="2" s="1"/>
  <c r="AA118" i="2"/>
  <c r="AB118" i="2" s="1"/>
  <c r="AL118" i="2"/>
  <c r="N119" i="2"/>
  <c r="T119" i="2"/>
  <c r="U119" i="2" s="1"/>
  <c r="AA119" i="2"/>
  <c r="AB119" i="2" s="1"/>
  <c r="AL119" i="2"/>
  <c r="AT119" i="2"/>
  <c r="N120" i="2"/>
  <c r="AT120" i="2" s="1"/>
  <c r="T120" i="2"/>
  <c r="U120" i="2" s="1"/>
  <c r="AA120" i="2"/>
  <c r="AB120" i="2" s="1"/>
  <c r="AL120" i="2"/>
  <c r="N121" i="2"/>
  <c r="AT121" i="2" s="1"/>
  <c r="T121" i="2"/>
  <c r="U121" i="2"/>
  <c r="AA121" i="2"/>
  <c r="AB121" i="2" s="1"/>
  <c r="AF121" i="2" s="1"/>
  <c r="AL121" i="2"/>
  <c r="N122" i="2"/>
  <c r="T122" i="2"/>
  <c r="U122" i="2" s="1"/>
  <c r="AA122" i="2"/>
  <c r="AB122" i="2" s="1"/>
  <c r="AL122" i="2"/>
  <c r="AT122" i="2"/>
  <c r="N123" i="2"/>
  <c r="AT123" i="2" s="1"/>
  <c r="T123" i="2"/>
  <c r="U123" i="2" s="1"/>
  <c r="AA123" i="2"/>
  <c r="AB123" i="2" s="1"/>
  <c r="AL123" i="2"/>
  <c r="N124" i="2"/>
  <c r="AT124" i="2" s="1"/>
  <c r="T124" i="2"/>
  <c r="U124" i="2" s="1"/>
  <c r="AA124" i="2"/>
  <c r="AB124" i="2" s="1"/>
  <c r="AL124" i="2"/>
  <c r="N125" i="2"/>
  <c r="AT125" i="2" s="1"/>
  <c r="T125" i="2"/>
  <c r="U125" i="2" s="1"/>
  <c r="AA125" i="2"/>
  <c r="AB125" i="2" s="1"/>
  <c r="AL125" i="2"/>
  <c r="N126" i="2"/>
  <c r="AT126" i="2" s="1"/>
  <c r="T126" i="2"/>
  <c r="U126" i="2" s="1"/>
  <c r="AF126" i="2" s="1"/>
  <c r="AA126" i="2"/>
  <c r="AB126" i="2" s="1"/>
  <c r="AL126" i="2"/>
  <c r="N127" i="2"/>
  <c r="AT127" i="2" s="1"/>
  <c r="T127" i="2"/>
  <c r="U127" i="2"/>
  <c r="AA127" i="2"/>
  <c r="AB127" i="2" s="1"/>
  <c r="AL127" i="2"/>
  <c r="N128" i="2"/>
  <c r="AT128" i="2" s="1"/>
  <c r="T128" i="2"/>
  <c r="U128" i="2" s="1"/>
  <c r="AA128" i="2"/>
  <c r="AB128" i="2" s="1"/>
  <c r="AL128" i="2"/>
  <c r="N129" i="2"/>
  <c r="AT129" i="2" s="1"/>
  <c r="T129" i="2"/>
  <c r="U129" i="2"/>
  <c r="AA129" i="2"/>
  <c r="AB129" i="2" s="1"/>
  <c r="AF129" i="2" s="1"/>
  <c r="AL129" i="2"/>
  <c r="N130" i="2"/>
  <c r="T130" i="2"/>
  <c r="U130" i="2" s="1"/>
  <c r="AA130" i="2"/>
  <c r="AB130" i="2" s="1"/>
  <c r="AL130" i="2"/>
  <c r="AT130" i="2"/>
  <c r="N131" i="2"/>
  <c r="AT131" i="2" s="1"/>
  <c r="T131" i="2"/>
  <c r="U131" i="2" s="1"/>
  <c r="AA131" i="2"/>
  <c r="AB131" i="2" s="1"/>
  <c r="AL131" i="2"/>
  <c r="N132" i="2"/>
  <c r="AT132" i="2" s="1"/>
  <c r="T132" i="2"/>
  <c r="U132" i="2" s="1"/>
  <c r="AA132" i="2"/>
  <c r="AB132" i="2" s="1"/>
  <c r="AL132" i="2"/>
  <c r="N133" i="2"/>
  <c r="AT133" i="2" s="1"/>
  <c r="T133" i="2"/>
  <c r="U133" i="2" s="1"/>
  <c r="AA133" i="2"/>
  <c r="AB133" i="2"/>
  <c r="AL133" i="2"/>
  <c r="N134" i="2"/>
  <c r="AT134" i="2" s="1"/>
  <c r="T134" i="2"/>
  <c r="U134" i="2" s="1"/>
  <c r="AF134" i="2" s="1"/>
  <c r="AA134" i="2"/>
  <c r="AB134" i="2" s="1"/>
  <c r="AL134" i="2"/>
  <c r="N135" i="2"/>
  <c r="T135" i="2"/>
  <c r="U135" i="2"/>
  <c r="AA135" i="2"/>
  <c r="AB135" i="2" s="1"/>
  <c r="AL135" i="2"/>
  <c r="AT135" i="2"/>
  <c r="N136" i="2"/>
  <c r="AT136" i="2" s="1"/>
  <c r="T136" i="2"/>
  <c r="U136" i="2" s="1"/>
  <c r="AA136" i="2"/>
  <c r="AB136" i="2" s="1"/>
  <c r="AL136" i="2"/>
  <c r="N137" i="2"/>
  <c r="AT137" i="2" s="1"/>
  <c r="T137" i="2"/>
  <c r="U137" i="2" s="1"/>
  <c r="AA137" i="2"/>
  <c r="AB137" i="2" s="1"/>
  <c r="AL137" i="2"/>
  <c r="N138" i="2"/>
  <c r="T138" i="2"/>
  <c r="U138" i="2" s="1"/>
  <c r="AA138" i="2"/>
  <c r="AB138" i="2" s="1"/>
  <c r="AL138" i="2"/>
  <c r="AT138" i="2"/>
  <c r="N139" i="2"/>
  <c r="T139" i="2"/>
  <c r="U139" i="2" s="1"/>
  <c r="AA139" i="2"/>
  <c r="AB139" i="2" s="1"/>
  <c r="AL139" i="2"/>
  <c r="AT139" i="2"/>
  <c r="N140" i="2"/>
  <c r="AT140" i="2" s="1"/>
  <c r="T140" i="2"/>
  <c r="U140" i="2" s="1"/>
  <c r="AA140" i="2"/>
  <c r="AB140" i="2" s="1"/>
  <c r="AL140" i="2"/>
  <c r="I2" i="1"/>
  <c r="AA9" i="1" s="1"/>
  <c r="AB9" i="1" s="1"/>
  <c r="N5" i="1"/>
  <c r="AT5" i="1" s="1"/>
  <c r="T5" i="1"/>
  <c r="U5" i="1" s="1"/>
  <c r="AL5" i="1"/>
  <c r="N6" i="1"/>
  <c r="AT6" i="1" s="1"/>
  <c r="T6" i="1"/>
  <c r="U6" i="1" s="1"/>
  <c r="AL6" i="1"/>
  <c r="N7" i="1"/>
  <c r="AT7" i="1" s="1"/>
  <c r="T7" i="1"/>
  <c r="U7" i="1" s="1"/>
  <c r="AL7" i="1"/>
  <c r="N8" i="1"/>
  <c r="AT8" i="1" s="1"/>
  <c r="T8" i="1"/>
  <c r="U8" i="1" s="1"/>
  <c r="AL8" i="1"/>
  <c r="N9" i="1"/>
  <c r="AT9" i="1" s="1"/>
  <c r="T9" i="1"/>
  <c r="U9" i="1" s="1"/>
  <c r="AL9" i="1"/>
  <c r="N10" i="1"/>
  <c r="AT10" i="1" s="1"/>
  <c r="T10" i="1"/>
  <c r="U10" i="1" s="1"/>
  <c r="AL10" i="1"/>
  <c r="N11" i="1"/>
  <c r="AT11" i="1" s="1"/>
  <c r="T11" i="1"/>
  <c r="U11" i="1" s="1"/>
  <c r="AL11" i="1"/>
  <c r="N12" i="1"/>
  <c r="T12" i="1"/>
  <c r="U12" i="1" s="1"/>
  <c r="AL12" i="1"/>
  <c r="AT12" i="1"/>
  <c r="N13" i="1"/>
  <c r="AT13" i="1" s="1"/>
  <c r="T13" i="1"/>
  <c r="U13" i="1" s="1"/>
  <c r="AL13" i="1"/>
  <c r="N14" i="1"/>
  <c r="AT14" i="1" s="1"/>
  <c r="T14" i="1"/>
  <c r="U14" i="1" s="1"/>
  <c r="AL14" i="1"/>
  <c r="N15" i="1"/>
  <c r="AT15" i="1" s="1"/>
  <c r="T15" i="1"/>
  <c r="U15" i="1" s="1"/>
  <c r="AL15" i="1"/>
  <c r="N16" i="1"/>
  <c r="AT16" i="1" s="1"/>
  <c r="T16" i="1"/>
  <c r="U16" i="1" s="1"/>
  <c r="AL16" i="1"/>
  <c r="N17" i="1"/>
  <c r="T17" i="1"/>
  <c r="U17" i="1" s="1"/>
  <c r="AA17" i="1"/>
  <c r="AB17" i="1" s="1"/>
  <c r="AL17" i="1"/>
  <c r="AT17" i="1"/>
  <c r="N18" i="1"/>
  <c r="AT18" i="1" s="1"/>
  <c r="T18" i="1"/>
  <c r="U18" i="1" s="1"/>
  <c r="AL18" i="1"/>
  <c r="N19" i="1"/>
  <c r="AT19" i="1" s="1"/>
  <c r="T19" i="1"/>
  <c r="U19" i="1" s="1"/>
  <c r="AL19" i="1"/>
  <c r="N20" i="1"/>
  <c r="AT20" i="1" s="1"/>
  <c r="T20" i="1"/>
  <c r="U20" i="1" s="1"/>
  <c r="AA20" i="1"/>
  <c r="AB20" i="1" s="1"/>
  <c r="AL20" i="1"/>
  <c r="N21" i="1"/>
  <c r="AT21" i="1" s="1"/>
  <c r="T21" i="1"/>
  <c r="U21" i="1" s="1"/>
  <c r="AL21" i="1"/>
  <c r="N22" i="1"/>
  <c r="AT22" i="1" s="1"/>
  <c r="T22" i="1"/>
  <c r="U22" i="1" s="1"/>
  <c r="AL22" i="1"/>
  <c r="N23" i="1"/>
  <c r="AT23" i="1" s="1"/>
  <c r="T23" i="1"/>
  <c r="U23" i="1" s="1"/>
  <c r="AL23" i="1"/>
  <c r="N24" i="1"/>
  <c r="AT24" i="1" s="1"/>
  <c r="T24" i="1"/>
  <c r="U24" i="1" s="1"/>
  <c r="AL24" i="1"/>
  <c r="N25" i="1"/>
  <c r="AT25" i="1" s="1"/>
  <c r="T25" i="1"/>
  <c r="U25" i="1" s="1"/>
  <c r="AL25" i="1"/>
  <c r="N26" i="1"/>
  <c r="AT26" i="1" s="1"/>
  <c r="T26" i="1"/>
  <c r="U26" i="1" s="1"/>
  <c r="AL26" i="1"/>
  <c r="N27" i="1"/>
  <c r="AT27" i="1" s="1"/>
  <c r="T27" i="1"/>
  <c r="U27" i="1" s="1"/>
  <c r="AL27" i="1"/>
  <c r="N28" i="1"/>
  <c r="T28" i="1"/>
  <c r="U28" i="1" s="1"/>
  <c r="AA28" i="1"/>
  <c r="AB28" i="1" s="1"/>
  <c r="AL28" i="1"/>
  <c r="AT28" i="1"/>
  <c r="N29" i="1"/>
  <c r="AT29" i="1" s="1"/>
  <c r="T29" i="1"/>
  <c r="U29" i="1" s="1"/>
  <c r="AL29" i="1"/>
  <c r="N30" i="1"/>
  <c r="AT30" i="1" s="1"/>
  <c r="T30" i="1"/>
  <c r="U30" i="1" s="1"/>
  <c r="AL30" i="1"/>
  <c r="N31" i="1"/>
  <c r="AT31" i="1" s="1"/>
  <c r="T31" i="1"/>
  <c r="U31" i="1" s="1"/>
  <c r="AL31" i="1"/>
  <c r="N33" i="1"/>
  <c r="AT33" i="1" s="1"/>
  <c r="T33" i="1"/>
  <c r="U33" i="1"/>
  <c r="AL33" i="1"/>
  <c r="N34" i="1"/>
  <c r="AT34" i="1" s="1"/>
  <c r="T34" i="1"/>
  <c r="U34" i="1" s="1"/>
  <c r="AA34" i="1"/>
  <c r="AB34" i="1" s="1"/>
  <c r="AL34" i="1"/>
  <c r="N35" i="1"/>
  <c r="AT35" i="1" s="1"/>
  <c r="T35" i="1"/>
  <c r="U35" i="1" s="1"/>
  <c r="AL35" i="1"/>
  <c r="N36" i="1"/>
  <c r="AT36" i="1" s="1"/>
  <c r="T36" i="1"/>
  <c r="U36" i="1" s="1"/>
  <c r="AL36" i="1"/>
  <c r="N37" i="1"/>
  <c r="AT37" i="1" s="1"/>
  <c r="T37" i="1"/>
  <c r="U37" i="1" s="1"/>
  <c r="AA37" i="1"/>
  <c r="AB37" i="1" s="1"/>
  <c r="AL37" i="1"/>
  <c r="N38" i="1"/>
  <c r="AT38" i="1" s="1"/>
  <c r="T38" i="1"/>
  <c r="U38" i="1" s="1"/>
  <c r="AA38" i="1"/>
  <c r="AB38" i="1" s="1"/>
  <c r="AL38" i="1"/>
  <c r="N39" i="1"/>
  <c r="AT39" i="1" s="1"/>
  <c r="T39" i="1"/>
  <c r="U39" i="1" s="1"/>
  <c r="AL39" i="1"/>
  <c r="N40" i="1"/>
  <c r="AT40" i="1" s="1"/>
  <c r="T40" i="1"/>
  <c r="U40" i="1" s="1"/>
  <c r="AL40" i="1"/>
  <c r="N41" i="1"/>
  <c r="AT41" i="1" s="1"/>
  <c r="T41" i="1"/>
  <c r="U41" i="1" s="1"/>
  <c r="AL41" i="1"/>
  <c r="N42" i="1"/>
  <c r="AT42" i="1" s="1"/>
  <c r="T42" i="1"/>
  <c r="U42" i="1" s="1"/>
  <c r="AA42" i="1"/>
  <c r="AB42" i="1"/>
  <c r="AL42" i="1"/>
  <c r="N43" i="1"/>
  <c r="AT43" i="1" s="1"/>
  <c r="T43" i="1"/>
  <c r="U43" i="1" s="1"/>
  <c r="AL43" i="1"/>
  <c r="N44" i="1"/>
  <c r="AT44" i="1" s="1"/>
  <c r="T44" i="1"/>
  <c r="U44" i="1" s="1"/>
  <c r="AL44" i="1"/>
  <c r="N45" i="1"/>
  <c r="AT45" i="1" s="1"/>
  <c r="T45" i="1"/>
  <c r="U45" i="1" s="1"/>
  <c r="AA45" i="1"/>
  <c r="AB45" i="1" s="1"/>
  <c r="AL45" i="1"/>
  <c r="N46" i="1"/>
  <c r="AT46" i="1" s="1"/>
  <c r="T46" i="1"/>
  <c r="U46" i="1" s="1"/>
  <c r="AA46" i="1"/>
  <c r="AB46" i="1" s="1"/>
  <c r="AL46" i="1"/>
  <c r="N47" i="1"/>
  <c r="AT47" i="1" s="1"/>
  <c r="T47" i="1"/>
  <c r="U47" i="1" s="1"/>
  <c r="AA47" i="1"/>
  <c r="AB47" i="1" s="1"/>
  <c r="AL47" i="1"/>
  <c r="N32" i="1"/>
  <c r="AT32" i="1" s="1"/>
  <c r="T32" i="1"/>
  <c r="U32" i="1" s="1"/>
  <c r="AA32" i="1"/>
  <c r="AB32" i="1" s="1"/>
  <c r="AL32" i="1"/>
  <c r="N48" i="1"/>
  <c r="AT48" i="1" s="1"/>
  <c r="T48" i="1"/>
  <c r="U48" i="1" s="1"/>
  <c r="AL48" i="1"/>
  <c r="N49" i="1"/>
  <c r="AT49" i="1" s="1"/>
  <c r="T49" i="1"/>
  <c r="U49" i="1" s="1"/>
  <c r="AA49" i="1"/>
  <c r="AB49" i="1" s="1"/>
  <c r="AL49" i="1"/>
  <c r="N50" i="1"/>
  <c r="AT50" i="1" s="1"/>
  <c r="T50" i="1"/>
  <c r="U50" i="1" s="1"/>
  <c r="AL50" i="1"/>
  <c r="N51" i="1"/>
  <c r="AT51" i="1" s="1"/>
  <c r="T51" i="1"/>
  <c r="U51" i="1" s="1"/>
  <c r="AA51" i="1"/>
  <c r="AB51" i="1" s="1"/>
  <c r="AF51" i="1" s="1"/>
  <c r="AI51" i="1" s="1"/>
  <c r="AL51" i="1"/>
  <c r="N52" i="1"/>
  <c r="AT52" i="1" s="1"/>
  <c r="T52" i="1"/>
  <c r="U52" i="1" s="1"/>
  <c r="AA52" i="1"/>
  <c r="AB52" i="1"/>
  <c r="AL52" i="1"/>
  <c r="N53" i="1"/>
  <c r="AT53" i="1" s="1"/>
  <c r="T53" i="1"/>
  <c r="U53" i="1" s="1"/>
  <c r="AA53" i="1"/>
  <c r="AB53" i="1" s="1"/>
  <c r="AF53" i="1" s="1"/>
  <c r="AL53" i="1"/>
  <c r="N54" i="1"/>
  <c r="T54" i="1"/>
  <c r="U54" i="1" s="1"/>
  <c r="AA54" i="1"/>
  <c r="AB54" i="1" s="1"/>
  <c r="AL54" i="1"/>
  <c r="AT54" i="1"/>
  <c r="N55" i="1"/>
  <c r="T55" i="1"/>
  <c r="U55" i="1" s="1"/>
  <c r="AF55" i="1" s="1"/>
  <c r="AA55" i="1"/>
  <c r="AB55" i="1" s="1"/>
  <c r="AL55" i="1"/>
  <c r="AT55" i="1"/>
  <c r="N56" i="1"/>
  <c r="AT56" i="1" s="1"/>
  <c r="T56" i="1"/>
  <c r="U56" i="1" s="1"/>
  <c r="AA56" i="1"/>
  <c r="AB56" i="1" s="1"/>
  <c r="AL56" i="1"/>
  <c r="N57" i="1"/>
  <c r="AT57" i="1" s="1"/>
  <c r="T57" i="1"/>
  <c r="U57" i="1" s="1"/>
  <c r="AA57" i="1"/>
  <c r="AB57" i="1" s="1"/>
  <c r="AL57" i="1"/>
  <c r="N58" i="1"/>
  <c r="AT58" i="1" s="1"/>
  <c r="T58" i="1"/>
  <c r="U58" i="1" s="1"/>
  <c r="AA58" i="1"/>
  <c r="AB58" i="1" s="1"/>
  <c r="AL58" i="1"/>
  <c r="N59" i="1"/>
  <c r="AT59" i="1" s="1"/>
  <c r="T59" i="1"/>
  <c r="U59" i="1" s="1"/>
  <c r="AA59" i="1"/>
  <c r="AB59" i="1" s="1"/>
  <c r="AL59" i="1"/>
  <c r="N60" i="1"/>
  <c r="AT60" i="1" s="1"/>
  <c r="T60" i="1"/>
  <c r="U60" i="1" s="1"/>
  <c r="AA60" i="1"/>
  <c r="AB60" i="1" s="1"/>
  <c r="AL60" i="1"/>
  <c r="N61" i="1"/>
  <c r="AT61" i="1" s="1"/>
  <c r="T61" i="1"/>
  <c r="U61" i="1" s="1"/>
  <c r="AA61" i="1"/>
  <c r="AB61" i="1" s="1"/>
  <c r="AL61" i="1"/>
  <c r="N62" i="1"/>
  <c r="AT62" i="1" s="1"/>
  <c r="T62" i="1"/>
  <c r="U62" i="1" s="1"/>
  <c r="AA62" i="1"/>
  <c r="AB62" i="1" s="1"/>
  <c r="AL62" i="1"/>
  <c r="N63" i="1"/>
  <c r="AT63" i="1" s="1"/>
  <c r="T63" i="1"/>
  <c r="U63" i="1" s="1"/>
  <c r="AA63" i="1"/>
  <c r="AB63" i="1" s="1"/>
  <c r="AL63" i="1"/>
  <c r="N64" i="1"/>
  <c r="AT64" i="1" s="1"/>
  <c r="T64" i="1"/>
  <c r="U64" i="1" s="1"/>
  <c r="AA64" i="1"/>
  <c r="AB64" i="1" s="1"/>
  <c r="AL64" i="1"/>
  <c r="N65" i="1"/>
  <c r="T65" i="1"/>
  <c r="U65" i="1" s="1"/>
  <c r="AA65" i="1"/>
  <c r="AB65" i="1" s="1"/>
  <c r="AL65" i="1"/>
  <c r="AT65" i="1"/>
  <c r="N66" i="1"/>
  <c r="AT66" i="1" s="1"/>
  <c r="T66" i="1"/>
  <c r="U66" i="1" s="1"/>
  <c r="AA66" i="1"/>
  <c r="AB66" i="1" s="1"/>
  <c r="AL66" i="1"/>
  <c r="N67" i="1"/>
  <c r="AT67" i="1" s="1"/>
  <c r="T67" i="1"/>
  <c r="U67" i="1" s="1"/>
  <c r="AA67" i="1"/>
  <c r="AB67" i="1" s="1"/>
  <c r="AL67" i="1"/>
  <c r="N68" i="1"/>
  <c r="T68" i="1"/>
  <c r="U68" i="1" s="1"/>
  <c r="AA68" i="1"/>
  <c r="AB68" i="1" s="1"/>
  <c r="AL68" i="1"/>
  <c r="AT68" i="1"/>
  <c r="N69" i="1"/>
  <c r="AT69" i="1" s="1"/>
  <c r="T69" i="1"/>
  <c r="U69" i="1" s="1"/>
  <c r="AA69" i="1"/>
  <c r="AB69" i="1" s="1"/>
  <c r="AL69" i="1"/>
  <c r="N70" i="1"/>
  <c r="AT70" i="1" s="1"/>
  <c r="T70" i="1"/>
  <c r="U70" i="1" s="1"/>
  <c r="AA70" i="1"/>
  <c r="AB70" i="1" s="1"/>
  <c r="AL70" i="1"/>
  <c r="N71" i="1"/>
  <c r="AT71" i="1" s="1"/>
  <c r="T71" i="1"/>
  <c r="U71" i="1" s="1"/>
  <c r="AA71" i="1"/>
  <c r="AB71" i="1" s="1"/>
  <c r="AL71" i="1"/>
  <c r="N72" i="1"/>
  <c r="AT72" i="1" s="1"/>
  <c r="T72" i="1"/>
  <c r="U72" i="1" s="1"/>
  <c r="AA72" i="1"/>
  <c r="AB72" i="1" s="1"/>
  <c r="AL72" i="1"/>
  <c r="N73" i="1"/>
  <c r="AT73" i="1" s="1"/>
  <c r="T73" i="1"/>
  <c r="U73" i="1" s="1"/>
  <c r="AA73" i="1"/>
  <c r="AB73" i="1" s="1"/>
  <c r="AL73" i="1"/>
  <c r="N74" i="1"/>
  <c r="AT74" i="1" s="1"/>
  <c r="T74" i="1"/>
  <c r="U74" i="1"/>
  <c r="AA74" i="1"/>
  <c r="AB74" i="1" s="1"/>
  <c r="AL74" i="1"/>
  <c r="N75" i="1"/>
  <c r="AT75" i="1" s="1"/>
  <c r="T75" i="1"/>
  <c r="U75" i="1" s="1"/>
  <c r="AF75" i="1" s="1"/>
  <c r="AI75" i="1" s="1"/>
  <c r="AA75" i="1"/>
  <c r="AB75" i="1" s="1"/>
  <c r="AL75" i="1"/>
  <c r="N76" i="1"/>
  <c r="AT76" i="1" s="1"/>
  <c r="T76" i="1"/>
  <c r="U76" i="1" s="1"/>
  <c r="AA76" i="1"/>
  <c r="AB76" i="1" s="1"/>
  <c r="AL76" i="1"/>
  <c r="N77" i="1"/>
  <c r="AT77" i="1" s="1"/>
  <c r="T77" i="1"/>
  <c r="U77" i="1" s="1"/>
  <c r="AA77" i="1"/>
  <c r="AB77" i="1" s="1"/>
  <c r="AL77" i="1"/>
  <c r="N78" i="1"/>
  <c r="AT78" i="1" s="1"/>
  <c r="T78" i="1"/>
  <c r="U78" i="1" s="1"/>
  <c r="AA78" i="1"/>
  <c r="AB78" i="1" s="1"/>
  <c r="AL78" i="1"/>
  <c r="N79" i="1"/>
  <c r="AT79" i="1" s="1"/>
  <c r="T79" i="1"/>
  <c r="U79" i="1" s="1"/>
  <c r="AA79" i="1"/>
  <c r="AB79" i="1" s="1"/>
  <c r="AL79" i="1"/>
  <c r="N80" i="1"/>
  <c r="AT80" i="1" s="1"/>
  <c r="T80" i="1"/>
  <c r="U80" i="1" s="1"/>
  <c r="AA80" i="1"/>
  <c r="AB80" i="1" s="1"/>
  <c r="AL80" i="1"/>
  <c r="N81" i="1"/>
  <c r="AT81" i="1" s="1"/>
  <c r="T81" i="1"/>
  <c r="U81" i="1" s="1"/>
  <c r="AA81" i="1"/>
  <c r="AB81" i="1"/>
  <c r="AL81" i="1"/>
  <c r="N82" i="1"/>
  <c r="AT82" i="1" s="1"/>
  <c r="T82" i="1"/>
  <c r="U82" i="1" s="1"/>
  <c r="AA82" i="1"/>
  <c r="AB82" i="1" s="1"/>
  <c r="AL82" i="1"/>
  <c r="N83" i="1"/>
  <c r="AT83" i="1" s="1"/>
  <c r="T83" i="1"/>
  <c r="U83" i="1" s="1"/>
  <c r="AA83" i="1"/>
  <c r="AB83" i="1" s="1"/>
  <c r="AL83" i="1"/>
  <c r="N84" i="1"/>
  <c r="AT84" i="1" s="1"/>
  <c r="T84" i="1"/>
  <c r="U84" i="1" s="1"/>
  <c r="AA84" i="1"/>
  <c r="AB84" i="1" s="1"/>
  <c r="AL84" i="1"/>
  <c r="N85" i="1"/>
  <c r="AT85" i="1" s="1"/>
  <c r="T85" i="1"/>
  <c r="U85" i="1" s="1"/>
  <c r="AA85" i="1"/>
  <c r="AB85" i="1" s="1"/>
  <c r="AL85" i="1"/>
  <c r="N86" i="1"/>
  <c r="AT86" i="1" s="1"/>
  <c r="T86" i="1"/>
  <c r="U86" i="1" s="1"/>
  <c r="AA86" i="1"/>
  <c r="AB86" i="1" s="1"/>
  <c r="AL86" i="1"/>
  <c r="N87" i="1"/>
  <c r="AT87" i="1" s="1"/>
  <c r="T87" i="1"/>
  <c r="U87" i="1" s="1"/>
  <c r="AA87" i="1"/>
  <c r="AB87" i="1" s="1"/>
  <c r="AL87" i="1"/>
  <c r="N88" i="1"/>
  <c r="AT88" i="1" s="1"/>
  <c r="T88" i="1"/>
  <c r="U88" i="1" s="1"/>
  <c r="AA88" i="1"/>
  <c r="AB88" i="1" s="1"/>
  <c r="AL88" i="1"/>
  <c r="N89" i="1"/>
  <c r="AT89" i="1" s="1"/>
  <c r="T89" i="1"/>
  <c r="U89" i="1" s="1"/>
  <c r="AA89" i="1"/>
  <c r="AB89" i="1"/>
  <c r="AF89" i="1" s="1"/>
  <c r="AL89" i="1"/>
  <c r="N90" i="1"/>
  <c r="T90" i="1"/>
  <c r="U90" i="1" s="1"/>
  <c r="AA90" i="1"/>
  <c r="AB90" i="1" s="1"/>
  <c r="AL90" i="1"/>
  <c r="AT90" i="1"/>
  <c r="N91" i="1"/>
  <c r="AT91" i="1" s="1"/>
  <c r="T91" i="1"/>
  <c r="U91" i="1" s="1"/>
  <c r="AA91" i="1"/>
  <c r="AB91" i="1" s="1"/>
  <c r="AL91" i="1"/>
  <c r="N92" i="1"/>
  <c r="AT92" i="1" s="1"/>
  <c r="T92" i="1"/>
  <c r="U92" i="1" s="1"/>
  <c r="AA92" i="1"/>
  <c r="AB92" i="1" s="1"/>
  <c r="AL92" i="1"/>
  <c r="N93" i="1"/>
  <c r="AT93" i="1" s="1"/>
  <c r="T93" i="1"/>
  <c r="U93" i="1" s="1"/>
  <c r="AA93" i="1"/>
  <c r="AB93" i="1" s="1"/>
  <c r="AL93" i="1"/>
  <c r="N94" i="1"/>
  <c r="AT94" i="1" s="1"/>
  <c r="T94" i="1"/>
  <c r="U94" i="1" s="1"/>
  <c r="AA94" i="1"/>
  <c r="AB94" i="1" s="1"/>
  <c r="AL94" i="1"/>
  <c r="N95" i="1"/>
  <c r="AT95" i="1" s="1"/>
  <c r="T95" i="1"/>
  <c r="U95" i="1" s="1"/>
  <c r="AA95" i="1"/>
  <c r="AB95" i="1" s="1"/>
  <c r="AL95" i="1"/>
  <c r="N96" i="1"/>
  <c r="AT96" i="1" s="1"/>
  <c r="T96" i="1"/>
  <c r="U96" i="1" s="1"/>
  <c r="AA96" i="1"/>
  <c r="AB96" i="1" s="1"/>
  <c r="AL96" i="1"/>
  <c r="N97" i="1"/>
  <c r="AT97" i="1" s="1"/>
  <c r="T97" i="1"/>
  <c r="U97" i="1" s="1"/>
  <c r="AA97" i="1"/>
  <c r="AB97" i="1" s="1"/>
  <c r="AF97" i="1" s="1"/>
  <c r="AL97" i="1"/>
  <c r="N98" i="1"/>
  <c r="AT98" i="1" s="1"/>
  <c r="T98" i="1"/>
  <c r="U98" i="1" s="1"/>
  <c r="AA98" i="1"/>
  <c r="AB98" i="1" s="1"/>
  <c r="AL98" i="1"/>
  <c r="N99" i="1"/>
  <c r="AT99" i="1" s="1"/>
  <c r="T99" i="1"/>
  <c r="U99" i="1" s="1"/>
  <c r="AA99" i="1"/>
  <c r="AB99" i="1" s="1"/>
  <c r="AL99" i="1"/>
  <c r="N100" i="1"/>
  <c r="T100" i="1"/>
  <c r="U100" i="1" s="1"/>
  <c r="AA100" i="1"/>
  <c r="AB100" i="1" s="1"/>
  <c r="AL100" i="1"/>
  <c r="AT100" i="1"/>
  <c r="N101" i="1"/>
  <c r="AT101" i="1" s="1"/>
  <c r="T101" i="1"/>
  <c r="U101" i="1" s="1"/>
  <c r="AA101" i="1"/>
  <c r="AB101" i="1" s="1"/>
  <c r="AL101" i="1"/>
  <c r="N102" i="1"/>
  <c r="AT102" i="1" s="1"/>
  <c r="T102" i="1"/>
  <c r="U102" i="1"/>
  <c r="AA102" i="1"/>
  <c r="AB102" i="1" s="1"/>
  <c r="AL102" i="1"/>
  <c r="N103" i="1"/>
  <c r="T103" i="1"/>
  <c r="U103" i="1" s="1"/>
  <c r="AA103" i="1"/>
  <c r="AB103" i="1" s="1"/>
  <c r="AL103" i="1"/>
  <c r="AT103" i="1"/>
  <c r="N104" i="1"/>
  <c r="AT104" i="1" s="1"/>
  <c r="T104" i="1"/>
  <c r="U104" i="1" s="1"/>
  <c r="AA104" i="1"/>
  <c r="AB104" i="1" s="1"/>
  <c r="AL104" i="1"/>
  <c r="N105" i="1"/>
  <c r="T105" i="1"/>
  <c r="U105" i="1" s="1"/>
  <c r="AA105" i="1"/>
  <c r="AB105" i="1" s="1"/>
  <c r="AL105" i="1"/>
  <c r="AT105" i="1"/>
  <c r="N106" i="1"/>
  <c r="AT106" i="1" s="1"/>
  <c r="T106" i="1"/>
  <c r="U106" i="1" s="1"/>
  <c r="AA106" i="1"/>
  <c r="AB106" i="1" s="1"/>
  <c r="AL106" i="1"/>
  <c r="N107" i="1"/>
  <c r="AT107" i="1" s="1"/>
  <c r="T107" i="1"/>
  <c r="U107" i="1" s="1"/>
  <c r="AA107" i="1"/>
  <c r="AB107" i="1" s="1"/>
  <c r="AL107" i="1"/>
  <c r="N108" i="1"/>
  <c r="AT108" i="1" s="1"/>
  <c r="T108" i="1"/>
  <c r="U108" i="1" s="1"/>
  <c r="AA108" i="1"/>
  <c r="AB108" i="1" s="1"/>
  <c r="AL108" i="1"/>
  <c r="N109" i="1"/>
  <c r="T109" i="1"/>
  <c r="U109" i="1" s="1"/>
  <c r="AA109" i="1"/>
  <c r="AB109" i="1" s="1"/>
  <c r="AL109" i="1"/>
  <c r="AT109" i="1"/>
  <c r="N110" i="1"/>
  <c r="AT110" i="1" s="1"/>
  <c r="T110" i="1"/>
  <c r="U110" i="1" s="1"/>
  <c r="AA110" i="1"/>
  <c r="AB110" i="1"/>
  <c r="AL110" i="1"/>
  <c r="N111" i="1"/>
  <c r="AT111" i="1" s="1"/>
  <c r="T111" i="1"/>
  <c r="U111" i="1" s="1"/>
  <c r="AA111" i="1"/>
  <c r="AB111" i="1" s="1"/>
  <c r="AL111" i="1"/>
  <c r="N112" i="1"/>
  <c r="AT112" i="1" s="1"/>
  <c r="T112" i="1"/>
  <c r="U112" i="1" s="1"/>
  <c r="AA112" i="1"/>
  <c r="AB112" i="1" s="1"/>
  <c r="AL112" i="1"/>
  <c r="N113" i="1"/>
  <c r="AT113" i="1" s="1"/>
  <c r="T113" i="1"/>
  <c r="U113" i="1" s="1"/>
  <c r="AA113" i="1"/>
  <c r="AB113" i="1" s="1"/>
  <c r="AL113" i="1"/>
  <c r="N114" i="1"/>
  <c r="T114" i="1"/>
  <c r="U114" i="1" s="1"/>
  <c r="AA114" i="1"/>
  <c r="AB114" i="1" s="1"/>
  <c r="AL114" i="1"/>
  <c r="AT114" i="1"/>
  <c r="N115" i="1"/>
  <c r="AT115" i="1" s="1"/>
  <c r="T115" i="1"/>
  <c r="U115" i="1" s="1"/>
  <c r="AF115" i="1" s="1"/>
  <c r="AH115" i="1" s="1"/>
  <c r="AA115" i="1"/>
  <c r="AB115" i="1" s="1"/>
  <c r="AL115" i="1"/>
  <c r="N116" i="1"/>
  <c r="AT116" i="1" s="1"/>
  <c r="T116" i="1"/>
  <c r="U116" i="1" s="1"/>
  <c r="AA116" i="1"/>
  <c r="AB116" i="1" s="1"/>
  <c r="AL116" i="1"/>
  <c r="N117" i="1"/>
  <c r="AT117" i="1" s="1"/>
  <c r="T117" i="1"/>
  <c r="U117" i="1" s="1"/>
  <c r="AA117" i="1"/>
  <c r="AB117" i="1" s="1"/>
  <c r="AL117" i="1"/>
  <c r="N118" i="1"/>
  <c r="AT118" i="1" s="1"/>
  <c r="T118" i="1"/>
  <c r="U118" i="1" s="1"/>
  <c r="AA118" i="1"/>
  <c r="AB118" i="1" s="1"/>
  <c r="AL118" i="1"/>
  <c r="N119" i="1"/>
  <c r="AT119" i="1" s="1"/>
  <c r="T119" i="1"/>
  <c r="U119" i="1" s="1"/>
  <c r="AA119" i="1"/>
  <c r="AB119" i="1" s="1"/>
  <c r="AL119" i="1"/>
  <c r="N120" i="1"/>
  <c r="AT120" i="1" s="1"/>
  <c r="T120" i="1"/>
  <c r="U120" i="1" s="1"/>
  <c r="AA120" i="1"/>
  <c r="AB120" i="1" s="1"/>
  <c r="AL120" i="1"/>
  <c r="N121" i="1"/>
  <c r="T121" i="1"/>
  <c r="U121" i="1" s="1"/>
  <c r="AF121" i="1" s="1"/>
  <c r="AA121" i="1"/>
  <c r="AB121" i="1" s="1"/>
  <c r="AL121" i="1"/>
  <c r="AT121" i="1"/>
  <c r="N122" i="1"/>
  <c r="AT122" i="1" s="1"/>
  <c r="T122" i="1"/>
  <c r="U122" i="1" s="1"/>
  <c r="AA122" i="1"/>
  <c r="AB122" i="1" s="1"/>
  <c r="AL122" i="1"/>
  <c r="N123" i="1"/>
  <c r="AT123" i="1" s="1"/>
  <c r="T123" i="1"/>
  <c r="U123" i="1" s="1"/>
  <c r="AA123" i="1"/>
  <c r="AB123" i="1"/>
  <c r="AL123" i="1"/>
  <c r="N124" i="1"/>
  <c r="AT124" i="1" s="1"/>
  <c r="T124" i="1"/>
  <c r="U124" i="1" s="1"/>
  <c r="AA124" i="1"/>
  <c r="AB124" i="1" s="1"/>
  <c r="AL124" i="1"/>
  <c r="N125" i="1"/>
  <c r="T125" i="1"/>
  <c r="U125" i="1"/>
  <c r="AA125" i="1"/>
  <c r="AB125" i="1" s="1"/>
  <c r="AL125" i="1"/>
  <c r="AT125" i="1"/>
  <c r="N126" i="1"/>
  <c r="T126" i="1"/>
  <c r="U126" i="1" s="1"/>
  <c r="AA126" i="1"/>
  <c r="AB126" i="1" s="1"/>
  <c r="AL126" i="1"/>
  <c r="AT126" i="1"/>
  <c r="N127" i="1"/>
  <c r="AT127" i="1" s="1"/>
  <c r="T127" i="1"/>
  <c r="U127" i="1" s="1"/>
  <c r="AA127" i="1"/>
  <c r="AB127" i="1" s="1"/>
  <c r="AL127" i="1"/>
  <c r="N128" i="1"/>
  <c r="AT128" i="1" s="1"/>
  <c r="T128" i="1"/>
  <c r="U128" i="1" s="1"/>
  <c r="AA128" i="1"/>
  <c r="AB128" i="1" s="1"/>
  <c r="AL128" i="1"/>
  <c r="N129" i="1"/>
  <c r="AT129" i="1" s="1"/>
  <c r="T129" i="1"/>
  <c r="U129" i="1" s="1"/>
  <c r="AA129" i="1"/>
  <c r="AB129" i="1" s="1"/>
  <c r="AL129" i="1"/>
  <c r="N130" i="1"/>
  <c r="AT130" i="1" s="1"/>
  <c r="T130" i="1"/>
  <c r="U130" i="1" s="1"/>
  <c r="AA130" i="1"/>
  <c r="AB130" i="1" s="1"/>
  <c r="AL130" i="1"/>
  <c r="N131" i="1"/>
  <c r="AT131" i="1" s="1"/>
  <c r="T131" i="1"/>
  <c r="U131" i="1" s="1"/>
  <c r="AA131" i="1"/>
  <c r="AB131" i="1" s="1"/>
  <c r="AL131" i="1"/>
  <c r="N132" i="1"/>
  <c r="AT132" i="1" s="1"/>
  <c r="T132" i="1"/>
  <c r="U132" i="1" s="1"/>
  <c r="AA132" i="1"/>
  <c r="AB132" i="1"/>
  <c r="AL132" i="1"/>
  <c r="N133" i="1"/>
  <c r="AT133" i="1" s="1"/>
  <c r="T133" i="1"/>
  <c r="U133" i="1" s="1"/>
  <c r="AA133" i="1"/>
  <c r="AB133" i="1" s="1"/>
  <c r="AL133" i="1"/>
  <c r="N134" i="1"/>
  <c r="AT134" i="1" s="1"/>
  <c r="T134" i="1"/>
  <c r="U134" i="1" s="1"/>
  <c r="AA134" i="1"/>
  <c r="AB134" i="1" s="1"/>
  <c r="AL134" i="1"/>
  <c r="N135" i="1"/>
  <c r="AT135" i="1" s="1"/>
  <c r="T135" i="1"/>
  <c r="U135" i="1" s="1"/>
  <c r="AA135" i="1"/>
  <c r="AB135" i="1" s="1"/>
  <c r="AL135" i="1"/>
  <c r="N136" i="1"/>
  <c r="AT136" i="1" s="1"/>
  <c r="T136" i="1"/>
  <c r="U136" i="1" s="1"/>
  <c r="AA136" i="1"/>
  <c r="AB136" i="1" s="1"/>
  <c r="AL136" i="1"/>
  <c r="N137" i="1"/>
  <c r="AT137" i="1" s="1"/>
  <c r="T137" i="1"/>
  <c r="U137" i="1" s="1"/>
  <c r="AA137" i="1"/>
  <c r="AB137" i="1" s="1"/>
  <c r="AL137" i="1"/>
  <c r="N138" i="1"/>
  <c r="T138" i="1"/>
  <c r="U138" i="1" s="1"/>
  <c r="AA138" i="1"/>
  <c r="AB138" i="1" s="1"/>
  <c r="AL138" i="1"/>
  <c r="AT138" i="1"/>
  <c r="N139" i="1"/>
  <c r="AT139" i="1" s="1"/>
  <c r="T139" i="1"/>
  <c r="U139" i="1" s="1"/>
  <c r="AA139" i="1"/>
  <c r="AB139" i="1" s="1"/>
  <c r="AL139" i="1"/>
  <c r="N140" i="1"/>
  <c r="AT140" i="1" s="1"/>
  <c r="T140" i="1"/>
  <c r="U140" i="1" s="1"/>
  <c r="AA140" i="1"/>
  <c r="AB140" i="1" s="1"/>
  <c r="AL140" i="1"/>
  <c r="AI90" i="3" l="1"/>
  <c r="AM90" i="3" s="1"/>
  <c r="AH90" i="3"/>
  <c r="AF137" i="2"/>
  <c r="AH110" i="3"/>
  <c r="AI110" i="3"/>
  <c r="AM110" i="3" s="1"/>
  <c r="AF113" i="1"/>
  <c r="AF62" i="1"/>
  <c r="AF115" i="2"/>
  <c r="AH115" i="2" s="1"/>
  <c r="AF8" i="2"/>
  <c r="AF75" i="2"/>
  <c r="AF93" i="1"/>
  <c r="AF116" i="1"/>
  <c r="AF25" i="2"/>
  <c r="AF87" i="1"/>
  <c r="AF63" i="1"/>
  <c r="AF95" i="2"/>
  <c r="AH95" i="2" s="1"/>
  <c r="AI71" i="3"/>
  <c r="AM71" i="3" s="1"/>
  <c r="AF74" i="1"/>
  <c r="AF139" i="1"/>
  <c r="AF94" i="1"/>
  <c r="AA12" i="1"/>
  <c r="AB12" i="1" s="1"/>
  <c r="AF133" i="2"/>
  <c r="AF122" i="2"/>
  <c r="AF113" i="2"/>
  <c r="AI113" i="2" s="1"/>
  <c r="AM113" i="2" s="1"/>
  <c r="AF50" i="2"/>
  <c r="AF78" i="1"/>
  <c r="AI78" i="1" s="1"/>
  <c r="AM78" i="1" s="1"/>
  <c r="AF96" i="2"/>
  <c r="AF18" i="2"/>
  <c r="AF82" i="2"/>
  <c r="AF14" i="2"/>
  <c r="AF139" i="2"/>
  <c r="AH139" i="2" s="1"/>
  <c r="AF117" i="2"/>
  <c r="AH117" i="2" s="1"/>
  <c r="AF88" i="2"/>
  <c r="AF37" i="2"/>
  <c r="AI37" i="2" s="1"/>
  <c r="AF34" i="2"/>
  <c r="AI85" i="3"/>
  <c r="AM85" i="3" s="1"/>
  <c r="AH85" i="3"/>
  <c r="AI76" i="3"/>
  <c r="AM76" i="3" s="1"/>
  <c r="AH76" i="3"/>
  <c r="AH69" i="3"/>
  <c r="AI69" i="3"/>
  <c r="AM69" i="3" s="1"/>
  <c r="AH29" i="3"/>
  <c r="AH49" i="3"/>
  <c r="AI46" i="3"/>
  <c r="AM46" i="3" s="1"/>
  <c r="AH138" i="3"/>
  <c r="AI83" i="3"/>
  <c r="AM83" i="3" s="1"/>
  <c r="AH83" i="3"/>
  <c r="AH132" i="3"/>
  <c r="AI132" i="3"/>
  <c r="AM132" i="3" s="1"/>
  <c r="AI131" i="3"/>
  <c r="AM131" i="3" s="1"/>
  <c r="AH131" i="3"/>
  <c r="AH127" i="3"/>
  <c r="AI127" i="3"/>
  <c r="AM127" i="3" s="1"/>
  <c r="AI53" i="3"/>
  <c r="AM53" i="3" s="1"/>
  <c r="AH53" i="3"/>
  <c r="AI31" i="3"/>
  <c r="AM31" i="3" s="1"/>
  <c r="AI12" i="3"/>
  <c r="AM12" i="3" s="1"/>
  <c r="AH139" i="3"/>
  <c r="AH34" i="3"/>
  <c r="AI10" i="3"/>
  <c r="AM10" i="3" s="1"/>
  <c r="AI51" i="3"/>
  <c r="AM51" i="3" s="1"/>
  <c r="AH51" i="3"/>
  <c r="AI58" i="3"/>
  <c r="AM58" i="3" s="1"/>
  <c r="AH58" i="3"/>
  <c r="AI26" i="3"/>
  <c r="AM26" i="3" s="1"/>
  <c r="AH26" i="3"/>
  <c r="AI103" i="3"/>
  <c r="AM103" i="3" s="1"/>
  <c r="AH103" i="3"/>
  <c r="AH55" i="3"/>
  <c r="AI55" i="3"/>
  <c r="AM55" i="3" s="1"/>
  <c r="AH115" i="3"/>
  <c r="AI115" i="3"/>
  <c r="AM115" i="3" s="1"/>
  <c r="AH52" i="3"/>
  <c r="AI52" i="3"/>
  <c r="AM52" i="3" s="1"/>
  <c r="AI128" i="3"/>
  <c r="AM128" i="3" s="1"/>
  <c r="AH128" i="3"/>
  <c r="AH98" i="3"/>
  <c r="AI98" i="3"/>
  <c r="AM98" i="3" s="1"/>
  <c r="AI73" i="3"/>
  <c r="AM73" i="3" s="1"/>
  <c r="AH73" i="3"/>
  <c r="AH107" i="3"/>
  <c r="AI107" i="3"/>
  <c r="AM107" i="3" s="1"/>
  <c r="AI118" i="3"/>
  <c r="AM118" i="3" s="1"/>
  <c r="AH118" i="3"/>
  <c r="AI17" i="3"/>
  <c r="AM17" i="3" s="1"/>
  <c r="AH17" i="3"/>
  <c r="AI102" i="3"/>
  <c r="AM102" i="3" s="1"/>
  <c r="AH102" i="3"/>
  <c r="AI108" i="3"/>
  <c r="AM108" i="3" s="1"/>
  <c r="AH108" i="3"/>
  <c r="AI40" i="3"/>
  <c r="AM40" i="3" s="1"/>
  <c r="AH40" i="3"/>
  <c r="AI43" i="3"/>
  <c r="AM43" i="3" s="1"/>
  <c r="AH43" i="3"/>
  <c r="AI35" i="3"/>
  <c r="AM35" i="3" s="1"/>
  <c r="AH35" i="3"/>
  <c r="AI56" i="3"/>
  <c r="AM56" i="3" s="1"/>
  <c r="AH56" i="3"/>
  <c r="AI39" i="3"/>
  <c r="AM39" i="3" s="1"/>
  <c r="AH39" i="3"/>
  <c r="AI36" i="3"/>
  <c r="AM36" i="3" s="1"/>
  <c r="AH36" i="3"/>
  <c r="AI120" i="3"/>
  <c r="AM120" i="3" s="1"/>
  <c r="AH120" i="3"/>
  <c r="AI130" i="3"/>
  <c r="AM130" i="3" s="1"/>
  <c r="AH130" i="3"/>
  <c r="AI30" i="3"/>
  <c r="AM30" i="3" s="1"/>
  <c r="AH30" i="3"/>
  <c r="AI111" i="3"/>
  <c r="AM111" i="3" s="1"/>
  <c r="AH111" i="3"/>
  <c r="AH86" i="3"/>
  <c r="AI86" i="3"/>
  <c r="AM86" i="3" s="1"/>
  <c r="AI94" i="3"/>
  <c r="AM94" i="3" s="1"/>
  <c r="AH94" i="3"/>
  <c r="AI54" i="3"/>
  <c r="AM54" i="3" s="1"/>
  <c r="AH54" i="3"/>
  <c r="AH84" i="3"/>
  <c r="AI84" i="3"/>
  <c r="AM84" i="3" s="1"/>
  <c r="AH42" i="3"/>
  <c r="AI42" i="3"/>
  <c r="AM42" i="3" s="1"/>
  <c r="AI89" i="3"/>
  <c r="AM89" i="3" s="1"/>
  <c r="AH89" i="3"/>
  <c r="AI78" i="3"/>
  <c r="AM78" i="3" s="1"/>
  <c r="AH78" i="3"/>
  <c r="AI100" i="3"/>
  <c r="AM100" i="3" s="1"/>
  <c r="AH100" i="3"/>
  <c r="AH63" i="3"/>
  <c r="AI63" i="3"/>
  <c r="AM63" i="3" s="1"/>
  <c r="AI21" i="3"/>
  <c r="AM21" i="3" s="1"/>
  <c r="AH21" i="3"/>
  <c r="AI91" i="3"/>
  <c r="AM91" i="3" s="1"/>
  <c r="AH91" i="3"/>
  <c r="AH75" i="3"/>
  <c r="AI75" i="3"/>
  <c r="AM75" i="3" s="1"/>
  <c r="AI95" i="3"/>
  <c r="AM95" i="3" s="1"/>
  <c r="AH95" i="3"/>
  <c r="AI60" i="3"/>
  <c r="AM60" i="3" s="1"/>
  <c r="AH60" i="3"/>
  <c r="AI135" i="3"/>
  <c r="AM135" i="3" s="1"/>
  <c r="AH135" i="3"/>
  <c r="AH70" i="3"/>
  <c r="AI70" i="3"/>
  <c r="AM70" i="3" s="1"/>
  <c r="AI23" i="3"/>
  <c r="AM23" i="3" s="1"/>
  <c r="AH23" i="3"/>
  <c r="AI37" i="3"/>
  <c r="AM37" i="3" s="1"/>
  <c r="AH37" i="3"/>
  <c r="AH22" i="3"/>
  <c r="AI22" i="3"/>
  <c r="AM22" i="3" s="1"/>
  <c r="AI15" i="3"/>
  <c r="AM15" i="3" s="1"/>
  <c r="AH15" i="3"/>
  <c r="AI134" i="3"/>
  <c r="AM134" i="3" s="1"/>
  <c r="AH134" i="3"/>
  <c r="AI9" i="3"/>
  <c r="AM9" i="3" s="1"/>
  <c r="AI65" i="3"/>
  <c r="AM65" i="3" s="1"/>
  <c r="AH65" i="3"/>
  <c r="AI125" i="3"/>
  <c r="AM125" i="3" s="1"/>
  <c r="AH125" i="3"/>
  <c r="AI88" i="3"/>
  <c r="AM88" i="3" s="1"/>
  <c r="AH88" i="3"/>
  <c r="AI8" i="3"/>
  <c r="AM8" i="3" s="1"/>
  <c r="AI96" i="3"/>
  <c r="AM96" i="3" s="1"/>
  <c r="AH96" i="3"/>
  <c r="AI101" i="3"/>
  <c r="AM101" i="3" s="1"/>
  <c r="AH101" i="3"/>
  <c r="AI121" i="3"/>
  <c r="AM121" i="3" s="1"/>
  <c r="AH121" i="3"/>
  <c r="AI82" i="3"/>
  <c r="AM82" i="3" s="1"/>
  <c r="AH82" i="3"/>
  <c r="AI106" i="3"/>
  <c r="AM106" i="3" s="1"/>
  <c r="AH106" i="3"/>
  <c r="AH61" i="3"/>
  <c r="AI61" i="3"/>
  <c r="AM61" i="3" s="1"/>
  <c r="AH50" i="3"/>
  <c r="AI50" i="3"/>
  <c r="AM50" i="3" s="1"/>
  <c r="AI112" i="3"/>
  <c r="AM112" i="3" s="1"/>
  <c r="AH112" i="3"/>
  <c r="AI33" i="3"/>
  <c r="AM33" i="3" s="1"/>
  <c r="AH33" i="3"/>
  <c r="AI140" i="3"/>
  <c r="AM140" i="3" s="1"/>
  <c r="AH140" i="3"/>
  <c r="AI45" i="3"/>
  <c r="AM45" i="3" s="1"/>
  <c r="AH45" i="3"/>
  <c r="AI16" i="3"/>
  <c r="AM16" i="3" s="1"/>
  <c r="AH16" i="3"/>
  <c r="AI126" i="3"/>
  <c r="AM126" i="3" s="1"/>
  <c r="AH126" i="3"/>
  <c r="AI41" i="3"/>
  <c r="AM41" i="3" s="1"/>
  <c r="AH41" i="3"/>
  <c r="AI13" i="3"/>
  <c r="AM13" i="3" s="1"/>
  <c r="AH13" i="3"/>
  <c r="AI20" i="3"/>
  <c r="AM20" i="3" s="1"/>
  <c r="AH20" i="3"/>
  <c r="AI32" i="3"/>
  <c r="AM32" i="3" s="1"/>
  <c r="AH32" i="3"/>
  <c r="AH104" i="3"/>
  <c r="AI104" i="3"/>
  <c r="AM104" i="3" s="1"/>
  <c r="AH87" i="3"/>
  <c r="AI87" i="3"/>
  <c r="AM87" i="3" s="1"/>
  <c r="AH24" i="3"/>
  <c r="AI24" i="3"/>
  <c r="AM24" i="3" s="1"/>
  <c r="AI7" i="3"/>
  <c r="AM7" i="3" s="1"/>
  <c r="AI77" i="3"/>
  <c r="AM77" i="3" s="1"/>
  <c r="AH77" i="3"/>
  <c r="AI72" i="3"/>
  <c r="AM72" i="3" s="1"/>
  <c r="AH72" i="3"/>
  <c r="AH67" i="3"/>
  <c r="AI67" i="3"/>
  <c r="AM67" i="3" s="1"/>
  <c r="AI79" i="3"/>
  <c r="AM79" i="3" s="1"/>
  <c r="AH79" i="3"/>
  <c r="AI11" i="3"/>
  <c r="AM11" i="3" s="1"/>
  <c r="AH11" i="3"/>
  <c r="AI28" i="3"/>
  <c r="AM28" i="3" s="1"/>
  <c r="AH28" i="3"/>
  <c r="AI66" i="3"/>
  <c r="AM66" i="3" s="1"/>
  <c r="AH66" i="3"/>
  <c r="AH48" i="3"/>
  <c r="AI48" i="3"/>
  <c r="AM48" i="3" s="1"/>
  <c r="AH57" i="3"/>
  <c r="AI57" i="3"/>
  <c r="AM57" i="3" s="1"/>
  <c r="AH64" i="3"/>
  <c r="AI64" i="3"/>
  <c r="AM64" i="3" s="1"/>
  <c r="AH18" i="3"/>
  <c r="AI18" i="3"/>
  <c r="AM18" i="3" s="1"/>
  <c r="AH92" i="3"/>
  <c r="AI92" i="3"/>
  <c r="AM92" i="3" s="1"/>
  <c r="AH97" i="3"/>
  <c r="AI97" i="3"/>
  <c r="AM97" i="3" s="1"/>
  <c r="AI59" i="3"/>
  <c r="AM59" i="3" s="1"/>
  <c r="AH59" i="3"/>
  <c r="AI62" i="3"/>
  <c r="AM62" i="3" s="1"/>
  <c r="AH62" i="3"/>
  <c r="AI117" i="3"/>
  <c r="AM117" i="3" s="1"/>
  <c r="AH117" i="3"/>
  <c r="AH124" i="3"/>
  <c r="AI124" i="3"/>
  <c r="AM124" i="3" s="1"/>
  <c r="AI129" i="3"/>
  <c r="AM129" i="3" s="1"/>
  <c r="AH129" i="3"/>
  <c r="AI109" i="3"/>
  <c r="AM109" i="3" s="1"/>
  <c r="AH109" i="3"/>
  <c r="AI116" i="3"/>
  <c r="AM116" i="3" s="1"/>
  <c r="AH116" i="3"/>
  <c r="AI93" i="3"/>
  <c r="AM93" i="3" s="1"/>
  <c r="AH93" i="3"/>
  <c r="AH27" i="3"/>
  <c r="AI27" i="3"/>
  <c r="AM27" i="3" s="1"/>
  <c r="AI68" i="3"/>
  <c r="AM68" i="3" s="1"/>
  <c r="AH68" i="3"/>
  <c r="AI38" i="3"/>
  <c r="AM38" i="3" s="1"/>
  <c r="AH38" i="3"/>
  <c r="AH123" i="3"/>
  <c r="AI123" i="3"/>
  <c r="AM123" i="3" s="1"/>
  <c r="AI99" i="3"/>
  <c r="AM99" i="3" s="1"/>
  <c r="AH99" i="3"/>
  <c r="AI137" i="3"/>
  <c r="AM137" i="3" s="1"/>
  <c r="AH137" i="3"/>
  <c r="AI133" i="3"/>
  <c r="AM133" i="3" s="1"/>
  <c r="AH133" i="3"/>
  <c r="AH44" i="3"/>
  <c r="AI44" i="3"/>
  <c r="AM44" i="3" s="1"/>
  <c r="AI114" i="3"/>
  <c r="AM114" i="3" s="1"/>
  <c r="AH114" i="3"/>
  <c r="AI80" i="3"/>
  <c r="AM80" i="3" s="1"/>
  <c r="AH80" i="3"/>
  <c r="AH47" i="3"/>
  <c r="AI47" i="3"/>
  <c r="AM47" i="3" s="1"/>
  <c r="AI122" i="3"/>
  <c r="AM122" i="3" s="1"/>
  <c r="AH122" i="3"/>
  <c r="AI6" i="3"/>
  <c r="AM6" i="3" s="1"/>
  <c r="AI5" i="3"/>
  <c r="AM5" i="3" s="1"/>
  <c r="AI136" i="3"/>
  <c r="AM136" i="3" s="1"/>
  <c r="AH136" i="3"/>
  <c r="AI74" i="3"/>
  <c r="AM74" i="3" s="1"/>
  <c r="AH74" i="3"/>
  <c r="AH19" i="3"/>
  <c r="AI19" i="3"/>
  <c r="AM19" i="3" s="1"/>
  <c r="AI113" i="3"/>
  <c r="AM113" i="3" s="1"/>
  <c r="AH113" i="3"/>
  <c r="AI14" i="3"/>
  <c r="AM14" i="3" s="1"/>
  <c r="AH14" i="3"/>
  <c r="AI81" i="3"/>
  <c r="AM81" i="3" s="1"/>
  <c r="AH81" i="3"/>
  <c r="AF20" i="1"/>
  <c r="AF32" i="2"/>
  <c r="AF32" i="1"/>
  <c r="AF70" i="1"/>
  <c r="AI70" i="1" s="1"/>
  <c r="AM70" i="1" s="1"/>
  <c r="AF133" i="1"/>
  <c r="AI133" i="1" s="1"/>
  <c r="AM133" i="1" s="1"/>
  <c r="AF102" i="1"/>
  <c r="AI102" i="1" s="1"/>
  <c r="AM102" i="1" s="1"/>
  <c r="AF131" i="1"/>
  <c r="AH131" i="1" s="1"/>
  <c r="AF90" i="1"/>
  <c r="AF81" i="1"/>
  <c r="AH81" i="1" s="1"/>
  <c r="AF123" i="1"/>
  <c r="AI123" i="1" s="1"/>
  <c r="AM123" i="1" s="1"/>
  <c r="AF134" i="1"/>
  <c r="AH134" i="1" s="1"/>
  <c r="AF88" i="1"/>
  <c r="AH88" i="1" s="1"/>
  <c r="AF79" i="1"/>
  <c r="AF111" i="1"/>
  <c r="AI111" i="1" s="1"/>
  <c r="AM111" i="1" s="1"/>
  <c r="AF98" i="1"/>
  <c r="AH98" i="1" s="1"/>
  <c r="AF66" i="1"/>
  <c r="AI66" i="1" s="1"/>
  <c r="AM66" i="1" s="1"/>
  <c r="AF54" i="1"/>
  <c r="AH54" i="1" s="1"/>
  <c r="AF124" i="1"/>
  <c r="AH124" i="1" s="1"/>
  <c r="AF101" i="1"/>
  <c r="AH101" i="1" s="1"/>
  <c r="AH75" i="1"/>
  <c r="AF47" i="1"/>
  <c r="AF86" i="1"/>
  <c r="AI86" i="1" s="1"/>
  <c r="AM86" i="1" s="1"/>
  <c r="AF58" i="2"/>
  <c r="AF43" i="2"/>
  <c r="AH90" i="2"/>
  <c r="AI90" i="2"/>
  <c r="AM90" i="2" s="1"/>
  <c r="AF83" i="2"/>
  <c r="AH66" i="2"/>
  <c r="AI66" i="2"/>
  <c r="AM66" i="2" s="1"/>
  <c r="AH98" i="2"/>
  <c r="AI98" i="2"/>
  <c r="AM98" i="2" s="1"/>
  <c r="AH82" i="2"/>
  <c r="AI82" i="2"/>
  <c r="AM82" i="2" s="1"/>
  <c r="AI94" i="1"/>
  <c r="AM94" i="1" s="1"/>
  <c r="AH94" i="1"/>
  <c r="AI62" i="1"/>
  <c r="AM62" i="1" s="1"/>
  <c r="AH62" i="1"/>
  <c r="AH34" i="2"/>
  <c r="AI34" i="2"/>
  <c r="AM34" i="2" s="1"/>
  <c r="AH26" i="2"/>
  <c r="AI26" i="2"/>
  <c r="AM26" i="2" s="1"/>
  <c r="AF74" i="2"/>
  <c r="AH18" i="2"/>
  <c r="AI18" i="2"/>
  <c r="AM18" i="2" s="1"/>
  <c r="AF42" i="2"/>
  <c r="AF24" i="2"/>
  <c r="AH24" i="2" s="1"/>
  <c r="AF10" i="2"/>
  <c r="AF105" i="1"/>
  <c r="AH105" i="1" s="1"/>
  <c r="AH50" i="2"/>
  <c r="AI50" i="2"/>
  <c r="AM50" i="2" s="1"/>
  <c r="AF130" i="2"/>
  <c r="AI130" i="2" s="1"/>
  <c r="AM130" i="2" s="1"/>
  <c r="AF47" i="2"/>
  <c r="AF119" i="1"/>
  <c r="AH119" i="1" s="1"/>
  <c r="AF107" i="1"/>
  <c r="AH51" i="1"/>
  <c r="AF12" i="1"/>
  <c r="AF138" i="2"/>
  <c r="AF135" i="2"/>
  <c r="AH135" i="2" s="1"/>
  <c r="AF114" i="2"/>
  <c r="AH114" i="2" s="1"/>
  <c r="AF111" i="2"/>
  <c r="AF100" i="2"/>
  <c r="AH100" i="2" s="1"/>
  <c r="AF92" i="2"/>
  <c r="AF68" i="2"/>
  <c r="AF60" i="2"/>
  <c r="AF29" i="2"/>
  <c r="AF13" i="2"/>
  <c r="AI13" i="2" s="1"/>
  <c r="AM13" i="2" s="1"/>
  <c r="AF7" i="2"/>
  <c r="AH7" i="2" s="1"/>
  <c r="AF128" i="1"/>
  <c r="AI128" i="1" s="1"/>
  <c r="AM128" i="1" s="1"/>
  <c r="AF96" i="1"/>
  <c r="AH96" i="1" s="1"/>
  <c r="AF103" i="2"/>
  <c r="AF87" i="2"/>
  <c r="AF132" i="1"/>
  <c r="AH132" i="1" s="1"/>
  <c r="AF110" i="1"/>
  <c r="AH110" i="1" s="1"/>
  <c r="AM75" i="1"/>
  <c r="AM51" i="1"/>
  <c r="AF38" i="1"/>
  <c r="AF132" i="2"/>
  <c r="AH132" i="2" s="1"/>
  <c r="AF131" i="2"/>
  <c r="AF128" i="2"/>
  <c r="AF125" i="2"/>
  <c r="AF107" i="2"/>
  <c r="AF101" i="2"/>
  <c r="AI101" i="2" s="1"/>
  <c r="AM101" i="2" s="1"/>
  <c r="AF93" i="2"/>
  <c r="AI93" i="2" s="1"/>
  <c r="AM93" i="2" s="1"/>
  <c r="AF56" i="2"/>
  <c r="AH37" i="2"/>
  <c r="AF36" i="2"/>
  <c r="AF20" i="2"/>
  <c r="AF60" i="1"/>
  <c r="AH60" i="1" s="1"/>
  <c r="AF138" i="1"/>
  <c r="AI138" i="1" s="1"/>
  <c r="AM138" i="1" s="1"/>
  <c r="AF85" i="1"/>
  <c r="AH85" i="1" s="1"/>
  <c r="AF64" i="1"/>
  <c r="AH64" i="1" s="1"/>
  <c r="AF84" i="2"/>
  <c r="AF44" i="2"/>
  <c r="AH44" i="2" s="1"/>
  <c r="AF17" i="2"/>
  <c r="AF117" i="1"/>
  <c r="AI117" i="1" s="1"/>
  <c r="AM117" i="1" s="1"/>
  <c r="AF114" i="1"/>
  <c r="AH114" i="1" s="1"/>
  <c r="AF104" i="1"/>
  <c r="AF72" i="1"/>
  <c r="AH72" i="1" s="1"/>
  <c r="AF65" i="1"/>
  <c r="AH65" i="1" s="1"/>
  <c r="AF58" i="1"/>
  <c r="AH58" i="1" s="1"/>
  <c r="AF45" i="1"/>
  <c r="AI45" i="1" s="1"/>
  <c r="AM45" i="1" s="1"/>
  <c r="AF104" i="2"/>
  <c r="AH104" i="2" s="1"/>
  <c r="AF85" i="2"/>
  <c r="AF77" i="2"/>
  <c r="AF64" i="2"/>
  <c r="AF53" i="2"/>
  <c r="AF45" i="2"/>
  <c r="AF109" i="1"/>
  <c r="AI109" i="1" s="1"/>
  <c r="AM109" i="1" s="1"/>
  <c r="AF82" i="1"/>
  <c r="AH82" i="1" s="1"/>
  <c r="AF76" i="2"/>
  <c r="AI88" i="1"/>
  <c r="AM88" i="1" s="1"/>
  <c r="AF69" i="2"/>
  <c r="AF61" i="2"/>
  <c r="AF135" i="1"/>
  <c r="AI135" i="1" s="1"/>
  <c r="AM135" i="1" s="1"/>
  <c r="AF125" i="1"/>
  <c r="AH125" i="1" s="1"/>
  <c r="AF103" i="1"/>
  <c r="AH103" i="1" s="1"/>
  <c r="AF57" i="1"/>
  <c r="AI57" i="1" s="1"/>
  <c r="AM57" i="1" s="1"/>
  <c r="AF55" i="2"/>
  <c r="AF140" i="1"/>
  <c r="AI140" i="1" s="1"/>
  <c r="AM140" i="1" s="1"/>
  <c r="AF127" i="1"/>
  <c r="AI127" i="1" s="1"/>
  <c r="AM127" i="1" s="1"/>
  <c r="AF80" i="1"/>
  <c r="AF56" i="1"/>
  <c r="AH56" i="1" s="1"/>
  <c r="AF123" i="2"/>
  <c r="AH123" i="2" s="1"/>
  <c r="AM37" i="2"/>
  <c r="AF21" i="2"/>
  <c r="AH21" i="2" s="1"/>
  <c r="AF122" i="1"/>
  <c r="AI122" i="1" s="1"/>
  <c r="AM122" i="1" s="1"/>
  <c r="AF79" i="2"/>
  <c r="AF52" i="2"/>
  <c r="AF118" i="1"/>
  <c r="AI118" i="1" s="1"/>
  <c r="AM118" i="1" s="1"/>
  <c r="AF106" i="1"/>
  <c r="AH106" i="1" s="1"/>
  <c r="AF73" i="1"/>
  <c r="AI73" i="1" s="1"/>
  <c r="AM73" i="1" s="1"/>
  <c r="AF46" i="1"/>
  <c r="AH46" i="1" s="1"/>
  <c r="AF120" i="2"/>
  <c r="AH120" i="2" s="1"/>
  <c r="AF70" i="2"/>
  <c r="AF28" i="2"/>
  <c r="AF12" i="2"/>
  <c r="AH121" i="1"/>
  <c r="AI121" i="1"/>
  <c r="AM121" i="1" s="1"/>
  <c r="AI116" i="1"/>
  <c r="AM116" i="1" s="1"/>
  <c r="AH116" i="1"/>
  <c r="AH113" i="1"/>
  <c r="AI113" i="1"/>
  <c r="AM113" i="1" s="1"/>
  <c r="AH139" i="1"/>
  <c r="AI139" i="1"/>
  <c r="AM139" i="1" s="1"/>
  <c r="AH107" i="1"/>
  <c r="AI107" i="1"/>
  <c r="AM107" i="1" s="1"/>
  <c r="AH138" i="1"/>
  <c r="AH90" i="1"/>
  <c r="AI90" i="1"/>
  <c r="AM90" i="1" s="1"/>
  <c r="AH122" i="1"/>
  <c r="AF136" i="1"/>
  <c r="AH133" i="1"/>
  <c r="AF129" i="1"/>
  <c r="AH117" i="1"/>
  <c r="AI114" i="1"/>
  <c r="AM114" i="1" s="1"/>
  <c r="AI58" i="1"/>
  <c r="AM58" i="1" s="1"/>
  <c r="AH123" i="1"/>
  <c r="AF120" i="1"/>
  <c r="AH111" i="1"/>
  <c r="AH135" i="1"/>
  <c r="AF126" i="1"/>
  <c r="AF130" i="1"/>
  <c r="AH127" i="1"/>
  <c r="AF108" i="1"/>
  <c r="AI53" i="1"/>
  <c r="AM53" i="1" s="1"/>
  <c r="AH53" i="1"/>
  <c r="AH140" i="1"/>
  <c r="AF137" i="1"/>
  <c r="AH118" i="1"/>
  <c r="AI81" i="1"/>
  <c r="AM81" i="1" s="1"/>
  <c r="AH79" i="1"/>
  <c r="AI79" i="1"/>
  <c r="AM79" i="1" s="1"/>
  <c r="AH70" i="1"/>
  <c r="AF68" i="1"/>
  <c r="AH20" i="1"/>
  <c r="AI20" i="1"/>
  <c r="AM20" i="1" s="1"/>
  <c r="AH138" i="2"/>
  <c r="AI138" i="2"/>
  <c r="AM138" i="2" s="1"/>
  <c r="AI118" i="2"/>
  <c r="AM118" i="2" s="1"/>
  <c r="AH118" i="2"/>
  <c r="AI110" i="2"/>
  <c r="AM110" i="2" s="1"/>
  <c r="AH110" i="2"/>
  <c r="AH74" i="1"/>
  <c r="AI74" i="1"/>
  <c r="AM74" i="1" s="1"/>
  <c r="AF91" i="1"/>
  <c r="AF69" i="1"/>
  <c r="AF49" i="1"/>
  <c r="AH128" i="2"/>
  <c r="AI128" i="2"/>
  <c r="AM128" i="2" s="1"/>
  <c r="AI97" i="1"/>
  <c r="AM97" i="1" s="1"/>
  <c r="AH97" i="1"/>
  <c r="AI115" i="1"/>
  <c r="AM115" i="1" s="1"/>
  <c r="AF112" i="1"/>
  <c r="AF92" i="1"/>
  <c r="AH87" i="1"/>
  <c r="AI87" i="1"/>
  <c r="AM87" i="1" s="1"/>
  <c r="AI54" i="1"/>
  <c r="AM54" i="1" s="1"/>
  <c r="AH32" i="1"/>
  <c r="AI32" i="1"/>
  <c r="AM32" i="1" s="1"/>
  <c r="AI129" i="2"/>
  <c r="AM129" i="2" s="1"/>
  <c r="AH129" i="2"/>
  <c r="AH122" i="2"/>
  <c r="AI122" i="2"/>
  <c r="AM122" i="2" s="1"/>
  <c r="AH56" i="2"/>
  <c r="AI56" i="2"/>
  <c r="AM56" i="2" s="1"/>
  <c r="AH63" i="1"/>
  <c r="AI63" i="1"/>
  <c r="AM63" i="1" s="1"/>
  <c r="AH78" i="1"/>
  <c r="AF76" i="1"/>
  <c r="AF71" i="1"/>
  <c r="AF59" i="1"/>
  <c r="AF9" i="1"/>
  <c r="AH64" i="2"/>
  <c r="AI64" i="2"/>
  <c r="AM64" i="2" s="1"/>
  <c r="AH93" i="1"/>
  <c r="AI93" i="1"/>
  <c r="AM93" i="1" s="1"/>
  <c r="AI89" i="1"/>
  <c r="AM89" i="1" s="1"/>
  <c r="AH89" i="1"/>
  <c r="AH66" i="1"/>
  <c r="AH55" i="1"/>
  <c r="AI55" i="1"/>
  <c r="AM55" i="1" s="1"/>
  <c r="AI126" i="2"/>
  <c r="AM126" i="2" s="1"/>
  <c r="AH126" i="2"/>
  <c r="AI105" i="2"/>
  <c r="AM105" i="2" s="1"/>
  <c r="AH105" i="2"/>
  <c r="AH97" i="2"/>
  <c r="AI97" i="2"/>
  <c r="AM97" i="2" s="1"/>
  <c r="AH94" i="2"/>
  <c r="AI94" i="2"/>
  <c r="AM94" i="2" s="1"/>
  <c r="AF99" i="1"/>
  <c r="AF83" i="1"/>
  <c r="AF77" i="1"/>
  <c r="AI47" i="1"/>
  <c r="AM47" i="1" s="1"/>
  <c r="AH47" i="1"/>
  <c r="AI134" i="2"/>
  <c r="AM134" i="2" s="1"/>
  <c r="AH134" i="2"/>
  <c r="AH102" i="1"/>
  <c r="AF100" i="1"/>
  <c r="AF95" i="1"/>
  <c r="AH86" i="1"/>
  <c r="AF84" i="1"/>
  <c r="AF67" i="1"/>
  <c r="AF61" i="1"/>
  <c r="AI121" i="2"/>
  <c r="AM121" i="2" s="1"/>
  <c r="AH121" i="2"/>
  <c r="AH12" i="1"/>
  <c r="AI12" i="1"/>
  <c r="AM12" i="1" s="1"/>
  <c r="AF140" i="2"/>
  <c r="AH111" i="2"/>
  <c r="AI111" i="2"/>
  <c r="AM111" i="2" s="1"/>
  <c r="AH48" i="2"/>
  <c r="AI48" i="2"/>
  <c r="AM48" i="2" s="1"/>
  <c r="AF124" i="2"/>
  <c r="AI61" i="2"/>
  <c r="AM61" i="2" s="1"/>
  <c r="AH61" i="2"/>
  <c r="AH8" i="2"/>
  <c r="AI8" i="2"/>
  <c r="AM8" i="2" s="1"/>
  <c r="AF52" i="1"/>
  <c r="AF42" i="1"/>
  <c r="AF37" i="1"/>
  <c r="AF17" i="1"/>
  <c r="AA10" i="1"/>
  <c r="AB10" i="1" s="1"/>
  <c r="AF10" i="1" s="1"/>
  <c r="AA18" i="1"/>
  <c r="AB18" i="1" s="1"/>
  <c r="AF18" i="1" s="1"/>
  <c r="AA26" i="1"/>
  <c r="AB26" i="1" s="1"/>
  <c r="AA35" i="1"/>
  <c r="AB35" i="1" s="1"/>
  <c r="AF35" i="1" s="1"/>
  <c r="AA43" i="1"/>
  <c r="AB43" i="1" s="1"/>
  <c r="AA50" i="1"/>
  <c r="AB50" i="1" s="1"/>
  <c r="AF50" i="1" s="1"/>
  <c r="AA5" i="1"/>
  <c r="AB5" i="1" s="1"/>
  <c r="AF5" i="1" s="1"/>
  <c r="AA13" i="1"/>
  <c r="AB13" i="1" s="1"/>
  <c r="AF13" i="1" s="1"/>
  <c r="AA21" i="1"/>
  <c r="AB21" i="1" s="1"/>
  <c r="AF21" i="1" s="1"/>
  <c r="AA29" i="1"/>
  <c r="AB29" i="1" s="1"/>
  <c r="AF29" i="1" s="1"/>
  <c r="AA8" i="1"/>
  <c r="AB8" i="1" s="1"/>
  <c r="AF8" i="1" s="1"/>
  <c r="AA16" i="1"/>
  <c r="AB16" i="1" s="1"/>
  <c r="AF16" i="1" s="1"/>
  <c r="AA24" i="1"/>
  <c r="AB24" i="1" s="1"/>
  <c r="AF24" i="1" s="1"/>
  <c r="AA33" i="1"/>
  <c r="AB33" i="1" s="1"/>
  <c r="AF33" i="1" s="1"/>
  <c r="AA41" i="1"/>
  <c r="AB41" i="1" s="1"/>
  <c r="AF41" i="1" s="1"/>
  <c r="AA48" i="1"/>
  <c r="AB48" i="1" s="1"/>
  <c r="AF48" i="1" s="1"/>
  <c r="AA11" i="1"/>
  <c r="AB11" i="1" s="1"/>
  <c r="AF11" i="1" s="1"/>
  <c r="AA19" i="1"/>
  <c r="AB19" i="1" s="1"/>
  <c r="AF19" i="1" s="1"/>
  <c r="AA27" i="1"/>
  <c r="AB27" i="1" s="1"/>
  <c r="AF27" i="1" s="1"/>
  <c r="AA36" i="1"/>
  <c r="AB36" i="1" s="1"/>
  <c r="AF36" i="1" s="1"/>
  <c r="AA44" i="1"/>
  <c r="AB44" i="1" s="1"/>
  <c r="AF44" i="1" s="1"/>
  <c r="AA6" i="1"/>
  <c r="AB6" i="1" s="1"/>
  <c r="AF6" i="1" s="1"/>
  <c r="AA14" i="1"/>
  <c r="AB14" i="1" s="1"/>
  <c r="AF14" i="1" s="1"/>
  <c r="AA22" i="1"/>
  <c r="AB22" i="1" s="1"/>
  <c r="AF22" i="1" s="1"/>
  <c r="AA30" i="1"/>
  <c r="AB30" i="1" s="1"/>
  <c r="AF30" i="1" s="1"/>
  <c r="AA39" i="1"/>
  <c r="AB39" i="1" s="1"/>
  <c r="AF39" i="1" s="1"/>
  <c r="AA7" i="1"/>
  <c r="AB7" i="1" s="1"/>
  <c r="AF7" i="1" s="1"/>
  <c r="AA15" i="1"/>
  <c r="AB15" i="1" s="1"/>
  <c r="AF15" i="1" s="1"/>
  <c r="AA23" i="1"/>
  <c r="AB23" i="1" s="1"/>
  <c r="AF23" i="1" s="1"/>
  <c r="AA31" i="1"/>
  <c r="AB31" i="1" s="1"/>
  <c r="AF31" i="1" s="1"/>
  <c r="AA40" i="1"/>
  <c r="AB40" i="1" s="1"/>
  <c r="AF40" i="1" s="1"/>
  <c r="AI137" i="2"/>
  <c r="AM137" i="2" s="1"/>
  <c r="AH137" i="2"/>
  <c r="AF119" i="2"/>
  <c r="AF112" i="2"/>
  <c r="AF106" i="2"/>
  <c r="AF102" i="2"/>
  <c r="AF99" i="2"/>
  <c r="AH75" i="2"/>
  <c r="AI75" i="2"/>
  <c r="AM75" i="2" s="1"/>
  <c r="AH73" i="2"/>
  <c r="AI73" i="2"/>
  <c r="AM73" i="2" s="1"/>
  <c r="AH70" i="2"/>
  <c r="AI70" i="2"/>
  <c r="AM70" i="2" s="1"/>
  <c r="AF43" i="1"/>
  <c r="AF28" i="1"/>
  <c r="AA25" i="1"/>
  <c r="AB25" i="1" s="1"/>
  <c r="AF25" i="1" s="1"/>
  <c r="AI139" i="2"/>
  <c r="AM139" i="2" s="1"/>
  <c r="AF136" i="2"/>
  <c r="AH125" i="2"/>
  <c r="AI125" i="2"/>
  <c r="AM125" i="2" s="1"/>
  <c r="AF108" i="2"/>
  <c r="AH103" i="2"/>
  <c r="AI103" i="2"/>
  <c r="AM103" i="2" s="1"/>
  <c r="AH87" i="2"/>
  <c r="AI87" i="2"/>
  <c r="AM87" i="2" s="1"/>
  <c r="AH84" i="2"/>
  <c r="AI84" i="2"/>
  <c r="AM84" i="2" s="1"/>
  <c r="AH79" i="2"/>
  <c r="AI79" i="2"/>
  <c r="AM79" i="2" s="1"/>
  <c r="AI21" i="2"/>
  <c r="AM21" i="2" s="1"/>
  <c r="AF127" i="2"/>
  <c r="AH109" i="2"/>
  <c r="AI109" i="2"/>
  <c r="AM109" i="2" s="1"/>
  <c r="AI104" i="2"/>
  <c r="AM104" i="2" s="1"/>
  <c r="AH96" i="2"/>
  <c r="AI96" i="2"/>
  <c r="AM96" i="2" s="1"/>
  <c r="AH88" i="2"/>
  <c r="AI88" i="2"/>
  <c r="AM88" i="2" s="1"/>
  <c r="AH28" i="2"/>
  <c r="AI28" i="2"/>
  <c r="AM28" i="2" s="1"/>
  <c r="AF22" i="2"/>
  <c r="AF34" i="1"/>
  <c r="AF26" i="1"/>
  <c r="AH133" i="2"/>
  <c r="AI133" i="2"/>
  <c r="AM133" i="2" s="1"/>
  <c r="AF116" i="2"/>
  <c r="AH93" i="2"/>
  <c r="AH52" i="2"/>
  <c r="AI52" i="2"/>
  <c r="AM52" i="2" s="1"/>
  <c r="AH47" i="2"/>
  <c r="AI47" i="2"/>
  <c r="AM47" i="2" s="1"/>
  <c r="AH83" i="2"/>
  <c r="AI83" i="2"/>
  <c r="AM83" i="2" s="1"/>
  <c r="AH60" i="2"/>
  <c r="AI60" i="2"/>
  <c r="AM60" i="2" s="1"/>
  <c r="AH55" i="2"/>
  <c r="AI55" i="2"/>
  <c r="AM55" i="2" s="1"/>
  <c r="AH43" i="2"/>
  <c r="AI43" i="2"/>
  <c r="AM43" i="2" s="1"/>
  <c r="AH41" i="2"/>
  <c r="AI41" i="2"/>
  <c r="AM41" i="2" s="1"/>
  <c r="AH38" i="2"/>
  <c r="AI38" i="2"/>
  <c r="AM38" i="2" s="1"/>
  <c r="AH27" i="2"/>
  <c r="AI27" i="2"/>
  <c r="AM27" i="2" s="1"/>
  <c r="AH25" i="2"/>
  <c r="AI25" i="2"/>
  <c r="AM25" i="2" s="1"/>
  <c r="AH20" i="2"/>
  <c r="AI20" i="2"/>
  <c r="AM20" i="2" s="1"/>
  <c r="AH14" i="2"/>
  <c r="AI14" i="2"/>
  <c r="AM14" i="2" s="1"/>
  <c r="AH80" i="2"/>
  <c r="AI80" i="2"/>
  <c r="AM80" i="2" s="1"/>
  <c r="AH76" i="2"/>
  <c r="AI76" i="2"/>
  <c r="AM76" i="2" s="1"/>
  <c r="AF67" i="2"/>
  <c r="AF65" i="2"/>
  <c r="AF62" i="2"/>
  <c r="AF39" i="2"/>
  <c r="AF35" i="2"/>
  <c r="AF33" i="2"/>
  <c r="AH16" i="2"/>
  <c r="AI16" i="2"/>
  <c r="AM16" i="2" s="1"/>
  <c r="AF15" i="2"/>
  <c r="AF71" i="2"/>
  <c r="AH40" i="2"/>
  <c r="AI40" i="2"/>
  <c r="AM40" i="2" s="1"/>
  <c r="AF30" i="2"/>
  <c r="AF11" i="2"/>
  <c r="AF9" i="2"/>
  <c r="AF91" i="2"/>
  <c r="AH72" i="2"/>
  <c r="AI72" i="2"/>
  <c r="AM72" i="2" s="1"/>
  <c r="AH68" i="2"/>
  <c r="AI68" i="2"/>
  <c r="AM68" i="2" s="1"/>
  <c r="AF57" i="2"/>
  <c r="AF54" i="2"/>
  <c r="AH36" i="2"/>
  <c r="AI36" i="2"/>
  <c r="AM36" i="2" s="1"/>
  <c r="AF23" i="2"/>
  <c r="AF5" i="2"/>
  <c r="AF89" i="2"/>
  <c r="AF86" i="2"/>
  <c r="AF63" i="2"/>
  <c r="AF59" i="2"/>
  <c r="AF49" i="2"/>
  <c r="AF46" i="2"/>
  <c r="AF19" i="2"/>
  <c r="AH17" i="2"/>
  <c r="AI17" i="2"/>
  <c r="AM17" i="2" s="1"/>
  <c r="AH12" i="2"/>
  <c r="AI12" i="2"/>
  <c r="AM12" i="2" s="1"/>
  <c r="AF6" i="2"/>
  <c r="AF81" i="2"/>
  <c r="AF78" i="2"/>
  <c r="AF51" i="2"/>
  <c r="AH32" i="2"/>
  <c r="AI32" i="2"/>
  <c r="AM32" i="2" s="1"/>
  <c r="AF31" i="2"/>
  <c r="AI100" i="2" l="1"/>
  <c r="AM100" i="2" s="1"/>
  <c r="AI132" i="2"/>
  <c r="AM132" i="2" s="1"/>
  <c r="AI119" i="1"/>
  <c r="AM119" i="1" s="1"/>
  <c r="AI131" i="1"/>
  <c r="AM131" i="1" s="1"/>
  <c r="AH113" i="2"/>
  <c r="AI82" i="1"/>
  <c r="AM82" i="1" s="1"/>
  <c r="AI95" i="2"/>
  <c r="AM95" i="2" s="1"/>
  <c r="AH57" i="1"/>
  <c r="AI117" i="2"/>
  <c r="AM117" i="2" s="1"/>
  <c r="AH109" i="1"/>
  <c r="AI115" i="2"/>
  <c r="AM115" i="2" s="1"/>
  <c r="AI96" i="1"/>
  <c r="AM96" i="1" s="1"/>
  <c r="AH73" i="1"/>
  <c r="AI44" i="2"/>
  <c r="AM44" i="2" s="1"/>
  <c r="AI120" i="2"/>
  <c r="AM120" i="2" s="1"/>
  <c r="AH45" i="1"/>
  <c r="AI98" i="1"/>
  <c r="AM98" i="1" s="1"/>
  <c r="AI24" i="2"/>
  <c r="AM24" i="2" s="1"/>
  <c r="AI101" i="1"/>
  <c r="AM101" i="1" s="1"/>
  <c r="AI103" i="1"/>
  <c r="AM103" i="1" s="1"/>
  <c r="AH128" i="1"/>
  <c r="AI110" i="1"/>
  <c r="AM110" i="1" s="1"/>
  <c r="AI124" i="1"/>
  <c r="AM124" i="1" s="1"/>
  <c r="AI134" i="1"/>
  <c r="AM134" i="1" s="1"/>
  <c r="AI105" i="1"/>
  <c r="AM105" i="1" s="1"/>
  <c r="AI132" i="1"/>
  <c r="AM132" i="1" s="1"/>
  <c r="AI60" i="1"/>
  <c r="AM60" i="1" s="1"/>
  <c r="AI46" i="1"/>
  <c r="AM46" i="1" s="1"/>
  <c r="AI65" i="1"/>
  <c r="AM65" i="1" s="1"/>
  <c r="AH74" i="2"/>
  <c r="AI74" i="2"/>
  <c r="AM74" i="2" s="1"/>
  <c r="AH101" i="2"/>
  <c r="AI114" i="2"/>
  <c r="AM114" i="2" s="1"/>
  <c r="AH130" i="2"/>
  <c r="AI106" i="1"/>
  <c r="AM106" i="1" s="1"/>
  <c r="AH80" i="1"/>
  <c r="AI80" i="1"/>
  <c r="AM80" i="1" s="1"/>
  <c r="AH104" i="1"/>
  <c r="AI104" i="1"/>
  <c r="AM104" i="1" s="1"/>
  <c r="AI107" i="2"/>
  <c r="AM107" i="2" s="1"/>
  <c r="AH107" i="2"/>
  <c r="AI29" i="2"/>
  <c r="AM29" i="2" s="1"/>
  <c r="AH29" i="2"/>
  <c r="AI53" i="2"/>
  <c r="AM53" i="2" s="1"/>
  <c r="AH53" i="2"/>
  <c r="AI135" i="2"/>
  <c r="AM135" i="2" s="1"/>
  <c r="AI125" i="1"/>
  <c r="AM125" i="1" s="1"/>
  <c r="AI69" i="2"/>
  <c r="AM69" i="2" s="1"/>
  <c r="AH69" i="2"/>
  <c r="AI77" i="2"/>
  <c r="AM77" i="2" s="1"/>
  <c r="AH77" i="2"/>
  <c r="AI85" i="1"/>
  <c r="AM85" i="1" s="1"/>
  <c r="AI56" i="1"/>
  <c r="AM56" i="1" s="1"/>
  <c r="AI85" i="2"/>
  <c r="AM85" i="2" s="1"/>
  <c r="AH85" i="2"/>
  <c r="AH10" i="2"/>
  <c r="AI10" i="2"/>
  <c r="AM10" i="2" s="1"/>
  <c r="AI64" i="1"/>
  <c r="AM64" i="1" s="1"/>
  <c r="AI131" i="2"/>
  <c r="AM131" i="2" s="1"/>
  <c r="AH131" i="2"/>
  <c r="AH92" i="2"/>
  <c r="AI92" i="2"/>
  <c r="AM92" i="2" s="1"/>
  <c r="AI45" i="2"/>
  <c r="AM45" i="2" s="1"/>
  <c r="AH45" i="2"/>
  <c r="AH13" i="2"/>
  <c r="AI123" i="2"/>
  <c r="AM123" i="2" s="1"/>
  <c r="AI7" i="2"/>
  <c r="AM7" i="2" s="1"/>
  <c r="AH42" i="2"/>
  <c r="AI42" i="2"/>
  <c r="AM42" i="2" s="1"/>
  <c r="AH58" i="2"/>
  <c r="AI58" i="2"/>
  <c r="AM58" i="2" s="1"/>
  <c r="AI72" i="1"/>
  <c r="AM72" i="1" s="1"/>
  <c r="AH38" i="1"/>
  <c r="AI38" i="1"/>
  <c r="AM38" i="1" s="1"/>
  <c r="AH7" i="1"/>
  <c r="AI7" i="1"/>
  <c r="AM7" i="1" s="1"/>
  <c r="AH8" i="1"/>
  <c r="AI8" i="1"/>
  <c r="AM8" i="1" s="1"/>
  <c r="AI19" i="1"/>
  <c r="AM19" i="1" s="1"/>
  <c r="AH19" i="1"/>
  <c r="AI16" i="1"/>
  <c r="AM16" i="1" s="1"/>
  <c r="AH16" i="1"/>
  <c r="AI11" i="1"/>
  <c r="AM11" i="1" s="1"/>
  <c r="AH11" i="1"/>
  <c r="AH15" i="1"/>
  <c r="AI15" i="1"/>
  <c r="AM15" i="1" s="1"/>
  <c r="AH48" i="1"/>
  <c r="AI48" i="1"/>
  <c r="AM48" i="1" s="1"/>
  <c r="AH13" i="1"/>
  <c r="AI13" i="1"/>
  <c r="AM13" i="1" s="1"/>
  <c r="AH25" i="1"/>
  <c r="AI25" i="1"/>
  <c r="AM25" i="1" s="1"/>
  <c r="AH40" i="1"/>
  <c r="AI40" i="1"/>
  <c r="AM40" i="1" s="1"/>
  <c r="AI41" i="1"/>
  <c r="AM41" i="1" s="1"/>
  <c r="AH41" i="1"/>
  <c r="AH5" i="1"/>
  <c r="AI5" i="1"/>
  <c r="AM5" i="1" s="1"/>
  <c r="AH31" i="1"/>
  <c r="AI31" i="1"/>
  <c r="AM31" i="1" s="1"/>
  <c r="AH50" i="1"/>
  <c r="AI50" i="1"/>
  <c r="AM50" i="1" s="1"/>
  <c r="AH34" i="1"/>
  <c r="AI34" i="1"/>
  <c r="AM34" i="1" s="1"/>
  <c r="AH83" i="1"/>
  <c r="AI83" i="1"/>
  <c r="AM83" i="1" s="1"/>
  <c r="AH63" i="2"/>
  <c r="AI63" i="2"/>
  <c r="AM63" i="2" s="1"/>
  <c r="AH91" i="2"/>
  <c r="AI91" i="2"/>
  <c r="AM91" i="2" s="1"/>
  <c r="AH22" i="2"/>
  <c r="AI22" i="2"/>
  <c r="AM22" i="2" s="1"/>
  <c r="AI14" i="1"/>
  <c r="AM14" i="1" s="1"/>
  <c r="AH14" i="1"/>
  <c r="AH99" i="1"/>
  <c r="AI99" i="1"/>
  <c r="AM99" i="1" s="1"/>
  <c r="AH92" i="1"/>
  <c r="AI92" i="1"/>
  <c r="AM92" i="1" s="1"/>
  <c r="AH129" i="1"/>
  <c r="AI129" i="1"/>
  <c r="AM129" i="1" s="1"/>
  <c r="AH35" i="1"/>
  <c r="AI35" i="1"/>
  <c r="AM35" i="1" s="1"/>
  <c r="AH31" i="2"/>
  <c r="AI31" i="2"/>
  <c r="AM31" i="2" s="1"/>
  <c r="AH86" i="2"/>
  <c r="AI86" i="2"/>
  <c r="AM86" i="2" s="1"/>
  <c r="AH9" i="2"/>
  <c r="AI9" i="2"/>
  <c r="AM9" i="2" s="1"/>
  <c r="AH108" i="2"/>
  <c r="AI108" i="2"/>
  <c r="AM108" i="2" s="1"/>
  <c r="AH28" i="1"/>
  <c r="AI28" i="1"/>
  <c r="AM28" i="1" s="1"/>
  <c r="AH99" i="2"/>
  <c r="AI99" i="2"/>
  <c r="AM99" i="2" s="1"/>
  <c r="AI6" i="1"/>
  <c r="AM6" i="1" s="1"/>
  <c r="AH6" i="1"/>
  <c r="AH17" i="1"/>
  <c r="AI17" i="1"/>
  <c r="AM17" i="1" s="1"/>
  <c r="AH95" i="1"/>
  <c r="AI95" i="1"/>
  <c r="AM95" i="1" s="1"/>
  <c r="AH76" i="1"/>
  <c r="AI76" i="1"/>
  <c r="AM76" i="1" s="1"/>
  <c r="AH137" i="1"/>
  <c r="AI137" i="1"/>
  <c r="AM137" i="1" s="1"/>
  <c r="AI120" i="1"/>
  <c r="AM120" i="1" s="1"/>
  <c r="AH120" i="1"/>
  <c r="AH67" i="2"/>
  <c r="AI67" i="2"/>
  <c r="AM67" i="2" s="1"/>
  <c r="AH24" i="1"/>
  <c r="AI24" i="1"/>
  <c r="AM24" i="1" s="1"/>
  <c r="AH10" i="1"/>
  <c r="AI10" i="1"/>
  <c r="AM10" i="1" s="1"/>
  <c r="AH89" i="2"/>
  <c r="AI89" i="2"/>
  <c r="AM89" i="2" s="1"/>
  <c r="AH54" i="2"/>
  <c r="AI54" i="2"/>
  <c r="AM54" i="2" s="1"/>
  <c r="AH11" i="2"/>
  <c r="AI11" i="2"/>
  <c r="AM11" i="2" s="1"/>
  <c r="AH33" i="2"/>
  <c r="AI33" i="2"/>
  <c r="AM33" i="2" s="1"/>
  <c r="AH116" i="2"/>
  <c r="AI116" i="2"/>
  <c r="AM116" i="2" s="1"/>
  <c r="AH43" i="1"/>
  <c r="AI43" i="1"/>
  <c r="AM43" i="1" s="1"/>
  <c r="AI102" i="2"/>
  <c r="AM102" i="2" s="1"/>
  <c r="AH102" i="2"/>
  <c r="AI44" i="1"/>
  <c r="AM44" i="1" s="1"/>
  <c r="AH44" i="1"/>
  <c r="AI37" i="1"/>
  <c r="AM37" i="1" s="1"/>
  <c r="AH37" i="1"/>
  <c r="AH9" i="1"/>
  <c r="AI9" i="1"/>
  <c r="AM9" i="1" s="1"/>
  <c r="AI108" i="1"/>
  <c r="AM108" i="1" s="1"/>
  <c r="AH108" i="1"/>
  <c r="AH126" i="1"/>
  <c r="AI126" i="1"/>
  <c r="AM126" i="1" s="1"/>
  <c r="AH59" i="2"/>
  <c r="AI59" i="2"/>
  <c r="AM59" i="2" s="1"/>
  <c r="AH15" i="2"/>
  <c r="AI15" i="2"/>
  <c r="AM15" i="2" s="1"/>
  <c r="AH23" i="1"/>
  <c r="AI23" i="1"/>
  <c r="AM23" i="1" s="1"/>
  <c r="AI5" i="2"/>
  <c r="AM5" i="2" s="1"/>
  <c r="AH5" i="2"/>
  <c r="AH57" i="2"/>
  <c r="AI57" i="2"/>
  <c r="AM57" i="2" s="1"/>
  <c r="AH30" i="2"/>
  <c r="AI30" i="2"/>
  <c r="AM30" i="2" s="1"/>
  <c r="AH35" i="2"/>
  <c r="AI35" i="2"/>
  <c r="AM35" i="2" s="1"/>
  <c r="AH18" i="1"/>
  <c r="AI18" i="1"/>
  <c r="AM18" i="1" s="1"/>
  <c r="AH106" i="2"/>
  <c r="AI106" i="2"/>
  <c r="AM106" i="2" s="1"/>
  <c r="AI36" i="1"/>
  <c r="AM36" i="1" s="1"/>
  <c r="AH36" i="1"/>
  <c r="AH140" i="2"/>
  <c r="AI140" i="2"/>
  <c r="AM140" i="2" s="1"/>
  <c r="AH100" i="1"/>
  <c r="AI100" i="1"/>
  <c r="AM100" i="1" s="1"/>
  <c r="AI112" i="1"/>
  <c r="AM112" i="1" s="1"/>
  <c r="AH112" i="1"/>
  <c r="AH49" i="1"/>
  <c r="AI49" i="1"/>
  <c r="AM49" i="1" s="1"/>
  <c r="AI136" i="1"/>
  <c r="AM136" i="1" s="1"/>
  <c r="AH136" i="1"/>
  <c r="AI22" i="1"/>
  <c r="AM22" i="1" s="1"/>
  <c r="AH22" i="1"/>
  <c r="AH84" i="1"/>
  <c r="AI84" i="1"/>
  <c r="AM84" i="1" s="1"/>
  <c r="AH71" i="1"/>
  <c r="AI71" i="1"/>
  <c r="AM71" i="1" s="1"/>
  <c r="AH51" i="2"/>
  <c r="AI51" i="2"/>
  <c r="AM51" i="2" s="1"/>
  <c r="AH19" i="2"/>
  <c r="AI19" i="2"/>
  <c r="AM19" i="2" s="1"/>
  <c r="AH39" i="2"/>
  <c r="AI39" i="2"/>
  <c r="AM39" i="2" s="1"/>
  <c r="AH21" i="1"/>
  <c r="AI21" i="1"/>
  <c r="AM21" i="1" s="1"/>
  <c r="AH112" i="2"/>
  <c r="AI112" i="2"/>
  <c r="AM112" i="2" s="1"/>
  <c r="AI27" i="1"/>
  <c r="AM27" i="1" s="1"/>
  <c r="AH27" i="1"/>
  <c r="AH42" i="1"/>
  <c r="AI42" i="1"/>
  <c r="AM42" i="1" s="1"/>
  <c r="AH61" i="1"/>
  <c r="AI61" i="1"/>
  <c r="AM61" i="1" s="1"/>
  <c r="AH69" i="1"/>
  <c r="AI69" i="1"/>
  <c r="AM69" i="1" s="1"/>
  <c r="AH6" i="2"/>
  <c r="AI6" i="2"/>
  <c r="AM6" i="2" s="1"/>
  <c r="AH78" i="2"/>
  <c r="AI78" i="2"/>
  <c r="AM78" i="2" s="1"/>
  <c r="AH46" i="2"/>
  <c r="AI46" i="2"/>
  <c r="AM46" i="2" s="1"/>
  <c r="AH23" i="2"/>
  <c r="AI23" i="2"/>
  <c r="AM23" i="2" s="1"/>
  <c r="AH62" i="2"/>
  <c r="AI62" i="2"/>
  <c r="AM62" i="2" s="1"/>
  <c r="AH26" i="1"/>
  <c r="AI26" i="1"/>
  <c r="AM26" i="1" s="1"/>
  <c r="AH127" i="2"/>
  <c r="AI127" i="2"/>
  <c r="AM127" i="2" s="1"/>
  <c r="AH136" i="2"/>
  <c r="AI136" i="2"/>
  <c r="AM136" i="2" s="1"/>
  <c r="AH119" i="2"/>
  <c r="AI119" i="2"/>
  <c r="AM119" i="2" s="1"/>
  <c r="AI39" i="1"/>
  <c r="AM39" i="1" s="1"/>
  <c r="AH39" i="1"/>
  <c r="AI52" i="1"/>
  <c r="AM52" i="1" s="1"/>
  <c r="AH52" i="1"/>
  <c r="AH67" i="1"/>
  <c r="AI67" i="1"/>
  <c r="AM67" i="1" s="1"/>
  <c r="AI91" i="1"/>
  <c r="AM91" i="1" s="1"/>
  <c r="AH91" i="1"/>
  <c r="AH68" i="1"/>
  <c r="AI68" i="1"/>
  <c r="AM68" i="1" s="1"/>
  <c r="AI130" i="1"/>
  <c r="AM130" i="1" s="1"/>
  <c r="AH130" i="1"/>
  <c r="AH81" i="2"/>
  <c r="AI81" i="2"/>
  <c r="AM81" i="2" s="1"/>
  <c r="AH49" i="2"/>
  <c r="AI49" i="2"/>
  <c r="AM49" i="2" s="1"/>
  <c r="AH71" i="2"/>
  <c r="AI71" i="2"/>
  <c r="AM71" i="2" s="1"/>
  <c r="AH65" i="2"/>
  <c r="AI65" i="2"/>
  <c r="AM65" i="2" s="1"/>
  <c r="AH29" i="1"/>
  <c r="AI29" i="1"/>
  <c r="AM29" i="1" s="1"/>
  <c r="AH33" i="1"/>
  <c r="AI33" i="1"/>
  <c r="AM33" i="1" s="1"/>
  <c r="AI30" i="1"/>
  <c r="AM30" i="1" s="1"/>
  <c r="AH30" i="1"/>
  <c r="AH124" i="2"/>
  <c r="AI124" i="2"/>
  <c r="AM124" i="2" s="1"/>
  <c r="AH77" i="1"/>
  <c r="AI77" i="1"/>
  <c r="AM77" i="1" s="1"/>
  <c r="AI59" i="1"/>
  <c r="AM59" i="1" s="1"/>
  <c r="AH59" i="1"/>
</calcChain>
</file>

<file path=xl/sharedStrings.xml><?xml version="1.0" encoding="utf-8"?>
<sst xmlns="http://schemas.openxmlformats.org/spreadsheetml/2006/main" count="877" uniqueCount="529">
  <si>
    <t>세진종합이엔씨(단독)</t>
    <phoneticPr fontId="3" type="noConversion"/>
  </si>
  <si>
    <t>삼송이랑 협정한다함</t>
    <phoneticPr fontId="3" type="noConversion"/>
  </si>
  <si>
    <t>현대엘리베이터_박성균</t>
    <phoneticPr fontId="3" type="noConversion"/>
  </si>
  <si>
    <t>명성이엔씨_박성균</t>
    <phoneticPr fontId="3" type="noConversion"/>
  </si>
  <si>
    <t>빛탑건설_윤명숙</t>
    <phoneticPr fontId="3" type="noConversion"/>
  </si>
  <si>
    <t>상원_윤명숙</t>
    <phoneticPr fontId="3" type="noConversion"/>
  </si>
  <si>
    <t>세지엔지니어링_윤명숙</t>
    <phoneticPr fontId="3" type="noConversion"/>
  </si>
  <si>
    <t>원전력공사_윤명숙</t>
    <phoneticPr fontId="3" type="noConversion"/>
  </si>
  <si>
    <t>선유라이팅_윤명숙</t>
    <phoneticPr fontId="3" type="noConversion"/>
  </si>
  <si>
    <t>성온전설_이동훈</t>
    <phoneticPr fontId="3" type="noConversion"/>
  </si>
  <si>
    <t>광동전력_이동훈</t>
    <phoneticPr fontId="3" type="noConversion"/>
  </si>
  <si>
    <t>경동이앤지_이동훈</t>
    <phoneticPr fontId="3" type="noConversion"/>
  </si>
  <si>
    <t>대명_이동훈</t>
    <phoneticPr fontId="3" type="noConversion"/>
  </si>
  <si>
    <t>태광전기공사_이동훈</t>
    <phoneticPr fontId="3" type="noConversion"/>
  </si>
  <si>
    <t>인텍에프에이_이동훈</t>
    <phoneticPr fontId="3" type="noConversion"/>
  </si>
  <si>
    <t>마스타전력_이동훈</t>
    <phoneticPr fontId="3" type="noConversion"/>
  </si>
  <si>
    <t>태성전설_이동훈</t>
    <phoneticPr fontId="3" type="noConversion"/>
  </si>
  <si>
    <t>동진전설_이동훈</t>
    <phoneticPr fontId="3" type="noConversion"/>
  </si>
  <si>
    <t>동일전기_이동훈</t>
    <phoneticPr fontId="3" type="noConversion"/>
  </si>
  <si>
    <t>디엑스비전_이동훈</t>
    <phoneticPr fontId="3" type="noConversion"/>
  </si>
  <si>
    <t>세영이앤씨_이동훈</t>
    <phoneticPr fontId="3" type="noConversion"/>
  </si>
  <si>
    <t>세명건설_이동훈</t>
    <phoneticPr fontId="3" type="noConversion"/>
  </si>
  <si>
    <t>극동전력_김희준</t>
    <phoneticPr fontId="3" type="noConversion"/>
  </si>
  <si>
    <t>부국전력통신공사_김희준</t>
    <phoneticPr fontId="3" type="noConversion"/>
  </si>
  <si>
    <t>수성전설_김희준</t>
    <phoneticPr fontId="3" type="noConversion"/>
  </si>
  <si>
    <t>수지전기_김희준</t>
    <phoneticPr fontId="3" type="noConversion"/>
  </si>
  <si>
    <t>청수씨앤씨_김희준</t>
    <phoneticPr fontId="3" type="noConversion"/>
  </si>
  <si>
    <t>수영전기공사_김희준</t>
    <phoneticPr fontId="3" type="noConversion"/>
  </si>
  <si>
    <t>성광전기_김희준</t>
    <phoneticPr fontId="3" type="noConversion"/>
  </si>
  <si>
    <t>녹십자이엠_유형민</t>
    <phoneticPr fontId="3" type="noConversion"/>
  </si>
  <si>
    <t>은성산업_유형민</t>
    <phoneticPr fontId="3" type="noConversion"/>
  </si>
  <si>
    <t>일광이앤씨</t>
    <phoneticPr fontId="3" type="noConversion"/>
  </si>
  <si>
    <t>건화티에스_윤명숙</t>
    <phoneticPr fontId="3" type="noConversion"/>
  </si>
  <si>
    <t>대원전력공사_윤명숙
(1공구만)</t>
    <phoneticPr fontId="3" type="noConversion"/>
  </si>
  <si>
    <t>화인이앤텍_김희준</t>
    <phoneticPr fontId="3" type="noConversion"/>
  </si>
  <si>
    <t>삼영플랜트</t>
    <phoneticPr fontId="3" type="noConversion"/>
  </si>
  <si>
    <t>우주전기통신_김희준</t>
    <phoneticPr fontId="3" type="noConversion"/>
  </si>
  <si>
    <t>개성건설_유형민</t>
    <phoneticPr fontId="3" type="noConversion"/>
  </si>
  <si>
    <t>길리_김희준</t>
    <phoneticPr fontId="3" type="noConversion"/>
  </si>
  <si>
    <t>김호건설_이동훈</t>
    <phoneticPr fontId="3" type="noConversion"/>
  </si>
  <si>
    <t>대륙전기_김희준</t>
    <phoneticPr fontId="3" type="noConversion"/>
  </si>
  <si>
    <t>김호이앤씨_이동훈</t>
    <phoneticPr fontId="3" type="noConversion"/>
  </si>
  <si>
    <t>건영전기_김희준</t>
    <phoneticPr fontId="3" type="noConversion"/>
  </si>
  <si>
    <t>토양전력_윤명숙</t>
    <phoneticPr fontId="3" type="noConversion"/>
  </si>
  <si>
    <t>구평전력_김희준</t>
    <phoneticPr fontId="3" type="noConversion"/>
  </si>
  <si>
    <t>대명지이씨</t>
    <phoneticPr fontId="3" type="noConversion"/>
  </si>
  <si>
    <t>설봉전기_김희준</t>
    <phoneticPr fontId="3" type="noConversion"/>
  </si>
  <si>
    <t>대명에너지</t>
    <phoneticPr fontId="3" type="noConversion"/>
  </si>
  <si>
    <t>신우이엔아이</t>
    <phoneticPr fontId="3" type="noConversion"/>
  </si>
  <si>
    <t>대한종합산전</t>
    <phoneticPr fontId="3" type="noConversion"/>
  </si>
  <si>
    <t>파르이앤씨_김장섭</t>
    <phoneticPr fontId="3" type="noConversion"/>
  </si>
  <si>
    <t>엠라이테크</t>
    <phoneticPr fontId="3" type="noConversion"/>
  </si>
  <si>
    <t>경우전기</t>
    <phoneticPr fontId="3" type="noConversion"/>
  </si>
  <si>
    <t>거산전력_김희준</t>
    <phoneticPr fontId="3" type="noConversion"/>
  </si>
  <si>
    <t>부현전기</t>
    <phoneticPr fontId="3" type="noConversion"/>
  </si>
  <si>
    <t>다온기전_김희준</t>
    <phoneticPr fontId="3" type="noConversion"/>
  </si>
  <si>
    <t>효우테크_김장섭</t>
    <phoneticPr fontId="3" type="noConversion"/>
  </si>
  <si>
    <t>일렉파워</t>
    <phoneticPr fontId="3" type="noConversion"/>
  </si>
  <si>
    <t>국보엔지니어링_김희준</t>
    <phoneticPr fontId="3" type="noConversion"/>
  </si>
  <si>
    <t>하나전기_김기성</t>
    <phoneticPr fontId="3" type="noConversion"/>
  </si>
  <si>
    <t>혜안이엔씨_김기성</t>
    <phoneticPr fontId="3" type="noConversion"/>
  </si>
  <si>
    <t>남양계전202-81-36758</t>
    <phoneticPr fontId="3" type="noConversion"/>
  </si>
  <si>
    <t>코레일테크</t>
    <phoneticPr fontId="3" type="noConversion"/>
  </si>
  <si>
    <t>다현정보통신_박성균</t>
    <phoneticPr fontId="3" type="noConversion"/>
  </si>
  <si>
    <t>왕선전설_이동훈</t>
    <phoneticPr fontId="3" type="noConversion"/>
  </si>
  <si>
    <t>에스지씨이앤씨</t>
    <phoneticPr fontId="3" type="noConversion"/>
  </si>
  <si>
    <t>엔케이이엔씨_나의상</t>
    <phoneticPr fontId="3" type="noConversion"/>
  </si>
  <si>
    <t>성전사</t>
    <phoneticPr fontId="3" type="noConversion"/>
  </si>
  <si>
    <t>벽산전기_이동훈</t>
    <phoneticPr fontId="3" type="noConversion"/>
  </si>
  <si>
    <t>케이비에스비즈니스_박성균</t>
    <phoneticPr fontId="3" type="noConversion"/>
  </si>
  <si>
    <t>송원이앤씨_이동훈</t>
    <phoneticPr fontId="3" type="noConversion"/>
  </si>
  <si>
    <t>정준BBB
8/6</t>
    <phoneticPr fontId="3" type="noConversion"/>
  </si>
  <si>
    <t>도원이엔아이128-81-72024</t>
    <phoneticPr fontId="3" type="noConversion"/>
  </si>
  <si>
    <t>코원건설_유형민</t>
    <phoneticPr fontId="3" type="noConversion"/>
  </si>
  <si>
    <t>정준테크_이동훈</t>
    <phoneticPr fontId="3" type="noConversion"/>
  </si>
  <si>
    <t>알림</t>
    <phoneticPr fontId="3" type="noConversion"/>
  </si>
  <si>
    <t>도화엔지니어링</t>
    <phoneticPr fontId="3" type="noConversion"/>
  </si>
  <si>
    <t>성은전기_김희준</t>
    <phoneticPr fontId="3" type="noConversion"/>
  </si>
  <si>
    <t>지음쏠라테크</t>
    <phoneticPr fontId="3" type="noConversion"/>
  </si>
  <si>
    <t>대광건영</t>
    <phoneticPr fontId="3" type="noConversion"/>
  </si>
  <si>
    <t>에코엠이엔씨</t>
    <phoneticPr fontId="3" type="noConversion"/>
  </si>
  <si>
    <t>우진일렉트</t>
    <phoneticPr fontId="3" type="noConversion"/>
  </si>
  <si>
    <t>대흥디씨티</t>
    <phoneticPr fontId="3" type="noConversion"/>
  </si>
  <si>
    <t>아람이엔테크</t>
    <phoneticPr fontId="3" type="noConversion"/>
  </si>
  <si>
    <t>지음이엔아이</t>
    <phoneticPr fontId="3" type="noConversion"/>
  </si>
  <si>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</si>
  <si>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</si>
  <si>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</si>
  <si>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</si>
  <si>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</t>
    <phoneticPr fontId="3" type="noConversion"/>
  </si>
  <si>
    <t>하도및자재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</si>
  <si>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</si>
  <si>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</si>
  <si>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</si>
  <si>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</si>
  <si>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</si>
  <si>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</si>
  <si>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</si>
  <si>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
점수</t>
    <phoneticPr fontId="3" type="noConversion"/>
  </si>
  <si>
    <t>경영          (15점만점)</t>
    <phoneticPr fontId="3" type="noConversion"/>
  </si>
  <si>
    <t>구성원1</t>
    <phoneticPr fontId="3" type="noConversion"/>
  </si>
  <si>
    <t>비고</t>
    <phoneticPr fontId="3" type="noConversion"/>
  </si>
  <si>
    <t>구성원4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</si>
  <si>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</si>
  <si>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</si>
  <si>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</si>
  <si>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</si>
  <si>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</si>
  <si>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</si>
  <si>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</si>
  <si>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</si>
  <si>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</si>
  <si>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</si>
  <si>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</si>
  <si>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</si>
  <si>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x0.3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</si>
  <si>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</si>
  <si>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</si>
  <si>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</si>
  <si>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</si>
  <si>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</si>
  <si>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</si>
  <si>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</si>
  <si>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시공능력제한</t>
    <phoneticPr fontId="3" type="noConversion"/>
  </si>
  <si>
    <t>2025.08.06</t>
    <phoneticPr fontId="3" type="noConversion"/>
  </si>
  <si>
    <t>※입찰참가자격 : 시공능력평가액이 8,735,030,000원 이상인 업체 (단순합산)</t>
    <phoneticPr fontId="3" type="noConversion"/>
  </si>
  <si>
    <t>입찰</t>
    <phoneticPr fontId="3" type="noConversion"/>
  </si>
  <si>
    <t>5년2배수</t>
    <phoneticPr fontId="3" type="noConversion"/>
  </si>
  <si>
    <t>실적  만점</t>
    <phoneticPr fontId="3" type="noConversion"/>
  </si>
  <si>
    <t>설계금액</t>
    <phoneticPr fontId="3" type="noConversion"/>
  </si>
  <si>
    <t>경기의무30%, 5개사</t>
    <phoneticPr fontId="3" type="noConversion"/>
  </si>
  <si>
    <t>202507696 [긴급]고속국도 제50호선 영동선(안산~북수원) 전기공사(제1공구)</t>
    <phoneticPr fontId="3" type="noConversion"/>
  </si>
  <si>
    <t>시공능력제한</t>
    <phoneticPr fontId="3" type="noConversion"/>
  </si>
  <si>
    <t>추정가격</t>
    <phoneticPr fontId="3" type="noConversion"/>
  </si>
  <si>
    <t>세진종합이엔씨(단독)</t>
    <phoneticPr fontId="3" type="noConversion"/>
  </si>
  <si>
    <t>삼송이랑 협정한다함</t>
    <phoneticPr fontId="3" type="noConversion"/>
  </si>
  <si>
    <t>현대엘리베이터_박성균</t>
    <phoneticPr fontId="3" type="noConversion"/>
  </si>
  <si>
    <t>빛탑건설_윤명숙</t>
    <phoneticPr fontId="3" type="noConversion"/>
  </si>
  <si>
    <t>상원_윤명숙</t>
    <phoneticPr fontId="3" type="noConversion"/>
  </si>
  <si>
    <t>세지엔지니어링_윤명숙</t>
    <phoneticPr fontId="3" type="noConversion"/>
  </si>
  <si>
    <t>원전력공사_윤명숙</t>
    <phoneticPr fontId="3" type="noConversion"/>
  </si>
  <si>
    <t>선유라이팅_윤명숙</t>
    <phoneticPr fontId="3" type="noConversion"/>
  </si>
  <si>
    <t>성온전설_이동훈</t>
    <phoneticPr fontId="3" type="noConversion"/>
  </si>
  <si>
    <t>광동전력_이동훈</t>
    <phoneticPr fontId="3" type="noConversion"/>
  </si>
  <si>
    <t>대명_이동훈</t>
    <phoneticPr fontId="3" type="noConversion"/>
  </si>
  <si>
    <t>태광전기공사_이동훈</t>
    <phoneticPr fontId="3" type="noConversion"/>
  </si>
  <si>
    <t>마스타전력_이동훈</t>
    <phoneticPr fontId="3" type="noConversion"/>
  </si>
  <si>
    <t>태성전설_이동훈</t>
    <phoneticPr fontId="3" type="noConversion"/>
  </si>
  <si>
    <t>동진전설_이동훈</t>
    <phoneticPr fontId="3" type="noConversion"/>
  </si>
  <si>
    <t>동일전기_이동훈</t>
    <phoneticPr fontId="3" type="noConversion"/>
  </si>
  <si>
    <t>극동전력_김희준</t>
    <phoneticPr fontId="3" type="noConversion"/>
  </si>
  <si>
    <t>수성전설_김희준</t>
    <phoneticPr fontId="3" type="noConversion"/>
  </si>
  <si>
    <t>수지전기_김희준</t>
    <phoneticPr fontId="3" type="noConversion"/>
  </si>
  <si>
    <t>은성산업_유형민</t>
    <phoneticPr fontId="3" type="noConversion"/>
  </si>
  <si>
    <t>부국전력통신공사_김희준</t>
    <phoneticPr fontId="3" type="noConversion"/>
  </si>
  <si>
    <t>렉터슨</t>
    <phoneticPr fontId="3" type="noConversion"/>
  </si>
  <si>
    <t>일광이앤씨</t>
    <phoneticPr fontId="3" type="noConversion"/>
  </si>
  <si>
    <t>세영이앤씨_이동훈</t>
    <phoneticPr fontId="3" type="noConversion"/>
  </si>
  <si>
    <t>동원테크_조세희</t>
    <phoneticPr fontId="3" type="noConversion"/>
  </si>
  <si>
    <t>혜안이엔씨_김기성</t>
    <phoneticPr fontId="3" type="noConversion"/>
  </si>
  <si>
    <t>현대엠테크</t>
    <phoneticPr fontId="3" type="noConversion"/>
  </si>
  <si>
    <t>삼영플랜트</t>
    <phoneticPr fontId="3" type="noConversion"/>
  </si>
  <si>
    <t>태임전설</t>
    <phoneticPr fontId="3" type="noConversion"/>
  </si>
  <si>
    <t>토양전력_윤명숙</t>
    <phoneticPr fontId="3" type="noConversion"/>
  </si>
  <si>
    <t>보원엔지니어링_이재웅</t>
    <phoneticPr fontId="3" type="noConversion"/>
  </si>
  <si>
    <t>개성단독
2공구도
협정하라함</t>
    <phoneticPr fontId="3" type="noConversion"/>
  </si>
  <si>
    <t>개성건설_유형민</t>
    <phoneticPr fontId="3" type="noConversion"/>
  </si>
  <si>
    <t>경동이앤지_이동훈</t>
    <phoneticPr fontId="3" type="noConversion"/>
  </si>
  <si>
    <t>케이비에스비즈니스_박성균</t>
    <phoneticPr fontId="3" type="noConversion"/>
  </si>
  <si>
    <t>김호이앤씨_이동훈</t>
    <phoneticPr fontId="3" type="noConversion"/>
  </si>
  <si>
    <t>성전사</t>
    <phoneticPr fontId="3" type="noConversion"/>
  </si>
  <si>
    <t>김호건설_이동훈</t>
    <phoneticPr fontId="3" type="noConversion"/>
  </si>
  <si>
    <t>청수씨앤씨_김희준</t>
    <phoneticPr fontId="3" type="noConversion"/>
  </si>
  <si>
    <t>건화티에스_윤명숙</t>
    <phoneticPr fontId="3" type="noConversion"/>
  </si>
  <si>
    <t>세명건설_이동훈</t>
    <phoneticPr fontId="3" type="noConversion"/>
  </si>
  <si>
    <t>화인이앤텍_김희준</t>
    <phoneticPr fontId="3" type="noConversion"/>
  </si>
  <si>
    <t>신우이엔아이</t>
    <phoneticPr fontId="3" type="noConversion"/>
  </si>
  <si>
    <t>우주전기통신_김희준</t>
    <phoneticPr fontId="3" type="noConversion"/>
  </si>
  <si>
    <t>인텍에프에이_이동훈</t>
    <phoneticPr fontId="3" type="noConversion"/>
  </si>
  <si>
    <t>길리_김희준</t>
    <phoneticPr fontId="3" type="noConversion"/>
  </si>
  <si>
    <t>엠라이테크</t>
    <phoneticPr fontId="3" type="noConversion"/>
  </si>
  <si>
    <t>대륙전기_김희준</t>
    <phoneticPr fontId="3" type="noConversion"/>
  </si>
  <si>
    <t>이엘케이</t>
    <phoneticPr fontId="3" type="noConversion"/>
  </si>
  <si>
    <t>건영전기_김희준</t>
    <phoneticPr fontId="3" type="noConversion"/>
  </si>
  <si>
    <t>디엑스비전_이동훈</t>
    <phoneticPr fontId="3" type="noConversion"/>
  </si>
  <si>
    <t>구평전력_김희준</t>
    <phoneticPr fontId="3" type="noConversion"/>
  </si>
  <si>
    <t>대명지이씨</t>
    <phoneticPr fontId="3" type="noConversion"/>
  </si>
  <si>
    <t>설봉전기_김희준</t>
    <phoneticPr fontId="3" type="noConversion"/>
  </si>
  <si>
    <t>대명에너지</t>
    <phoneticPr fontId="3" type="noConversion"/>
  </si>
  <si>
    <t>태경_조세희</t>
    <phoneticPr fontId="3" type="noConversion"/>
  </si>
  <si>
    <t>대한종합산전</t>
    <phoneticPr fontId="3" type="noConversion"/>
  </si>
  <si>
    <t>수영전기공사_김희준</t>
    <phoneticPr fontId="3" type="noConversion"/>
  </si>
  <si>
    <t>파르이앤씨_김장섭</t>
    <phoneticPr fontId="3" type="noConversion"/>
  </si>
  <si>
    <t>성광전기_김희준</t>
    <phoneticPr fontId="3" type="noConversion"/>
  </si>
  <si>
    <t>경우전기</t>
    <phoneticPr fontId="3" type="noConversion"/>
  </si>
  <si>
    <t>거산전력_김희준</t>
    <phoneticPr fontId="3" type="noConversion"/>
  </si>
  <si>
    <t>부현전기</t>
    <phoneticPr fontId="3" type="noConversion"/>
  </si>
  <si>
    <t>다온기전_김희준</t>
    <phoneticPr fontId="3" type="noConversion"/>
  </si>
  <si>
    <t>효우테크_김장섭</t>
    <phoneticPr fontId="3" type="noConversion"/>
  </si>
  <si>
    <t>일렉파워</t>
    <phoneticPr fontId="3" type="noConversion"/>
  </si>
  <si>
    <t>국보엔지니어링_김희준</t>
    <phoneticPr fontId="3" type="noConversion"/>
  </si>
  <si>
    <t>하나전기_김기성</t>
    <phoneticPr fontId="3" type="noConversion"/>
  </si>
  <si>
    <t>남양계전202-81-36758</t>
    <phoneticPr fontId="3" type="noConversion"/>
  </si>
  <si>
    <t>코레일테크</t>
    <phoneticPr fontId="3" type="noConversion"/>
  </si>
  <si>
    <t>다현정보통신_박성균</t>
    <phoneticPr fontId="3" type="noConversion"/>
  </si>
  <si>
    <t>왕선전설_이동훈</t>
    <phoneticPr fontId="3" type="noConversion"/>
  </si>
  <si>
    <t>에스지씨이앤씨</t>
    <phoneticPr fontId="3" type="noConversion"/>
  </si>
  <si>
    <t>엔케이이엔씨_나의상</t>
    <phoneticPr fontId="3" type="noConversion"/>
  </si>
  <si>
    <t>홍성전기_김희준</t>
    <phoneticPr fontId="3" type="noConversion"/>
  </si>
  <si>
    <t>벽산전기_이동훈</t>
    <phoneticPr fontId="3" type="noConversion"/>
  </si>
  <si>
    <t>대광건영</t>
    <phoneticPr fontId="3" type="noConversion"/>
  </si>
  <si>
    <t>송원이앤씨_이동훈</t>
    <phoneticPr fontId="3" type="noConversion"/>
  </si>
  <si>
    <t>정준BBB
8/6</t>
    <phoneticPr fontId="3" type="noConversion"/>
  </si>
  <si>
    <t>도원이엔아이128-81-72024</t>
    <phoneticPr fontId="3" type="noConversion"/>
  </si>
  <si>
    <t>코원건설_유형민</t>
    <phoneticPr fontId="3" type="noConversion"/>
  </si>
  <si>
    <t>정준테크_이동훈</t>
    <phoneticPr fontId="3" type="noConversion"/>
  </si>
  <si>
    <t>알림</t>
    <phoneticPr fontId="3" type="noConversion"/>
  </si>
  <si>
    <t>도화엔지니어링</t>
    <phoneticPr fontId="3" type="noConversion"/>
  </si>
  <si>
    <t>성은전기_김희준</t>
    <phoneticPr fontId="3" type="noConversion"/>
  </si>
  <si>
    <t>지음쏠라테크</t>
    <phoneticPr fontId="3" type="noConversion"/>
  </si>
  <si>
    <t>우진일렉트</t>
    <phoneticPr fontId="3" type="noConversion"/>
  </si>
  <si>
    <t>대흥디씨티</t>
    <phoneticPr fontId="3" type="noConversion"/>
  </si>
  <si>
    <t>아람이엔테크</t>
    <phoneticPr fontId="3" type="noConversion"/>
  </si>
  <si>
    <t>지음이엔아이</t>
    <phoneticPr fontId="3" type="noConversion"/>
  </si>
  <si>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</si>
  <si>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</si>
  <si>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</si>
  <si>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</si>
  <si>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</t>
    <phoneticPr fontId="3" type="noConversion"/>
  </si>
  <si>
    <t>하도및자재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</si>
  <si>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</si>
  <si>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</si>
  <si>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</si>
  <si>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</si>
  <si>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</si>
  <si>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</si>
  <si>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</si>
  <si>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</si>
  <si>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</si>
  <si>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</si>
  <si>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구성원3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</si>
  <si>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</si>
  <si>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</si>
  <si>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</si>
  <si>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</si>
  <si>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</si>
  <si>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</si>
  <si>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</si>
  <si>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</si>
  <si>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</si>
  <si>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</si>
  <si>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</si>
  <si>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x0.3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</si>
  <si>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</si>
  <si>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</si>
  <si>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</si>
  <si>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</si>
  <si>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</si>
  <si>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</si>
  <si>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</si>
  <si>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시공능력제한</t>
    <phoneticPr fontId="3" type="noConversion"/>
  </si>
  <si>
    <t>2025.08.06</t>
    <phoneticPr fontId="3" type="noConversion"/>
  </si>
  <si>
    <t>※입찰참가자격 : 시공능력평가액이 6,402,040,000원 이상인 업체 (단순합산)</t>
    <phoneticPr fontId="3" type="noConversion"/>
  </si>
  <si>
    <t>입찰</t>
    <phoneticPr fontId="3" type="noConversion"/>
  </si>
  <si>
    <t>5년2배수</t>
    <phoneticPr fontId="3" type="noConversion"/>
  </si>
  <si>
    <t>실적  만점</t>
    <phoneticPr fontId="3" type="noConversion"/>
  </si>
  <si>
    <t>설계금액</t>
    <phoneticPr fontId="3" type="noConversion"/>
  </si>
  <si>
    <t>경기의무30%, 5개사</t>
    <phoneticPr fontId="3" type="noConversion"/>
  </si>
  <si>
    <t>202507697 [긴급]고속국도 제50호선 영동선(안산~북수원) 전기공사(제2공구)</t>
    <phoneticPr fontId="3" type="noConversion"/>
  </si>
  <si>
    <t>시공능력제한</t>
    <phoneticPr fontId="3" type="noConversion"/>
  </si>
  <si>
    <t>추정가격</t>
    <phoneticPr fontId="3" type="noConversion"/>
  </si>
  <si>
    <t>만양_이동훈</t>
    <phoneticPr fontId="3" type="noConversion"/>
  </si>
  <si>
    <t>신우파워텍_윤명숙</t>
    <phoneticPr fontId="3" type="noConversion"/>
  </si>
  <si>
    <t>정정</t>
    <phoneticPr fontId="3" type="noConversion"/>
  </si>
  <si>
    <t>정정</t>
    <phoneticPr fontId="3" type="noConversion"/>
  </si>
  <si>
    <t>선유라이팅_윤명숙</t>
    <phoneticPr fontId="3" type="noConversion"/>
  </si>
  <si>
    <t>추가</t>
    <phoneticPr fontId="3" type="noConversion"/>
  </si>
  <si>
    <t>202508601 [긴급]고속국도 제14호선 함양~창녕간 소방(전기)공사(제1공구)</t>
    <phoneticPr fontId="3" type="noConversion"/>
  </si>
  <si>
    <t>경남의무30%, 5개사</t>
    <phoneticPr fontId="3" type="noConversion"/>
  </si>
  <si>
    <t>우진일렉트</t>
    <phoneticPr fontId="3" type="noConversion"/>
  </si>
  <si>
    <t>케이지건설
유형민</t>
    <phoneticPr fontId="3" type="noConversion"/>
  </si>
  <si>
    <t>진사전력기술단
윤명숙</t>
    <phoneticPr fontId="3" type="noConversion"/>
  </si>
  <si>
    <t>지음이엔아이</t>
    <phoneticPr fontId="3" type="noConversion"/>
  </si>
  <si>
    <t>탑엔지니어링 
이동훈</t>
    <phoneticPr fontId="3" type="noConversion"/>
  </si>
  <si>
    <t>에스지씨이앤씨</t>
    <phoneticPr fontId="3" type="noConversion"/>
  </si>
  <si>
    <t>구보공영
김희준</t>
    <phoneticPr fontId="3" type="noConversion"/>
  </si>
  <si>
    <t>대일소방산업
김희준</t>
    <phoneticPr fontId="3" type="noConversion"/>
  </si>
  <si>
    <t>김앤드이</t>
    <phoneticPr fontId="3" type="noConversion"/>
  </si>
  <si>
    <t>이화공영</t>
    <phoneticPr fontId="3" type="noConversion"/>
  </si>
  <si>
    <t>화인메컨
박성균</t>
    <phoneticPr fontId="3" type="noConversion"/>
  </si>
  <si>
    <t>성일기계
이동훈</t>
    <phoneticPr fontId="3" type="noConversion"/>
  </si>
  <si>
    <t>202508602 [긴급]고속국도 제14호선 함양~창녕간 소방(전기)공사(제2공구)</t>
    <phoneticPr fontId="3" type="noConversion"/>
  </si>
  <si>
    <t>202508603 [긴급]고속국도 제14호선 함양~창녕간 소방(전기)공사(제4공구)</t>
    <phoneticPr fontId="3" type="noConversion"/>
  </si>
  <si>
    <t>꺠짐</t>
    <phoneticPr fontId="3" type="noConversion"/>
  </si>
  <si>
    <t>성온전설_이동훈</t>
    <phoneticPr fontId="3" type="noConversion"/>
  </si>
  <si>
    <t>광동전력_이동훈</t>
    <phoneticPr fontId="3" type="noConversion"/>
  </si>
  <si>
    <t>따로
한다함</t>
    <phoneticPr fontId="3" type="noConversion"/>
  </si>
  <si>
    <t>대명지이씨</t>
    <phoneticPr fontId="3" type="noConversion"/>
  </si>
  <si>
    <t>대명에너지</t>
    <phoneticPr fontId="3" type="noConversion"/>
  </si>
  <si>
    <t>우주전기통신_김희준</t>
    <phoneticPr fontId="3" type="noConversion"/>
  </si>
  <si>
    <t>부국전력통신공사_김희준</t>
    <phoneticPr fontId="3" type="noConversion"/>
  </si>
  <si>
    <t>왕선전설_이동훈</t>
    <phoneticPr fontId="3" type="noConversion"/>
  </si>
  <si>
    <t>렉터슨</t>
    <phoneticPr fontId="3" type="noConversion"/>
  </si>
  <si>
    <t>일광이앤씨</t>
    <phoneticPr fontId="3" type="noConversion"/>
  </si>
  <si>
    <t>동원테크_조세희</t>
    <phoneticPr fontId="3" type="noConversion"/>
  </si>
  <si>
    <t>현대엠테크</t>
    <phoneticPr fontId="3" type="noConversion"/>
  </si>
  <si>
    <t>보원엔지니어링_이재웅</t>
    <phoneticPr fontId="3" type="noConversion"/>
  </si>
  <si>
    <t>길리_김희준</t>
    <phoneticPr fontId="3" type="noConversion"/>
  </si>
  <si>
    <t>건화티에스_윤명숙</t>
    <phoneticPr fontId="3" type="noConversion"/>
  </si>
  <si>
    <t>화인이앤텍_김희준</t>
    <phoneticPr fontId="3" type="noConversion"/>
  </si>
  <si>
    <t>대한종합산전</t>
    <phoneticPr fontId="3" type="noConversion"/>
  </si>
  <si>
    <t>성신이엔지_이동훈</t>
    <phoneticPr fontId="3" type="noConversion"/>
  </si>
  <si>
    <t>구평전력_김희준</t>
    <phoneticPr fontId="3" type="noConversion"/>
  </si>
  <si>
    <t>경동이앤지_이동훈</t>
    <phoneticPr fontId="3" type="noConversion"/>
  </si>
  <si>
    <t>건영전기_김희준</t>
    <phoneticPr fontId="3" type="noConversion"/>
  </si>
  <si>
    <t>철탑_조재진</t>
    <phoneticPr fontId="3" type="noConversion"/>
  </si>
  <si>
    <t>서진산업_조재진</t>
    <phoneticPr fontId="3" type="noConversion"/>
  </si>
  <si>
    <t>대륙전기_김희준</t>
    <phoneticPr fontId="3" type="noConversion"/>
  </si>
  <si>
    <t>덕원전설</t>
    <phoneticPr fontId="3" type="noConversion"/>
  </si>
  <si>
    <t>청보이앤지_이동훈</t>
    <phoneticPr fontId="3" type="noConversion"/>
  </si>
  <si>
    <t>대유기전공사_김희준</t>
    <phoneticPr fontId="3" type="noConversion"/>
  </si>
  <si>
    <t>유니온_이동훈</t>
    <phoneticPr fontId="3" type="noConversion"/>
  </si>
  <si>
    <t>백두전력_김희준</t>
    <phoneticPr fontId="3" type="noConversion"/>
  </si>
  <si>
    <t>케이비에스비즈니스_박성균</t>
    <phoneticPr fontId="3" type="noConversion"/>
  </si>
  <si>
    <t>미주중전기_윤명숙</t>
    <phoneticPr fontId="3" type="noConversion"/>
  </si>
  <si>
    <t>대상전력_김희준</t>
    <phoneticPr fontId="3" type="noConversion"/>
  </si>
  <si>
    <t>다온기전_김희준</t>
    <phoneticPr fontId="3" type="noConversion"/>
  </si>
  <si>
    <t>금강이엔지_윤한봉</t>
    <phoneticPr fontId="3" type="noConversion"/>
  </si>
  <si>
    <t>신신이앤씨_김장섭</t>
    <phoneticPr fontId="3" type="noConversion"/>
  </si>
  <si>
    <t>인창40%고정</t>
    <phoneticPr fontId="3" type="noConversion"/>
  </si>
  <si>
    <t>에이치에스알인창_윤명숙</t>
    <phoneticPr fontId="3" type="noConversion"/>
  </si>
  <si>
    <t>파르이앤씨_김장섭</t>
    <phoneticPr fontId="3" type="noConversion"/>
  </si>
  <si>
    <t>경우전기</t>
    <phoneticPr fontId="3" type="noConversion"/>
  </si>
  <si>
    <t>홍성전기_김희준</t>
    <phoneticPr fontId="3" type="noConversion"/>
  </si>
  <si>
    <t>부현전기</t>
    <phoneticPr fontId="3" type="noConversion"/>
  </si>
  <si>
    <t>벽산전기_이동훈</t>
    <phoneticPr fontId="3" type="noConversion"/>
  </si>
  <si>
    <t>지심전기_윤한봉</t>
    <phoneticPr fontId="3" type="noConversion"/>
  </si>
  <si>
    <t>성전사</t>
    <phoneticPr fontId="3" type="noConversion"/>
  </si>
  <si>
    <t>신광전력_구성서</t>
    <phoneticPr fontId="3" type="noConversion"/>
  </si>
  <si>
    <t>보용전기_윤한봉</t>
    <phoneticPr fontId="3" type="noConversion"/>
  </si>
  <si>
    <t>일렉파워</t>
    <phoneticPr fontId="3" type="noConversion"/>
  </si>
  <si>
    <t>대원_윤한봉</t>
    <phoneticPr fontId="3" type="noConversion"/>
  </si>
  <si>
    <t>하나전기_김기성</t>
    <phoneticPr fontId="3" type="noConversion"/>
  </si>
  <si>
    <t>코레일테크</t>
    <phoneticPr fontId="3" type="noConversion"/>
  </si>
  <si>
    <t>형광전기_윤한봉</t>
    <phoneticPr fontId="3" type="noConversion"/>
  </si>
  <si>
    <t>대동종합전설</t>
    <phoneticPr fontId="3" type="noConversion"/>
  </si>
  <si>
    <t>도원이엔아이128-81-72024</t>
    <phoneticPr fontId="3" type="noConversion"/>
  </si>
  <si>
    <t>조양_이동훈</t>
    <phoneticPr fontId="3" type="noConversion"/>
  </si>
  <si>
    <t>엔케이이엔씨_나의상</t>
    <phoneticPr fontId="3" type="noConversion"/>
  </si>
  <si>
    <t>도화엔지니어링</t>
    <phoneticPr fontId="3" type="noConversion"/>
  </si>
  <si>
    <t>동성건설</t>
    <phoneticPr fontId="3" type="noConversion"/>
  </si>
  <si>
    <t>정준테크_이동훈</t>
    <phoneticPr fontId="3" type="noConversion"/>
  </si>
  <si>
    <t>에스지씨이앤씨</t>
    <phoneticPr fontId="3" type="noConversion"/>
  </si>
  <si>
    <t>광전사_김희준</t>
    <phoneticPr fontId="3" type="noConversion"/>
  </si>
  <si>
    <t>송원이앤씨_이동훈</t>
    <phoneticPr fontId="3" type="noConversion"/>
  </si>
  <si>
    <t>현대엘리베이터_박성균</t>
    <phoneticPr fontId="3" type="noConversion"/>
  </si>
  <si>
    <t>누림에너지_김희준</t>
    <phoneticPr fontId="3" type="noConversion"/>
  </si>
  <si>
    <t>지음쏠라테크</t>
    <phoneticPr fontId="3" type="noConversion"/>
  </si>
  <si>
    <t>대광건영</t>
    <phoneticPr fontId="3" type="noConversion"/>
  </si>
  <si>
    <t>규암전력_이동훈</t>
    <phoneticPr fontId="3" type="noConversion"/>
  </si>
  <si>
    <t>에코엠이엔씨</t>
    <phoneticPr fontId="3" type="noConversion"/>
  </si>
  <si>
    <t>송암산업_이동훈</t>
    <phoneticPr fontId="3" type="noConversion"/>
  </si>
  <si>
    <t>우진일렉트</t>
    <phoneticPr fontId="3" type="noConversion"/>
  </si>
  <si>
    <t>새한전기통신공사_김희준</t>
    <phoneticPr fontId="3" type="noConversion"/>
  </si>
  <si>
    <t>대흥디씨티</t>
    <phoneticPr fontId="3" type="noConversion"/>
  </si>
  <si>
    <t>우성전기공사_김희준</t>
    <phoneticPr fontId="3" type="noConversion"/>
  </si>
  <si>
    <t>아람이엔테크</t>
    <phoneticPr fontId="3" type="noConversion"/>
  </si>
  <si>
    <t>화승전력_이동훈</t>
    <phoneticPr fontId="3" type="noConversion"/>
  </si>
  <si>
    <t>지음이엔아이</t>
    <phoneticPr fontId="3" type="noConversion"/>
  </si>
  <si>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</si>
  <si>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</si>
  <si>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</si>
  <si>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</si>
  <si>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</t>
    <phoneticPr fontId="3" type="noConversion"/>
  </si>
  <si>
    <t>하도및자재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</si>
  <si>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</si>
  <si>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</si>
  <si>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</si>
  <si>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</si>
  <si>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</si>
  <si>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</si>
  <si>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</si>
  <si>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</si>
  <si>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</si>
  <si>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</si>
  <si>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</si>
  <si>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</si>
  <si>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</si>
  <si>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</si>
  <si>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</si>
  <si>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</si>
  <si>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</si>
  <si>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</si>
  <si>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</si>
  <si>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</si>
  <si>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</si>
  <si>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</si>
  <si>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x0.3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</si>
  <si>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</si>
  <si>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</si>
  <si>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</si>
  <si>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</si>
  <si>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</si>
  <si>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</si>
  <si>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</si>
  <si>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시공능력제한</t>
    <phoneticPr fontId="3" type="noConversion"/>
  </si>
  <si>
    <t>2025.09.18</t>
    <phoneticPr fontId="3" type="noConversion"/>
  </si>
  <si>
    <t>※입찰참가자격 : 시공능력평가액이 9,584,960,000원 이상인 업체 (단순합산)</t>
    <phoneticPr fontId="3" type="noConversion"/>
  </si>
  <si>
    <t>입찰</t>
    <phoneticPr fontId="3" type="noConversion"/>
  </si>
  <si>
    <t>5년2배수</t>
    <phoneticPr fontId="3" type="noConversion"/>
  </si>
  <si>
    <t>실적  만점</t>
    <phoneticPr fontId="3" type="noConversion"/>
  </si>
  <si>
    <t>설계금액</t>
    <phoneticPr fontId="3" type="noConversion"/>
  </si>
  <si>
    <t>충남의무30%, 5개사</t>
    <phoneticPr fontId="3" type="noConversion"/>
  </si>
  <si>
    <t>202508599 [긴급]고속국도 제32호 아산~청주선 인주~염치간 전기공사(제1공구)</t>
    <phoneticPr fontId="3" type="noConversion"/>
  </si>
  <si>
    <t>시공능력제한</t>
    <phoneticPr fontId="3" type="noConversion"/>
  </si>
  <si>
    <t>추정가격</t>
    <phoneticPr fontId="3" type="noConversion"/>
  </si>
  <si>
    <t>성온전설_이동훈</t>
    <phoneticPr fontId="3" type="noConversion"/>
  </si>
  <si>
    <t>광동전력_이동훈</t>
    <phoneticPr fontId="3" type="noConversion"/>
  </si>
  <si>
    <t>따로
한다함</t>
    <phoneticPr fontId="3" type="noConversion"/>
  </si>
  <si>
    <t>대명지이씨</t>
    <phoneticPr fontId="3" type="noConversion"/>
  </si>
  <si>
    <t>대명에너지</t>
    <phoneticPr fontId="3" type="noConversion"/>
  </si>
  <si>
    <t>극동전력_김희준</t>
    <phoneticPr fontId="3" type="noConversion"/>
  </si>
  <si>
    <t>현대엘리베이터_박성균</t>
    <phoneticPr fontId="3" type="noConversion"/>
  </si>
  <si>
    <r>
      <t xml:space="preserve">삼주전력_김인용
</t>
    </r>
    <r>
      <rPr>
        <sz val="10"/>
        <color rgb="FFFF0000"/>
        <rFont val="굴림체"/>
        <family val="3"/>
        <charset val="129"/>
      </rPr>
      <t>70억에만</t>
    </r>
    <phoneticPr fontId="3" type="noConversion"/>
  </si>
  <si>
    <t>벽산전기_이동훈</t>
    <phoneticPr fontId="3" type="noConversion"/>
  </si>
  <si>
    <t>부국전력통신공사_김희준</t>
    <phoneticPr fontId="3" type="noConversion"/>
  </si>
  <si>
    <t>일광이앤씨</t>
    <phoneticPr fontId="3" type="noConversion"/>
  </si>
  <si>
    <t>동원테크_조세희</t>
    <phoneticPr fontId="3" type="noConversion"/>
  </si>
  <si>
    <t>현대엠테크</t>
    <phoneticPr fontId="3" type="noConversion"/>
  </si>
  <si>
    <t>보원엔지니어링_이재웅</t>
    <phoneticPr fontId="3" type="noConversion"/>
  </si>
  <si>
    <t>경동이앤지_이동훈</t>
    <phoneticPr fontId="3" type="noConversion"/>
  </si>
  <si>
    <t>케이비에스비즈니스_박성균</t>
    <phoneticPr fontId="3" type="noConversion"/>
  </si>
  <si>
    <t>성전사</t>
    <phoneticPr fontId="3" type="noConversion"/>
  </si>
  <si>
    <t>건화티에스_윤명숙</t>
    <phoneticPr fontId="3" type="noConversion"/>
  </si>
  <si>
    <t>화인이앤텍_김희준</t>
    <phoneticPr fontId="3" type="noConversion"/>
  </si>
  <si>
    <t>대경건설_송종윤</t>
    <phoneticPr fontId="3" type="noConversion"/>
  </si>
  <si>
    <t>우주전기통신_김희준</t>
    <phoneticPr fontId="3" type="noConversion"/>
  </si>
  <si>
    <t>길리_김희준</t>
    <phoneticPr fontId="3" type="noConversion"/>
  </si>
  <si>
    <t>이수전력_김인용</t>
    <phoneticPr fontId="3" type="noConversion"/>
  </si>
  <si>
    <t>대륙전기_김희준</t>
    <phoneticPr fontId="3" type="noConversion"/>
  </si>
  <si>
    <t>도원이에프씨_김장섭</t>
    <phoneticPr fontId="3" type="noConversion"/>
  </si>
  <si>
    <t>구평전력_김희준</t>
    <phoneticPr fontId="3" type="noConversion"/>
  </si>
  <si>
    <t>이현정보기술_김장섭</t>
    <phoneticPr fontId="3" type="noConversion"/>
  </si>
  <si>
    <t>대한종합산전</t>
    <phoneticPr fontId="3" type="noConversion"/>
  </si>
  <si>
    <t>선연이엔지_윤명숙</t>
    <phoneticPr fontId="3" type="noConversion"/>
  </si>
  <si>
    <t>광덕전기_윤명숙</t>
    <phoneticPr fontId="3" type="noConversion"/>
  </si>
  <si>
    <t>신신이앤씨_김장섭</t>
    <phoneticPr fontId="3" type="noConversion"/>
  </si>
  <si>
    <t>유광전력_김희준</t>
    <phoneticPr fontId="3" type="noConversion"/>
  </si>
  <si>
    <t>파르이앤씨_김장섭</t>
    <phoneticPr fontId="3" type="noConversion"/>
  </si>
  <si>
    <t>삼우전력_김희준</t>
    <phoneticPr fontId="3" type="noConversion"/>
  </si>
  <si>
    <t>경우전기</t>
    <phoneticPr fontId="3" type="noConversion"/>
  </si>
  <si>
    <t>탑엔지니어링_이동훈</t>
    <phoneticPr fontId="3" type="noConversion"/>
  </si>
  <si>
    <t>부현전기</t>
    <phoneticPr fontId="3" type="noConversion"/>
  </si>
  <si>
    <t>다온기전_김희준</t>
    <phoneticPr fontId="3" type="noConversion"/>
  </si>
  <si>
    <t>디케이_송종윤</t>
    <phoneticPr fontId="3" type="noConversion"/>
  </si>
  <si>
    <t>일렉파워</t>
    <phoneticPr fontId="3" type="noConversion"/>
  </si>
  <si>
    <t>하나전기_김기성</t>
    <phoneticPr fontId="3" type="noConversion"/>
  </si>
  <si>
    <t>대륙_이동훈</t>
    <phoneticPr fontId="3" type="noConversion"/>
  </si>
  <si>
    <t>백두전력_김희준</t>
    <phoneticPr fontId="3" type="noConversion"/>
  </si>
  <si>
    <t>태임전설</t>
    <phoneticPr fontId="3" type="noConversion"/>
  </si>
  <si>
    <t>대상전력_김희준</t>
    <phoneticPr fontId="3" type="noConversion"/>
  </si>
  <si>
    <t>코레일테크</t>
    <phoneticPr fontId="3" type="noConversion"/>
  </si>
  <si>
    <t>에스지씨이앤씨</t>
    <phoneticPr fontId="3" type="noConversion"/>
  </si>
  <si>
    <t>엔케이이엔씨_나의상</t>
    <phoneticPr fontId="3" type="noConversion"/>
  </si>
  <si>
    <t>도원이엔아이128-81-72024</t>
    <phoneticPr fontId="3" type="noConversion"/>
  </si>
  <si>
    <t>정준테크_이동훈</t>
    <phoneticPr fontId="3" type="noConversion"/>
  </si>
  <si>
    <t>대광건영</t>
    <phoneticPr fontId="3" type="noConversion"/>
  </si>
  <si>
    <t>하영기업_김장섭</t>
    <phoneticPr fontId="3" type="noConversion"/>
  </si>
  <si>
    <t>송원이앤씨_이동훈</t>
    <phoneticPr fontId="3" type="noConversion"/>
  </si>
  <si>
    <t>도화엔지니어링</t>
    <phoneticPr fontId="3" type="noConversion"/>
  </si>
  <si>
    <t>지음쏠라테크</t>
    <phoneticPr fontId="3" type="noConversion"/>
  </si>
  <si>
    <t>렉터슨</t>
    <phoneticPr fontId="3" type="noConversion"/>
  </si>
  <si>
    <t>에코엠이엔씨</t>
    <phoneticPr fontId="3" type="noConversion"/>
  </si>
  <si>
    <t>케이지건설</t>
    <phoneticPr fontId="3" type="noConversion"/>
  </si>
  <si>
    <t>우진일렉트</t>
    <phoneticPr fontId="3" type="noConversion"/>
  </si>
  <si>
    <t>진사전력기술단_윤명숙</t>
    <phoneticPr fontId="3" type="noConversion"/>
  </si>
  <si>
    <t>대흥디씨티</t>
    <phoneticPr fontId="3" type="noConversion"/>
  </si>
  <si>
    <t>도원전기_김장섭</t>
    <phoneticPr fontId="3" type="noConversion"/>
  </si>
  <si>
    <t>아람이엔테크</t>
    <phoneticPr fontId="3" type="noConversion"/>
  </si>
  <si>
    <t>으뜸전기</t>
    <phoneticPr fontId="3" type="noConversion"/>
  </si>
  <si>
    <t>지음이엔아이</t>
    <phoneticPr fontId="3" type="noConversion"/>
  </si>
  <si>
    <t>예상점수</t>
    <phoneticPr fontId="3" type="noConversion"/>
  </si>
  <si>
    <t>입찰점수</t>
    <phoneticPr fontId="3" type="noConversion"/>
  </si>
  <si>
    <t>합산
점수</t>
    <phoneticPr fontId="3" type="noConversion"/>
  </si>
  <si>
    <t>순공사
점수</t>
    <phoneticPr fontId="3" type="noConversion"/>
  </si>
  <si>
    <t>신인도</t>
    <phoneticPr fontId="3" type="noConversion"/>
  </si>
  <si>
    <t>하도및자재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</si>
  <si>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</si>
  <si>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</si>
  <si>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</si>
  <si>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</si>
  <si>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</si>
  <si>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</si>
  <si>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</si>
  <si>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</si>
  <si>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</si>
  <si>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</si>
  <si>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</si>
  <si>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</si>
  <si>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</si>
  <si>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</si>
  <si>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</si>
  <si>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</si>
  <si>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</si>
  <si>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</si>
  <si>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</si>
  <si>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</si>
  <si>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</si>
  <si>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</si>
  <si>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x0.3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</si>
  <si>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</si>
  <si>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</si>
  <si>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</si>
  <si>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</si>
  <si>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</si>
  <si>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</si>
  <si>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</si>
  <si>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입찰참가자격
시공능력제한</t>
    <phoneticPr fontId="3" type="noConversion"/>
  </si>
  <si>
    <t>2025.09.18</t>
    <phoneticPr fontId="3" type="noConversion"/>
  </si>
  <si>
    <t>※입찰참가자격 : 시공능력평가액이 5,266,400,000원 이상인 업체 (단순합산)</t>
    <phoneticPr fontId="3" type="noConversion"/>
  </si>
  <si>
    <t>입찰</t>
    <phoneticPr fontId="3" type="noConversion"/>
  </si>
  <si>
    <t>5년2배수</t>
    <phoneticPr fontId="3" type="noConversion"/>
  </si>
  <si>
    <t>실적  만점</t>
    <phoneticPr fontId="3" type="noConversion"/>
  </si>
  <si>
    <t>설계금액</t>
    <phoneticPr fontId="3" type="noConversion"/>
  </si>
  <si>
    <t>경남의무30%, 5개사</t>
    <phoneticPr fontId="3" type="noConversion"/>
  </si>
  <si>
    <t>202508597 [긴급]고속국도 제14호선 함양~창녕간 전기공사(제6공구)</t>
    <phoneticPr fontId="3" type="noConversion"/>
  </si>
  <si>
    <t>시공능력제한</t>
    <phoneticPr fontId="3" type="noConversion"/>
  </si>
  <si>
    <t>추정가격</t>
    <phoneticPr fontId="3" type="noConversion"/>
  </si>
  <si>
    <t>이송_김희준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</si>
</sst>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00%"/>
    <numFmt numFmtId="178" formatCode="_-* #,##0.00_-;\-* #,##0.00_-;_-* &quot;-&quot;_-;_-@_-"/>
    <numFmt numFmtId="179" formatCode="0.0%"/>
    <numFmt numFmtId="180" formatCode="_-* #,##0_-;\-* #,##0_-;_-* \-_-;_-@_-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name val="굴림체"/>
      <family val="3"/>
      <charset val="129"/>
    </font>
    <font>
      <sz val="10"/>
      <color rgb="FF0070C0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2"/>
      <color rgb="FF0070C0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6"/>
      <color rgb="FFFF0000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0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41" fontId="5" fillId="0" borderId="1" xfId="1" applyFont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41" fontId="6" fillId="0" borderId="1" xfId="1" applyFont="1" applyBorder="1" applyAlignment="1">
      <alignment horizontal="justify" vertical="center" wrapText="1"/>
    </xf>
    <xf numFmtId="0" fontId="4" fillId="0" borderId="2" xfId="0" applyFont="1" applyBorder="1">
      <alignment vertical="center"/>
    </xf>
    <xf numFmtId="41" fontId="4" fillId="0" borderId="3" xfId="1" applyFont="1" applyFill="1" applyBorder="1">
      <alignment vertical="center"/>
    </xf>
    <xf numFmtId="176" fontId="4" fillId="0" borderId="4" xfId="2" applyNumberFormat="1" applyFont="1" applyFill="1" applyBorder="1">
      <alignment vertical="center"/>
    </xf>
    <xf numFmtId="176" fontId="4" fillId="0" borderId="5" xfId="2" applyNumberFormat="1" applyFont="1" applyFill="1" applyBorder="1">
      <alignment vertical="center"/>
    </xf>
    <xf numFmtId="43" fontId="7" fillId="0" borderId="4" xfId="0" applyNumberFormat="1" applyFont="1" applyBorder="1">
      <alignment vertical="center"/>
    </xf>
    <xf numFmtId="177" fontId="4" fillId="0" borderId="1" xfId="2" applyNumberFormat="1" applyFont="1" applyFill="1" applyBorder="1" applyAlignment="1">
      <alignment vertical="center"/>
    </xf>
    <xf numFmtId="178" fontId="4" fillId="0" borderId="6" xfId="1" applyNumberFormat="1" applyFont="1" applyFill="1" applyBorder="1">
      <alignment vertical="center"/>
    </xf>
    <xf numFmtId="41" fontId="4" fillId="0" borderId="1" xfId="1" applyFont="1" applyFill="1" applyBorder="1">
      <alignment vertical="center"/>
    </xf>
    <xf numFmtId="178" fontId="4" fillId="3" borderId="7" xfId="1" applyNumberFormat="1" applyFont="1" applyFill="1" applyBorder="1">
      <alignment vertical="center"/>
    </xf>
    <xf numFmtId="178" fontId="4" fillId="3" borderId="8" xfId="1" applyNumberFormat="1" applyFont="1" applyFill="1" applyBorder="1">
      <alignment vertical="center"/>
    </xf>
    <xf numFmtId="178" fontId="4" fillId="0" borderId="7" xfId="1" applyNumberFormat="1" applyFont="1" applyFill="1" applyBorder="1">
      <alignment vertical="center"/>
    </xf>
    <xf numFmtId="178" fontId="5" fillId="0" borderId="9" xfId="1" applyNumberFormat="1" applyFont="1" applyFill="1" applyBorder="1">
      <alignment vertical="center"/>
    </xf>
    <xf numFmtId="41" fontId="4" fillId="0" borderId="10" xfId="1" applyFont="1" applyFill="1" applyBorder="1">
      <alignment vertical="center"/>
    </xf>
    <xf numFmtId="41" fontId="4" fillId="0" borderId="1" xfId="1" applyFont="1" applyFill="1" applyBorder="1" applyAlignment="1">
      <alignment vertical="center" wrapText="1" shrinkToFit="1"/>
    </xf>
    <xf numFmtId="178" fontId="4" fillId="0" borderId="1" xfId="1" applyNumberFormat="1" applyFont="1" applyFill="1" applyBorder="1">
      <alignment vertical="center"/>
    </xf>
    <xf numFmtId="178" fontId="4" fillId="0" borderId="11" xfId="1" applyNumberFormat="1" applyFont="1" applyFill="1" applyBorder="1">
      <alignment vertical="center"/>
    </xf>
    <xf numFmtId="178" fontId="4" fillId="0" borderId="12" xfId="1" applyNumberFormat="1" applyFont="1" applyFill="1" applyBorder="1">
      <alignment vertical="center"/>
    </xf>
    <xf numFmtId="9" fontId="4" fillId="0" borderId="9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 shrinkToFi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79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shrinkToFit="1"/>
    </xf>
    <xf numFmtId="41" fontId="8" fillId="0" borderId="8" xfId="1" applyFont="1" applyFill="1" applyBorder="1" applyAlignment="1">
      <alignment vertical="center" wrapText="1" shrinkToFit="1"/>
    </xf>
    <xf numFmtId="41" fontId="4" fillId="0" borderId="1" xfId="1" applyFont="1" applyBorder="1" applyAlignment="1">
      <alignment vertical="center" wrapText="1" shrinkToFit="1"/>
    </xf>
    <xf numFmtId="178" fontId="4" fillId="0" borderId="4" xfId="1" applyNumberFormat="1" applyFont="1" applyFill="1" applyBorder="1">
      <alignment vertical="center"/>
    </xf>
    <xf numFmtId="178" fontId="4" fillId="0" borderId="1" xfId="1" applyNumberFormat="1" applyFont="1" applyBorder="1">
      <alignment vertical="center"/>
    </xf>
    <xf numFmtId="178" fontId="4" fillId="0" borderId="12" xfId="1" applyNumberFormat="1" applyFont="1" applyBorder="1">
      <alignment vertical="center"/>
    </xf>
    <xf numFmtId="0" fontId="4" fillId="0" borderId="9" xfId="0" applyFont="1" applyBorder="1" applyAlignment="1">
      <alignment horizontal="left" vertical="center" wrapText="1" shrinkToFit="1"/>
    </xf>
    <xf numFmtId="0" fontId="4" fillId="0" borderId="7" xfId="0" applyFont="1" applyBorder="1" applyAlignment="1">
      <alignment horizontal="left" vertical="center" wrapText="1" shrinkToFit="1"/>
    </xf>
    <xf numFmtId="0" fontId="4" fillId="0" borderId="6" xfId="0" applyFont="1" applyBorder="1" applyAlignment="1">
      <alignment horizontal="left" vertical="center" wrapText="1" shrinkToFit="1"/>
    </xf>
    <xf numFmtId="41" fontId="4" fillId="0" borderId="4" xfId="1" applyFont="1" applyBorder="1" applyAlignment="1">
      <alignment vertical="center" wrapText="1" shrinkToFit="1"/>
    </xf>
    <xf numFmtId="0" fontId="4" fillId="0" borderId="14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left" vertical="center" wrapText="1" shrinkToFit="1"/>
    </xf>
    <xf numFmtId="0" fontId="4" fillId="0" borderId="10" xfId="0" applyFont="1" applyBorder="1" applyAlignment="1">
      <alignment horizontal="left" vertical="center" wrapText="1" shrinkToFit="1"/>
    </xf>
    <xf numFmtId="41" fontId="4" fillId="0" borderId="12" xfId="1" applyFont="1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41" fontId="4" fillId="0" borderId="8" xfId="1" applyFont="1" applyBorder="1" applyAlignment="1">
      <alignment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41" fontId="4" fillId="0" borderId="7" xfId="1" applyFont="1" applyBorder="1" applyAlignment="1">
      <alignment vertical="center" wrapText="1" shrinkToFit="1"/>
    </xf>
    <xf numFmtId="41" fontId="8" fillId="0" borderId="7" xfId="1" applyFont="1" applyFill="1" applyBorder="1" applyAlignment="1">
      <alignment vertical="center" wrapText="1" shrinkToFit="1"/>
    </xf>
    <xf numFmtId="0" fontId="5" fillId="0" borderId="4" xfId="0" applyFont="1" applyBorder="1" applyAlignment="1">
      <alignment horizontal="center" vertical="center" wrapText="1" shrinkToFit="1"/>
    </xf>
    <xf numFmtId="180" fontId="4" fillId="0" borderId="1" xfId="3" applyFont="1" applyBorder="1" applyAlignment="1" applyProtection="1">
      <alignment vertical="center" wrapText="1" shrinkToFit="1"/>
    </xf>
    <xf numFmtId="0" fontId="4" fillId="0" borderId="15" xfId="0" applyFont="1" applyBorder="1" applyAlignment="1">
      <alignment horizontal="left" vertical="center" wrapText="1" shrinkToFit="1"/>
    </xf>
    <xf numFmtId="180" fontId="4" fillId="0" borderId="8" xfId="3" applyFont="1" applyBorder="1" applyAlignment="1" applyProtection="1">
      <alignment vertical="center" wrapText="1" shrinkToFit="1"/>
    </xf>
    <xf numFmtId="180" fontId="4" fillId="0" borderId="7" xfId="3" applyFont="1" applyBorder="1" applyAlignment="1" applyProtection="1">
      <alignment vertical="center" wrapText="1" shrinkToFit="1"/>
    </xf>
    <xf numFmtId="0" fontId="9" fillId="0" borderId="1" xfId="0" applyFont="1" applyBorder="1" applyAlignment="1">
      <alignment horizontal="left" vertical="center" wrapText="1" shrinkToFit="1"/>
    </xf>
    <xf numFmtId="0" fontId="9" fillId="0" borderId="1" xfId="0" applyFont="1" applyBorder="1" applyAlignment="1">
      <alignment horizontal="left" vertical="center" wrapText="1"/>
    </xf>
    <xf numFmtId="178" fontId="4" fillId="0" borderId="5" xfId="1" applyNumberFormat="1" applyFont="1" applyFill="1" applyBorder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3" applyNumberFormat="1" applyFont="1" applyBorder="1" applyAlignment="1" applyProtection="1">
      <alignment vertical="center" wrapText="1" shrinkToFit="1"/>
    </xf>
    <xf numFmtId="178" fontId="5" fillId="0" borderId="1" xfId="1" applyNumberFormat="1" applyFont="1" applyFill="1" applyBorder="1">
      <alignment vertical="center"/>
    </xf>
    <xf numFmtId="0" fontId="4" fillId="4" borderId="1" xfId="0" applyFont="1" applyFill="1" applyBorder="1" applyAlignment="1">
      <alignment horizontal="left" vertical="center" wrapText="1" shrinkToFit="1"/>
    </xf>
    <xf numFmtId="41" fontId="4" fillId="0" borderId="1" xfId="1" applyFont="1" applyFill="1" applyBorder="1" applyAlignment="1">
      <alignment horizontal="left" vertical="center" wrapText="1"/>
    </xf>
    <xf numFmtId="41" fontId="4" fillId="0" borderId="6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 shrinkToFit="1"/>
    </xf>
    <xf numFmtId="41" fontId="4" fillId="0" borderId="6" xfId="1" applyFont="1" applyFill="1" applyBorder="1">
      <alignment vertical="center"/>
    </xf>
    <xf numFmtId="0" fontId="4" fillId="4" borderId="4" xfId="0" applyFont="1" applyFill="1" applyBorder="1" applyAlignment="1">
      <alignment horizontal="left" vertical="center" wrapText="1" shrinkToFit="1"/>
    </xf>
    <xf numFmtId="41" fontId="10" fillId="0" borderId="1" xfId="1" applyFont="1" applyFill="1" applyBorder="1" applyAlignment="1">
      <alignment vertical="center" wrapText="1" shrinkToFit="1"/>
    </xf>
    <xf numFmtId="0" fontId="4" fillId="2" borderId="9" xfId="0" applyFont="1" applyFill="1" applyBorder="1" applyAlignment="1">
      <alignment horizontal="center" vertical="center" wrapText="1"/>
    </xf>
    <xf numFmtId="41" fontId="4" fillId="0" borderId="11" xfId="1" applyFont="1" applyFill="1" applyBorder="1" applyAlignment="1">
      <alignment vertical="center" wrapText="1" shrinkToFit="1"/>
    </xf>
    <xf numFmtId="41" fontId="4" fillId="0" borderId="7" xfId="1" applyFont="1" applyFill="1" applyBorder="1" applyAlignment="1">
      <alignment vertical="center" wrapText="1" shrinkToFit="1"/>
    </xf>
    <xf numFmtId="0" fontId="4" fillId="5" borderId="6" xfId="0" applyFont="1" applyFill="1" applyBorder="1" applyAlignment="1">
      <alignment horizontal="left" vertical="center" wrapText="1" shrinkToFit="1"/>
    </xf>
    <xf numFmtId="41" fontId="4" fillId="0" borderId="1" xfId="1" applyFont="1" applyFill="1" applyBorder="1" applyAlignment="1">
      <alignment horizontal="left" vertical="center"/>
    </xf>
    <xf numFmtId="41" fontId="4" fillId="0" borderId="1" xfId="1" applyFont="1" applyFill="1" applyBorder="1" applyAlignment="1">
      <alignment vertical="center"/>
    </xf>
    <xf numFmtId="178" fontId="4" fillId="3" borderId="16" xfId="1" applyNumberFormat="1" applyFont="1" applyFill="1" applyBorder="1">
      <alignment vertical="center"/>
    </xf>
    <xf numFmtId="41" fontId="4" fillId="0" borderId="8" xfId="1" applyFont="1" applyFill="1" applyBorder="1" applyAlignment="1">
      <alignment vertical="center" wrapText="1" shrinkToFit="1"/>
    </xf>
    <xf numFmtId="180" fontId="4" fillId="0" borderId="11" xfId="3" applyFont="1" applyBorder="1" applyAlignment="1" applyProtection="1">
      <alignment vertical="center" wrapText="1" shrinkToFit="1"/>
    </xf>
    <xf numFmtId="0" fontId="4" fillId="2" borderId="4" xfId="0" applyFont="1" applyFill="1" applyBorder="1" applyAlignment="1">
      <alignment vertical="center" wrapText="1"/>
    </xf>
    <xf numFmtId="41" fontId="4" fillId="0" borderId="6" xfId="1" applyFont="1" applyFill="1" applyBorder="1" applyAlignment="1">
      <alignment horizontal="left" vertical="center"/>
    </xf>
    <xf numFmtId="41" fontId="4" fillId="0" borderId="6" xfId="1" applyFont="1" applyFill="1" applyBorder="1" applyAlignment="1">
      <alignment vertical="center"/>
    </xf>
    <xf numFmtId="180" fontId="4" fillId="6" borderId="1" xfId="3" applyFont="1" applyFill="1" applyBorder="1" applyAlignment="1" applyProtection="1">
      <alignment vertical="center" wrapText="1" shrinkToFit="1"/>
    </xf>
    <xf numFmtId="180" fontId="4" fillId="0" borderId="5" xfId="3" applyFont="1" applyBorder="1" applyAlignment="1" applyProtection="1">
      <alignment vertical="center" wrapText="1" shrinkToFit="1"/>
    </xf>
    <xf numFmtId="41" fontId="8" fillId="0" borderId="1" xfId="1" applyFont="1" applyFill="1" applyBorder="1" applyAlignment="1">
      <alignment vertical="center" wrapText="1" shrinkToFit="1"/>
    </xf>
    <xf numFmtId="180" fontId="4" fillId="0" borderId="4" xfId="3" applyFont="1" applyBorder="1" applyAlignment="1" applyProtection="1">
      <alignment vertical="center" wrapText="1" shrinkToFit="1"/>
    </xf>
    <xf numFmtId="178" fontId="4" fillId="0" borderId="17" xfId="1" applyNumberFormat="1" applyFont="1" applyFill="1" applyBorder="1">
      <alignment vertical="center"/>
    </xf>
    <xf numFmtId="178" fontId="4" fillId="0" borderId="18" xfId="1" applyNumberFormat="1" applyFont="1" applyFill="1" applyBorder="1">
      <alignment vertical="center"/>
    </xf>
    <xf numFmtId="178" fontId="4" fillId="0" borderId="19" xfId="1" applyNumberFormat="1" applyFont="1" applyFill="1" applyBorder="1">
      <alignment vertical="center"/>
    </xf>
    <xf numFmtId="0" fontId="4" fillId="4" borderId="6" xfId="0" applyFont="1" applyFill="1" applyBorder="1" applyAlignment="1">
      <alignment horizontal="left" vertical="center" wrapText="1" shrinkToFit="1"/>
    </xf>
    <xf numFmtId="178" fontId="4" fillId="3" borderId="18" xfId="1" applyNumberFormat="1" applyFont="1" applyFill="1" applyBorder="1">
      <alignment vertical="center"/>
    </xf>
    <xf numFmtId="41" fontId="4" fillId="0" borderId="20" xfId="1" applyFont="1" applyFill="1" applyBorder="1" applyAlignment="1">
      <alignment vertical="center" wrapText="1" shrinkToFit="1"/>
    </xf>
    <xf numFmtId="41" fontId="9" fillId="0" borderId="12" xfId="1" applyFont="1" applyBorder="1" applyAlignment="1">
      <alignment vertical="center" wrapText="1" shrinkToFit="1"/>
    </xf>
    <xf numFmtId="0" fontId="4" fillId="2" borderId="26" xfId="0" applyFont="1" applyFill="1" applyBorder="1" applyAlignment="1">
      <alignment horizontal="center" vertical="center" wrapText="1" shrinkToFit="1"/>
    </xf>
    <xf numFmtId="0" fontId="4" fillId="4" borderId="27" xfId="0" applyFont="1" applyFill="1" applyBorder="1" applyAlignment="1">
      <alignment horizontal="center" vertical="center" wrapText="1" shrinkToFit="1"/>
    </xf>
    <xf numFmtId="0" fontId="4" fillId="3" borderId="27" xfId="0" applyFont="1" applyFill="1" applyBorder="1" applyAlignment="1">
      <alignment horizontal="center" vertical="center" wrapText="1" shrinkToFit="1"/>
    </xf>
    <xf numFmtId="0" fontId="4" fillId="0" borderId="28" xfId="0" applyFont="1" applyBorder="1" applyAlignment="1">
      <alignment horizontal="center" vertical="center" wrapText="1" shrinkToFit="1"/>
    </xf>
    <xf numFmtId="0" fontId="4" fillId="4" borderId="3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41" fontId="5" fillId="2" borderId="18" xfId="0" applyNumberFormat="1" applyFont="1" applyFill="1" applyBorder="1">
      <alignment vertical="center"/>
    </xf>
    <xf numFmtId="0" fontId="5" fillId="2" borderId="18" xfId="0" applyFont="1" applyFill="1" applyBorder="1">
      <alignment vertical="center"/>
    </xf>
    <xf numFmtId="0" fontId="5" fillId="2" borderId="45" xfId="0" applyFont="1" applyFill="1" applyBorder="1">
      <alignment vertical="center"/>
    </xf>
    <xf numFmtId="3" fontId="5" fillId="2" borderId="42" xfId="0" applyNumberFormat="1" applyFont="1" applyFill="1" applyBorder="1">
      <alignment vertical="center"/>
    </xf>
    <xf numFmtId="0" fontId="5" fillId="2" borderId="4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12" fillId="8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41" fontId="13" fillId="2" borderId="0" xfId="1" applyFont="1" applyFill="1" applyBorder="1" applyAlignment="1">
      <alignment horizontal="center" vertical="center"/>
    </xf>
    <xf numFmtId="41" fontId="7" fillId="2" borderId="0" xfId="1" applyFont="1" applyFill="1" applyBorder="1" applyAlignment="1">
      <alignment horizontal="center" vertical="center"/>
    </xf>
    <xf numFmtId="41" fontId="5" fillId="2" borderId="22" xfId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 wrapText="1"/>
    </xf>
    <xf numFmtId="0" fontId="15" fillId="2" borderId="48" xfId="0" applyFont="1" applyFill="1" applyBorder="1" applyAlignment="1">
      <alignment horizontal="center" vertical="center" wrapText="1"/>
    </xf>
    <xf numFmtId="10" fontId="7" fillId="2" borderId="11" xfId="2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8" fontId="4" fillId="9" borderId="1" xfId="1" applyNumberFormat="1" applyFont="1" applyFill="1" applyBorder="1">
      <alignment vertical="center"/>
    </xf>
    <xf numFmtId="0" fontId="4" fillId="4" borderId="1" xfId="0" applyFont="1" applyFill="1" applyBorder="1" applyAlignment="1">
      <alignment vertical="center" wrapText="1"/>
    </xf>
    <xf numFmtId="41" fontId="9" fillId="0" borderId="6" xfId="4" applyFont="1" applyBorder="1" applyAlignment="1">
      <alignment vertical="center" wrapText="1" shrinkToFit="1"/>
    </xf>
    <xf numFmtId="41" fontId="4" fillId="0" borderId="1" xfId="4" applyFont="1" applyBorder="1" applyAlignment="1">
      <alignment vertical="center" wrapText="1" shrinkToFit="1"/>
    </xf>
    <xf numFmtId="0" fontId="4" fillId="3" borderId="4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 shrinkToFit="1"/>
    </xf>
    <xf numFmtId="41" fontId="9" fillId="0" borderId="7" xfId="1" applyFont="1" applyFill="1" applyBorder="1" applyAlignment="1">
      <alignment vertical="center" wrapText="1" shrinkToFit="1"/>
    </xf>
    <xf numFmtId="0" fontId="9" fillId="4" borderId="1" xfId="0" applyFont="1" applyFill="1" applyBorder="1" applyAlignment="1">
      <alignment horizontal="left" vertical="center" wrapText="1" shrinkToFit="1"/>
    </xf>
    <xf numFmtId="41" fontId="9" fillId="0" borderId="1" xfId="1" applyFont="1" applyFill="1" applyBorder="1" applyAlignment="1">
      <alignment vertical="center" wrapText="1" shrinkToFit="1"/>
    </xf>
    <xf numFmtId="41" fontId="4" fillId="0" borderId="6" xfId="1" applyFont="1" applyBorder="1" applyAlignment="1">
      <alignment vertical="center" wrapText="1" shrinkToFit="1"/>
    </xf>
    <xf numFmtId="0" fontId="4" fillId="9" borderId="1" xfId="0" applyFont="1" applyFill="1" applyBorder="1" applyAlignment="1">
      <alignment horizontal="left" vertical="center" wrapText="1" shrinkToFit="1"/>
    </xf>
    <xf numFmtId="178" fontId="4" fillId="9" borderId="4" xfId="1" applyNumberFormat="1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7" borderId="37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36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41" fontId="7" fillId="2" borderId="11" xfId="1" applyFont="1" applyFill="1" applyBorder="1" applyAlignment="1">
      <alignment horizontal="center" vertical="center"/>
    </xf>
    <xf numFmtId="41" fontId="5" fillId="2" borderId="11" xfId="1" applyFont="1" applyFill="1" applyBorder="1" applyAlignment="1">
      <alignment horizontal="center" vertical="center" wrapText="1"/>
    </xf>
    <xf numFmtId="41" fontId="5" fillId="2" borderId="11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41" fontId="14" fillId="2" borderId="11" xfId="1" applyFont="1" applyFill="1" applyBorder="1" applyAlignment="1">
      <alignment horizontal="center" vertical="center"/>
    </xf>
    <xf numFmtId="41" fontId="4" fillId="2" borderId="11" xfId="1" applyFont="1" applyFill="1" applyBorder="1" applyAlignment="1">
      <alignment horizontal="center" vertical="center" wrapText="1"/>
    </xf>
    <xf numFmtId="41" fontId="4" fillId="2" borderId="11" xfId="1" applyFont="1" applyFill="1" applyBorder="1" applyAlignment="1">
      <alignment horizontal="center" vertical="center"/>
    </xf>
    <xf numFmtId="41" fontId="4" fillId="2" borderId="47" xfId="1" applyFont="1" applyFill="1" applyBorder="1" applyAlignment="1">
      <alignment horizontal="center" vertical="center"/>
    </xf>
    <xf numFmtId="22" fontId="13" fillId="2" borderId="28" xfId="1" applyNumberFormat="1" applyFont="1" applyFill="1" applyBorder="1" applyAlignment="1">
      <alignment horizontal="center" vertical="center"/>
    </xf>
    <xf numFmtId="22" fontId="13" fillId="2" borderId="28" xfId="1" applyNumberFormat="1" applyFont="1" applyFill="1" applyBorder="1" applyAlignment="1">
      <alignment horizontal="center" vertical="center" wrapText="1"/>
    </xf>
  </cellXfs>
  <cellStyles count="5">
    <cellStyle name="Excel Built-in Comma [0]" xfId="3" xr:uid="{00000000-0005-0000-0000-000000000000}"/>
    <cellStyle name="백분율" xfId="2" builtinId="5"/>
    <cellStyle name="쉼표 [0]" xfId="1" builtinId="6"/>
    <cellStyle name="쉼표 [0] 2" xfId="4" xr:uid="{00000000-0005-0000-0000-000003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0"/>
  <sheetViews>
    <sheetView showZeros="0" view="pageBreakPreview" zoomScale="80" zoomScaleSheetLayoutView="80" workbookViewId="0">
      <selection activeCell="M15" sqref="M15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133</v>
      </c>
      <c r="D1" s="179">
        <v>8735030000</v>
      </c>
      <c r="E1" s="179"/>
      <c r="F1" s="130"/>
      <c r="G1" s="130"/>
      <c r="H1" s="132" t="s">
        <v>132</v>
      </c>
      <c r="I1" s="180"/>
      <c r="J1" s="181"/>
      <c r="K1" s="139"/>
      <c r="L1" s="138"/>
      <c r="M1" s="182" t="s">
        <v>131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130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129</v>
      </c>
      <c r="D2" s="184">
        <v>9608533000</v>
      </c>
      <c r="E2" s="184"/>
      <c r="F2" s="185"/>
      <c r="G2" s="186"/>
      <c r="H2" s="132" t="s">
        <v>128</v>
      </c>
      <c r="I2" s="186">
        <f>D2*2</f>
        <v>19217066000</v>
      </c>
      <c r="J2" s="187"/>
      <c r="K2" s="131" t="s">
        <v>127</v>
      </c>
      <c r="L2" s="130"/>
      <c r="M2" s="130"/>
      <c r="N2" s="129" t="s">
        <v>126</v>
      </c>
      <c r="O2" s="188">
        <v>45880.583333333336</v>
      </c>
      <c r="P2" s="188"/>
      <c r="Q2" s="188"/>
      <c r="R2" s="188"/>
      <c r="S2" s="188"/>
      <c r="T2" s="188"/>
      <c r="U2" s="128"/>
      <c r="V2" s="127" t="s">
        <v>125</v>
      </c>
      <c r="W2" s="126"/>
      <c r="X2" s="126"/>
      <c r="Y2" s="124"/>
      <c r="Z2" s="124"/>
      <c r="AA2" s="124"/>
      <c r="AB2" s="124"/>
      <c r="AC2" s="124"/>
      <c r="AD2" s="125"/>
      <c r="AE2" s="124"/>
      <c r="AF2" s="124"/>
      <c r="AG2" s="124"/>
      <c r="AH2" s="123"/>
      <c r="AJ2" s="123"/>
      <c r="AK2" s="122"/>
      <c r="AL2" s="122"/>
      <c r="AM2" s="121" t="s">
        <v>124</v>
      </c>
      <c r="AO2" s="120" t="s">
        <v>123</v>
      </c>
      <c r="AP2" s="119">
        <v>8735030000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122</v>
      </c>
      <c r="B3" s="166" t="s">
        <v>121</v>
      </c>
      <c r="C3" s="168" t="s">
        <v>120</v>
      </c>
      <c r="D3" s="169"/>
      <c r="E3" s="169"/>
      <c r="F3" s="169"/>
      <c r="G3" s="169"/>
      <c r="H3" s="170"/>
      <c r="I3" s="168" t="s">
        <v>119</v>
      </c>
      <c r="J3" s="169"/>
      <c r="K3" s="169"/>
      <c r="L3" s="169"/>
      <c r="M3" s="170"/>
      <c r="N3" s="171" t="s">
        <v>118</v>
      </c>
      <c r="O3" s="168" t="s">
        <v>117</v>
      </c>
      <c r="P3" s="169"/>
      <c r="Q3" s="169"/>
      <c r="R3" s="169"/>
      <c r="S3" s="169"/>
      <c r="T3" s="170"/>
      <c r="U3" s="113"/>
      <c r="V3" s="168" t="s">
        <v>116</v>
      </c>
      <c r="W3" s="169"/>
      <c r="X3" s="169"/>
      <c r="Y3" s="169"/>
      <c r="Z3" s="169"/>
      <c r="AA3" s="170"/>
      <c r="AB3" s="113"/>
      <c r="AC3" s="113"/>
      <c r="AD3" s="114" t="s">
        <v>115</v>
      </c>
      <c r="AE3" s="113"/>
      <c r="AF3" s="113"/>
      <c r="AG3" s="113"/>
      <c r="AH3" s="112"/>
      <c r="AI3" s="173" t="s">
        <v>114</v>
      </c>
      <c r="AJ3" s="166" t="s">
        <v>113</v>
      </c>
      <c r="AK3" s="175" t="s">
        <v>112</v>
      </c>
      <c r="AL3" s="177" t="s">
        <v>111</v>
      </c>
      <c r="AM3" s="162" t="s">
        <v>110</v>
      </c>
      <c r="AN3" s="157" t="s">
        <v>109</v>
      </c>
      <c r="AO3" s="159" t="s">
        <v>108</v>
      </c>
      <c r="AP3" s="161" t="s">
        <v>107</v>
      </c>
      <c r="AQ3" s="156" t="s">
        <v>106</v>
      </c>
      <c r="AR3" s="156" t="s">
        <v>105</v>
      </c>
      <c r="AS3" s="156" t="s">
        <v>104</v>
      </c>
      <c r="AT3" s="156" t="s">
        <v>103</v>
      </c>
    </row>
    <row r="4" spans="1:46" s="5" customFormat="1" ht="39.75" customHeight="1" thickBot="1" x14ac:dyDescent="0.2">
      <c r="A4" s="165"/>
      <c r="B4" s="167"/>
      <c r="C4" s="109" t="s">
        <v>97</v>
      </c>
      <c r="D4" s="108" t="s">
        <v>96</v>
      </c>
      <c r="E4" s="105" t="s">
        <v>95</v>
      </c>
      <c r="F4" s="105" t="s">
        <v>94</v>
      </c>
      <c r="G4" s="105" t="s">
        <v>102</v>
      </c>
      <c r="H4" s="111" t="s">
        <v>101</v>
      </c>
      <c r="I4" s="109" t="s">
        <v>97</v>
      </c>
      <c r="J4" s="108" t="s">
        <v>96</v>
      </c>
      <c r="K4" s="107" t="s">
        <v>95</v>
      </c>
      <c r="L4" s="106" t="s">
        <v>94</v>
      </c>
      <c r="M4" s="105" t="s">
        <v>93</v>
      </c>
      <c r="N4" s="172"/>
      <c r="O4" s="109" t="s">
        <v>97</v>
      </c>
      <c r="P4" s="108" t="s">
        <v>100</v>
      </c>
      <c r="Q4" s="105" t="s">
        <v>95</v>
      </c>
      <c r="R4" s="107" t="s">
        <v>94</v>
      </c>
      <c r="S4" s="105" t="s">
        <v>93</v>
      </c>
      <c r="T4" s="110" t="s">
        <v>99</v>
      </c>
      <c r="U4" s="103" t="s">
        <v>98</v>
      </c>
      <c r="V4" s="109" t="s">
        <v>97</v>
      </c>
      <c r="W4" s="108" t="s">
        <v>96</v>
      </c>
      <c r="X4" s="107" t="s">
        <v>95</v>
      </c>
      <c r="Y4" s="106" t="s">
        <v>94</v>
      </c>
      <c r="Z4" s="105" t="s">
        <v>93</v>
      </c>
      <c r="AA4" s="104" t="s">
        <v>92</v>
      </c>
      <c r="AB4" s="103" t="s">
        <v>91</v>
      </c>
      <c r="AC4" s="100" t="s">
        <v>90</v>
      </c>
      <c r="AD4" s="102" t="s">
        <v>89</v>
      </c>
      <c r="AE4" s="102" t="s">
        <v>88</v>
      </c>
      <c r="AF4" s="101" t="s">
        <v>87</v>
      </c>
      <c r="AG4" s="100" t="s">
        <v>86</v>
      </c>
      <c r="AH4" s="100" t="s">
        <v>85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>
        <v>1</v>
      </c>
      <c r="B5" s="35" t="s">
        <v>75</v>
      </c>
      <c r="C5" s="70" t="s">
        <v>84</v>
      </c>
      <c r="D5" s="73"/>
      <c r="E5" s="73"/>
      <c r="F5" s="73"/>
      <c r="G5" s="51"/>
      <c r="H5" s="45"/>
      <c r="I5" s="38">
        <v>1</v>
      </c>
      <c r="J5" s="30"/>
      <c r="K5" s="29"/>
      <c r="L5" s="30"/>
      <c r="M5" s="27"/>
      <c r="N5" s="26">
        <f t="shared" ref="N5:N37" si="0">SUM(I5:M5)</f>
        <v>1</v>
      </c>
      <c r="O5" s="65">
        <v>15</v>
      </c>
      <c r="P5" s="23">
        <v>15</v>
      </c>
      <c r="Q5" s="42"/>
      <c r="R5" s="42"/>
      <c r="S5" s="42"/>
      <c r="T5" s="20">
        <f t="shared" ref="T5:T37" si="1">ROUND(((O5*I5)+(P5*J5)+(Q5*K5)+(R5*L5)+(S5*M5)),2)</f>
        <v>15</v>
      </c>
      <c r="U5" s="19">
        <f t="shared" ref="U5:U37" si="2">IF(T5&gt;=15,15,T5)</f>
        <v>15</v>
      </c>
      <c r="V5" s="99">
        <v>59183685000</v>
      </c>
      <c r="W5" s="98"/>
      <c r="X5" s="59"/>
      <c r="Y5" s="22"/>
      <c r="Z5" s="21"/>
      <c r="AA5" s="20">
        <f t="shared" ref="AA5:AA37" si="3">ROUND((((V5*I5)+(W5*J5)+(X5*K5)+(Y5*L5)+(Z5*M5))/$I$2*15),2)</f>
        <v>46.2</v>
      </c>
      <c r="AB5" s="19">
        <f t="shared" ref="AB5:AB37" si="4">IF(AA5&gt;=15,15,AA5)</f>
        <v>15</v>
      </c>
      <c r="AC5" s="16">
        <v>20</v>
      </c>
      <c r="AD5" s="83"/>
      <c r="AE5" s="97"/>
      <c r="AF5" s="23">
        <f t="shared" ref="AF5:AF37" si="5">IF((U5+AB5+AD5)&gt;=30,30,(U5+AB5+AD5))</f>
        <v>30</v>
      </c>
      <c r="AG5" s="16">
        <v>45</v>
      </c>
      <c r="AH5" s="23">
        <f t="shared" ref="AH5:AH37" si="6">AC5+AF5+AG5+AE5</f>
        <v>95</v>
      </c>
      <c r="AI5" s="14">
        <f t="shared" ref="AI5:AI37" si="7">-((50-((176+(45+(30-AF5)))))/200)</f>
        <v>0.85499999999999998</v>
      </c>
      <c r="AJ5" s="13"/>
      <c r="AK5" s="12">
        <v>0.01</v>
      </c>
      <c r="AL5" s="11">
        <f t="shared" ref="AL5:AL37" si="8">100%+AK5</f>
        <v>1.01</v>
      </c>
      <c r="AM5" s="10">
        <f t="shared" ref="AM5:AM37" si="9">ROUNDUP($D$2*AI5*AL5,-3)</f>
        <v>8297449000</v>
      </c>
      <c r="AN5" s="9"/>
      <c r="AO5" s="16"/>
      <c r="AP5" s="81"/>
      <c r="AQ5" s="81"/>
      <c r="AR5" s="8"/>
      <c r="AS5" s="7"/>
      <c r="AT5" s="6">
        <f t="shared" ref="AT5:AT37" si="10">(AO5*J5)+(AP5*K5)+(AQ5*L5)+(AR5*M5)+(AS5*N5)</f>
        <v>0</v>
      </c>
    </row>
    <row r="6" spans="1:46" s="37" customFormat="1" ht="45.75" customHeight="1" thickBot="1" x14ac:dyDescent="0.2">
      <c r="A6" s="35">
        <v>2</v>
      </c>
      <c r="B6" s="35" t="s">
        <v>75</v>
      </c>
      <c r="C6" s="96" t="s">
        <v>83</v>
      </c>
      <c r="D6" s="73"/>
      <c r="E6" s="73"/>
      <c r="F6" s="73"/>
      <c r="G6" s="51"/>
      <c r="H6" s="45"/>
      <c r="I6" s="38">
        <v>1</v>
      </c>
      <c r="J6" s="30"/>
      <c r="K6" s="29"/>
      <c r="L6" s="30"/>
      <c r="M6" s="27"/>
      <c r="N6" s="26">
        <f t="shared" si="0"/>
        <v>1</v>
      </c>
      <c r="O6" s="65">
        <v>15</v>
      </c>
      <c r="P6" s="23">
        <v>15</v>
      </c>
      <c r="Q6" s="42"/>
      <c r="R6" s="42"/>
      <c r="S6" s="42"/>
      <c r="T6" s="20">
        <f t="shared" si="1"/>
        <v>15</v>
      </c>
      <c r="U6" s="19">
        <f t="shared" si="2"/>
        <v>15</v>
      </c>
      <c r="V6" s="52">
        <v>39361754000</v>
      </c>
      <c r="W6" s="59"/>
      <c r="X6" s="59"/>
      <c r="Y6" s="41"/>
      <c r="Z6" s="21"/>
      <c r="AA6" s="20">
        <f t="shared" si="3"/>
        <v>30.72</v>
      </c>
      <c r="AB6" s="19">
        <f t="shared" si="4"/>
        <v>15</v>
      </c>
      <c r="AC6" s="16">
        <v>20</v>
      </c>
      <c r="AD6" s="18"/>
      <c r="AE6" s="17"/>
      <c r="AF6" s="23">
        <f t="shared" si="5"/>
        <v>30</v>
      </c>
      <c r="AG6" s="16">
        <v>45</v>
      </c>
      <c r="AH6" s="23">
        <f t="shared" si="6"/>
        <v>95</v>
      </c>
      <c r="AI6" s="14">
        <f t="shared" si="7"/>
        <v>0.85499999999999998</v>
      </c>
      <c r="AJ6" s="13"/>
      <c r="AK6" s="12">
        <v>0.01</v>
      </c>
      <c r="AL6" s="11">
        <f t="shared" si="8"/>
        <v>1.01</v>
      </c>
      <c r="AM6" s="10">
        <f t="shared" si="9"/>
        <v>8297449000</v>
      </c>
      <c r="AN6" s="9"/>
      <c r="AO6" s="16"/>
      <c r="AP6" s="81"/>
      <c r="AQ6" s="81"/>
      <c r="AR6" s="8"/>
      <c r="AS6" s="7"/>
      <c r="AT6" s="6">
        <f t="shared" si="10"/>
        <v>0</v>
      </c>
    </row>
    <row r="7" spans="1:46" s="37" customFormat="1" ht="45.75" customHeight="1" thickBot="1" x14ac:dyDescent="0.2">
      <c r="A7" s="35">
        <v>3</v>
      </c>
      <c r="B7" s="35" t="s">
        <v>75</v>
      </c>
      <c r="C7" s="96" t="s">
        <v>82</v>
      </c>
      <c r="D7" s="73"/>
      <c r="E7" s="73"/>
      <c r="F7" s="73"/>
      <c r="G7" s="51"/>
      <c r="H7" s="45"/>
      <c r="I7" s="38">
        <v>1</v>
      </c>
      <c r="J7" s="30"/>
      <c r="K7" s="29"/>
      <c r="L7" s="30"/>
      <c r="M7" s="27"/>
      <c r="N7" s="26">
        <f t="shared" si="0"/>
        <v>1</v>
      </c>
      <c r="O7" s="65">
        <v>15</v>
      </c>
      <c r="P7" s="23">
        <v>15</v>
      </c>
      <c r="Q7" s="42"/>
      <c r="R7" s="42"/>
      <c r="S7" s="42"/>
      <c r="T7" s="20">
        <f t="shared" si="1"/>
        <v>15</v>
      </c>
      <c r="U7" s="19">
        <f t="shared" si="2"/>
        <v>15</v>
      </c>
      <c r="V7" s="52">
        <v>34748832000</v>
      </c>
      <c r="W7" s="59"/>
      <c r="X7" s="59"/>
      <c r="Y7" s="48"/>
      <c r="Z7" s="21"/>
      <c r="AA7" s="20">
        <f t="shared" si="3"/>
        <v>27.12</v>
      </c>
      <c r="AB7" s="19">
        <f t="shared" si="4"/>
        <v>15</v>
      </c>
      <c r="AC7" s="16">
        <v>20</v>
      </c>
      <c r="AD7" s="18"/>
      <c r="AE7" s="17"/>
      <c r="AF7" s="23">
        <f t="shared" si="5"/>
        <v>30</v>
      </c>
      <c r="AG7" s="16">
        <v>45</v>
      </c>
      <c r="AH7" s="23">
        <f t="shared" si="6"/>
        <v>95</v>
      </c>
      <c r="AI7" s="14">
        <f t="shared" si="7"/>
        <v>0.85499999999999998</v>
      </c>
      <c r="AJ7" s="13"/>
      <c r="AK7" s="12">
        <v>0.01</v>
      </c>
      <c r="AL7" s="11">
        <f t="shared" si="8"/>
        <v>1.01</v>
      </c>
      <c r="AM7" s="10">
        <f t="shared" si="9"/>
        <v>8297449000</v>
      </c>
      <c r="AN7" s="9"/>
      <c r="AO7" s="16"/>
      <c r="AP7" s="81"/>
      <c r="AQ7" s="81"/>
      <c r="AR7" s="8"/>
      <c r="AS7" s="7"/>
      <c r="AT7" s="6">
        <f t="shared" si="10"/>
        <v>0</v>
      </c>
    </row>
    <row r="8" spans="1:46" s="37" customFormat="1" ht="45.75" customHeight="1" thickBot="1" x14ac:dyDescent="0.2">
      <c r="A8" s="35">
        <v>4</v>
      </c>
      <c r="B8" s="35" t="s">
        <v>75</v>
      </c>
      <c r="C8" s="70" t="s">
        <v>81</v>
      </c>
      <c r="D8" s="73"/>
      <c r="E8" s="73"/>
      <c r="F8" s="73"/>
      <c r="G8" s="51"/>
      <c r="H8" s="45"/>
      <c r="I8" s="38">
        <v>1</v>
      </c>
      <c r="J8" s="30"/>
      <c r="K8" s="29"/>
      <c r="L8" s="28"/>
      <c r="M8" s="27"/>
      <c r="N8" s="26">
        <f t="shared" si="0"/>
        <v>1</v>
      </c>
      <c r="O8" s="65">
        <v>15</v>
      </c>
      <c r="P8" s="23">
        <v>15</v>
      </c>
      <c r="Q8" s="42"/>
      <c r="R8" s="42"/>
      <c r="S8" s="42"/>
      <c r="T8" s="20">
        <f t="shared" si="1"/>
        <v>15</v>
      </c>
      <c r="U8" s="19">
        <f t="shared" si="2"/>
        <v>15</v>
      </c>
      <c r="V8" s="41">
        <v>57539030000</v>
      </c>
      <c r="W8" s="59"/>
      <c r="X8" s="59"/>
      <c r="Y8" s="22"/>
      <c r="Z8" s="21"/>
      <c r="AA8" s="20">
        <f t="shared" si="3"/>
        <v>44.91</v>
      </c>
      <c r="AB8" s="19">
        <f t="shared" si="4"/>
        <v>15</v>
      </c>
      <c r="AC8" s="16">
        <v>20</v>
      </c>
      <c r="AD8" s="18"/>
      <c r="AE8" s="17"/>
      <c r="AF8" s="23">
        <f t="shared" si="5"/>
        <v>30</v>
      </c>
      <c r="AG8" s="16">
        <v>45</v>
      </c>
      <c r="AH8" s="23">
        <f t="shared" si="6"/>
        <v>95</v>
      </c>
      <c r="AI8" s="14">
        <f t="shared" si="7"/>
        <v>0.85499999999999998</v>
      </c>
      <c r="AJ8" s="13"/>
      <c r="AK8" s="12">
        <v>0.01</v>
      </c>
      <c r="AL8" s="11">
        <f t="shared" si="8"/>
        <v>1.01</v>
      </c>
      <c r="AM8" s="10">
        <f t="shared" si="9"/>
        <v>8297449000</v>
      </c>
      <c r="AN8" s="9"/>
      <c r="AO8" s="16"/>
      <c r="AP8" s="81"/>
      <c r="AQ8" s="81"/>
      <c r="AR8" s="8"/>
      <c r="AS8" s="7"/>
      <c r="AT8" s="6">
        <f t="shared" si="10"/>
        <v>0</v>
      </c>
    </row>
    <row r="9" spans="1:46" s="37" customFormat="1" ht="45.75" customHeight="1" thickBot="1" x14ac:dyDescent="0.2">
      <c r="A9" s="35">
        <v>5</v>
      </c>
      <c r="B9" s="35" t="s">
        <v>75</v>
      </c>
      <c r="C9" s="96" t="s">
        <v>80</v>
      </c>
      <c r="D9" s="73" t="s">
        <v>79</v>
      </c>
      <c r="E9" s="73"/>
      <c r="F9" s="73"/>
      <c r="G9" s="51"/>
      <c r="H9" s="45"/>
      <c r="I9" s="38">
        <v>0.7</v>
      </c>
      <c r="J9" s="30">
        <v>0.3</v>
      </c>
      <c r="K9" s="29"/>
      <c r="L9" s="28"/>
      <c r="M9" s="27"/>
      <c r="N9" s="26">
        <f t="shared" si="0"/>
        <v>1</v>
      </c>
      <c r="O9" s="65">
        <v>15</v>
      </c>
      <c r="P9" s="23">
        <v>15</v>
      </c>
      <c r="Q9" s="42"/>
      <c r="R9" s="42"/>
      <c r="S9" s="23"/>
      <c r="T9" s="20">
        <f t="shared" si="1"/>
        <v>15</v>
      </c>
      <c r="U9" s="19">
        <f t="shared" si="2"/>
        <v>15</v>
      </c>
      <c r="V9" s="52">
        <v>14977246000</v>
      </c>
      <c r="W9" s="59">
        <v>58909982000</v>
      </c>
      <c r="X9" s="59"/>
      <c r="Y9" s="57"/>
      <c r="Z9" s="21"/>
      <c r="AA9" s="20">
        <f t="shared" si="3"/>
        <v>21.98</v>
      </c>
      <c r="AB9" s="19">
        <f t="shared" si="4"/>
        <v>15</v>
      </c>
      <c r="AC9" s="16">
        <v>20</v>
      </c>
      <c r="AD9" s="18"/>
      <c r="AE9" s="17"/>
      <c r="AF9" s="23">
        <f t="shared" si="5"/>
        <v>30</v>
      </c>
      <c r="AG9" s="16">
        <v>45</v>
      </c>
      <c r="AH9" s="23">
        <f t="shared" si="6"/>
        <v>95</v>
      </c>
      <c r="AI9" s="14">
        <f t="shared" si="7"/>
        <v>0.85499999999999998</v>
      </c>
      <c r="AJ9" s="13"/>
      <c r="AK9" s="12">
        <v>0.01</v>
      </c>
      <c r="AL9" s="11">
        <f t="shared" si="8"/>
        <v>1.01</v>
      </c>
      <c r="AM9" s="10">
        <f t="shared" si="9"/>
        <v>8297449000</v>
      </c>
      <c r="AN9" s="9"/>
      <c r="AO9" s="16"/>
      <c r="AP9" s="87"/>
      <c r="AQ9" s="81"/>
      <c r="AR9" s="8"/>
      <c r="AS9" s="7"/>
      <c r="AT9" s="6">
        <f t="shared" si="10"/>
        <v>0</v>
      </c>
    </row>
    <row r="10" spans="1:46" s="37" customFormat="1" ht="45.75" customHeight="1" thickBot="1" x14ac:dyDescent="0.2">
      <c r="A10" s="35">
        <v>6</v>
      </c>
      <c r="B10" s="35" t="s">
        <v>75</v>
      </c>
      <c r="C10" s="80" t="s">
        <v>78</v>
      </c>
      <c r="D10" s="70" t="s">
        <v>77</v>
      </c>
      <c r="E10" s="80" t="s">
        <v>76</v>
      </c>
      <c r="F10" s="73"/>
      <c r="G10" s="51"/>
      <c r="H10" s="45"/>
      <c r="I10" s="38">
        <v>0.4</v>
      </c>
      <c r="J10" s="30">
        <v>0.3</v>
      </c>
      <c r="K10" s="29">
        <v>0.3</v>
      </c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52">
        <v>8216820000</v>
      </c>
      <c r="W10" s="92">
        <v>1346655000</v>
      </c>
      <c r="X10" s="41">
        <v>328448752000</v>
      </c>
      <c r="Y10" s="41"/>
      <c r="Z10" s="21"/>
      <c r="AA10" s="20">
        <f t="shared" si="3"/>
        <v>79.790000000000006</v>
      </c>
      <c r="AB10" s="19">
        <f t="shared" si="4"/>
        <v>15</v>
      </c>
      <c r="AC10" s="16">
        <v>20</v>
      </c>
      <c r="AD10" s="18"/>
      <c r="AE10" s="17"/>
      <c r="AF10" s="93">
        <f t="shared" si="5"/>
        <v>30</v>
      </c>
      <c r="AG10" s="74">
        <v>45</v>
      </c>
      <c r="AH10" s="93">
        <f t="shared" si="6"/>
        <v>95</v>
      </c>
      <c r="AI10" s="14">
        <f t="shared" si="7"/>
        <v>0.85499999999999998</v>
      </c>
      <c r="AJ10" s="13"/>
      <c r="AK10" s="12">
        <v>0.01</v>
      </c>
      <c r="AL10" s="11">
        <f t="shared" si="8"/>
        <v>1.01</v>
      </c>
      <c r="AM10" s="10">
        <f t="shared" si="9"/>
        <v>8297449000</v>
      </c>
      <c r="AN10" s="9"/>
      <c r="AO10" s="16"/>
      <c r="AP10" s="71"/>
      <c r="AQ10" s="81"/>
      <c r="AR10" s="8"/>
      <c r="AS10" s="7"/>
      <c r="AT10" s="6">
        <f t="shared" si="10"/>
        <v>0</v>
      </c>
    </row>
    <row r="11" spans="1:46" s="37" customFormat="1" ht="45.75" customHeight="1" thickBot="1" x14ac:dyDescent="0.2">
      <c r="A11" s="35">
        <v>7</v>
      </c>
      <c r="B11" s="35" t="s">
        <v>75</v>
      </c>
      <c r="C11" s="39" t="s">
        <v>74</v>
      </c>
      <c r="D11" s="70" t="s">
        <v>73</v>
      </c>
      <c r="E11" s="80" t="s">
        <v>72</v>
      </c>
      <c r="F11" s="73"/>
      <c r="G11" s="51"/>
      <c r="H11" s="45" t="s">
        <v>71</v>
      </c>
      <c r="I11" s="38">
        <v>0.4</v>
      </c>
      <c r="J11" s="30">
        <v>0.3</v>
      </c>
      <c r="K11" s="29">
        <v>0.3</v>
      </c>
      <c r="L11" s="28"/>
      <c r="M11" s="27"/>
      <c r="N11" s="26">
        <f t="shared" si="0"/>
        <v>1</v>
      </c>
      <c r="O11" s="65">
        <v>15</v>
      </c>
      <c r="P11" s="23">
        <v>15</v>
      </c>
      <c r="Q11" s="42">
        <v>15</v>
      </c>
      <c r="R11" s="42"/>
      <c r="S11" s="23"/>
      <c r="T11" s="20">
        <f t="shared" si="1"/>
        <v>15</v>
      </c>
      <c r="U11" s="19">
        <f t="shared" si="2"/>
        <v>15</v>
      </c>
      <c r="V11" s="84">
        <v>3664456000</v>
      </c>
      <c r="W11" s="89"/>
      <c r="X11" s="41">
        <v>130509297000</v>
      </c>
      <c r="Y11" s="91"/>
      <c r="Z11" s="21"/>
      <c r="AA11" s="20">
        <f t="shared" si="3"/>
        <v>31.71</v>
      </c>
      <c r="AB11" s="19">
        <f t="shared" si="4"/>
        <v>15</v>
      </c>
      <c r="AC11" s="16">
        <v>20</v>
      </c>
      <c r="AD11" s="18"/>
      <c r="AE11" s="17"/>
      <c r="AF11" s="23">
        <f t="shared" si="5"/>
        <v>30</v>
      </c>
      <c r="AG11" s="16">
        <v>45</v>
      </c>
      <c r="AH11" s="23">
        <f t="shared" si="6"/>
        <v>95</v>
      </c>
      <c r="AI11" s="14">
        <f t="shared" si="7"/>
        <v>0.85499999999999998</v>
      </c>
      <c r="AJ11" s="13"/>
      <c r="AK11" s="12">
        <v>0.01</v>
      </c>
      <c r="AL11" s="11">
        <f t="shared" si="8"/>
        <v>1.01</v>
      </c>
      <c r="AM11" s="10">
        <f t="shared" si="9"/>
        <v>8297449000</v>
      </c>
      <c r="AN11" s="9"/>
      <c r="AO11" s="16"/>
      <c r="AP11" s="71"/>
      <c r="AQ11" s="71"/>
      <c r="AR11" s="8"/>
      <c r="AS11" s="7"/>
      <c r="AT11" s="6">
        <f t="shared" si="10"/>
        <v>0</v>
      </c>
    </row>
    <row r="12" spans="1:46" s="37" customFormat="1" ht="45.75" customHeight="1" thickBot="1" x14ac:dyDescent="0.2">
      <c r="A12" s="35">
        <v>8</v>
      </c>
      <c r="B12" s="35" t="s">
        <v>75</v>
      </c>
      <c r="C12" s="70" t="s">
        <v>70</v>
      </c>
      <c r="D12" s="73" t="s">
        <v>69</v>
      </c>
      <c r="E12" s="73"/>
      <c r="F12" s="73"/>
      <c r="G12" s="51"/>
      <c r="H12" s="45"/>
      <c r="I12" s="38">
        <v>0.6</v>
      </c>
      <c r="J12" s="30">
        <v>0.4</v>
      </c>
      <c r="K12" s="29"/>
      <c r="L12" s="28"/>
      <c r="M12" s="27"/>
      <c r="N12" s="26">
        <f t="shared" si="0"/>
        <v>1</v>
      </c>
      <c r="O12" s="65">
        <v>15</v>
      </c>
      <c r="P12" s="23">
        <v>15</v>
      </c>
      <c r="Q12" s="42"/>
      <c r="R12" s="42"/>
      <c r="S12" s="23"/>
      <c r="T12" s="20">
        <f t="shared" si="1"/>
        <v>15</v>
      </c>
      <c r="U12" s="19">
        <f t="shared" si="2"/>
        <v>15</v>
      </c>
      <c r="V12" s="22">
        <v>8139504000</v>
      </c>
      <c r="W12" s="22">
        <v>36061728000</v>
      </c>
      <c r="X12" s="59"/>
      <c r="Y12" s="22"/>
      <c r="Z12" s="68"/>
      <c r="AA12" s="20">
        <f t="shared" si="3"/>
        <v>15.07</v>
      </c>
      <c r="AB12" s="19">
        <f t="shared" si="4"/>
        <v>15</v>
      </c>
      <c r="AC12" s="16">
        <v>20</v>
      </c>
      <c r="AD12" s="18"/>
      <c r="AE12" s="17"/>
      <c r="AF12" s="23">
        <f t="shared" si="5"/>
        <v>30</v>
      </c>
      <c r="AG12" s="16">
        <v>45</v>
      </c>
      <c r="AH12" s="23">
        <f t="shared" si="6"/>
        <v>95</v>
      </c>
      <c r="AI12" s="14">
        <f t="shared" si="7"/>
        <v>0.85499999999999998</v>
      </c>
      <c r="AJ12" s="13"/>
      <c r="AK12" s="12">
        <v>0.01</v>
      </c>
      <c r="AL12" s="11">
        <f t="shared" si="8"/>
        <v>1.01</v>
      </c>
      <c r="AM12" s="10">
        <f t="shared" si="9"/>
        <v>8297449000</v>
      </c>
      <c r="AN12" s="9"/>
      <c r="AO12" s="16"/>
      <c r="AP12" s="72"/>
      <c r="AQ12" s="71"/>
      <c r="AR12" s="8"/>
      <c r="AS12" s="7"/>
      <c r="AT12" s="6">
        <f t="shared" si="10"/>
        <v>0</v>
      </c>
    </row>
    <row r="13" spans="1:46" s="37" customFormat="1" ht="45.75" customHeight="1" thickBot="1" x14ac:dyDescent="0.2">
      <c r="A13" s="35">
        <v>9</v>
      </c>
      <c r="B13" s="35" t="s">
        <v>75</v>
      </c>
      <c r="C13" s="70" t="s">
        <v>68</v>
      </c>
      <c r="D13" s="73" t="s">
        <v>67</v>
      </c>
      <c r="E13" s="73"/>
      <c r="F13" s="73"/>
      <c r="G13" s="51"/>
      <c r="H13" s="45"/>
      <c r="I13" s="38">
        <v>0.51</v>
      </c>
      <c r="J13" s="30">
        <v>0.49</v>
      </c>
      <c r="K13" s="29"/>
      <c r="L13" s="28"/>
      <c r="M13" s="29"/>
      <c r="N13" s="26">
        <f t="shared" si="0"/>
        <v>1</v>
      </c>
      <c r="O13" s="23">
        <v>15</v>
      </c>
      <c r="P13" s="23">
        <v>15</v>
      </c>
      <c r="Q13" s="42"/>
      <c r="R13" s="42"/>
      <c r="S13" s="24"/>
      <c r="T13" s="20">
        <f t="shared" si="1"/>
        <v>15</v>
      </c>
      <c r="U13" s="19">
        <f t="shared" si="2"/>
        <v>15</v>
      </c>
      <c r="V13" s="78">
        <v>13914818000</v>
      </c>
      <c r="W13" s="59">
        <v>101360213000</v>
      </c>
      <c r="X13" s="22"/>
      <c r="Y13" s="22"/>
      <c r="Z13" s="22"/>
      <c r="AA13" s="20">
        <f t="shared" si="3"/>
        <v>44.31</v>
      </c>
      <c r="AB13" s="19">
        <f t="shared" si="4"/>
        <v>15</v>
      </c>
      <c r="AC13" s="16">
        <v>20</v>
      </c>
      <c r="AD13" s="18"/>
      <c r="AE13" s="17"/>
      <c r="AF13" s="23">
        <f t="shared" si="5"/>
        <v>30</v>
      </c>
      <c r="AG13" s="16">
        <v>45</v>
      </c>
      <c r="AH13" s="23">
        <f t="shared" si="6"/>
        <v>95</v>
      </c>
      <c r="AI13" s="14">
        <f t="shared" si="7"/>
        <v>0.85499999999999998</v>
      </c>
      <c r="AJ13" s="13"/>
      <c r="AK13" s="12">
        <v>0.01</v>
      </c>
      <c r="AL13" s="11">
        <f t="shared" si="8"/>
        <v>1.01</v>
      </c>
      <c r="AM13" s="10">
        <f t="shared" si="9"/>
        <v>8297449000</v>
      </c>
      <c r="AN13" s="9"/>
      <c r="AO13" s="8"/>
      <c r="AP13" s="8"/>
      <c r="AQ13" s="8"/>
      <c r="AR13" s="8"/>
      <c r="AS13" s="7"/>
      <c r="AT13" s="6">
        <f t="shared" si="10"/>
        <v>0</v>
      </c>
    </row>
    <row r="14" spans="1:46" s="37" customFormat="1" ht="45.75" customHeight="1" thickBot="1" x14ac:dyDescent="0.2">
      <c r="A14" s="35">
        <v>10</v>
      </c>
      <c r="B14" s="35" t="s">
        <v>75</v>
      </c>
      <c r="C14" s="70" t="s">
        <v>66</v>
      </c>
      <c r="D14" s="73" t="s">
        <v>65</v>
      </c>
      <c r="E14" s="73"/>
      <c r="F14" s="73"/>
      <c r="G14" s="51"/>
      <c r="H14" s="45"/>
      <c r="I14" s="38">
        <v>0.51</v>
      </c>
      <c r="J14" s="30">
        <v>0.49</v>
      </c>
      <c r="K14" s="29"/>
      <c r="L14" s="30"/>
      <c r="M14" s="27"/>
      <c r="N14" s="26">
        <f t="shared" si="0"/>
        <v>1</v>
      </c>
      <c r="O14" s="65">
        <v>15</v>
      </c>
      <c r="P14" s="23">
        <v>15</v>
      </c>
      <c r="Q14" s="42"/>
      <c r="R14" s="42"/>
      <c r="S14" s="42"/>
      <c r="T14" s="20">
        <f t="shared" si="1"/>
        <v>15</v>
      </c>
      <c r="U14" s="19">
        <f t="shared" si="2"/>
        <v>15</v>
      </c>
      <c r="V14" s="79">
        <v>7702371000</v>
      </c>
      <c r="W14" s="22">
        <v>78106522000</v>
      </c>
      <c r="X14" s="92"/>
      <c r="Y14" s="91"/>
      <c r="Z14" s="21"/>
      <c r="AA14" s="20">
        <f t="shared" si="3"/>
        <v>32.94</v>
      </c>
      <c r="AB14" s="19">
        <f t="shared" si="4"/>
        <v>15</v>
      </c>
      <c r="AC14" s="16">
        <v>20</v>
      </c>
      <c r="AD14" s="18"/>
      <c r="AE14" s="17"/>
      <c r="AF14" s="23">
        <f t="shared" si="5"/>
        <v>30</v>
      </c>
      <c r="AG14" s="16">
        <v>45</v>
      </c>
      <c r="AH14" s="23">
        <f t="shared" si="6"/>
        <v>95</v>
      </c>
      <c r="AI14" s="14">
        <f t="shared" si="7"/>
        <v>0.85499999999999998</v>
      </c>
      <c r="AJ14" s="13"/>
      <c r="AK14" s="12">
        <v>0.01</v>
      </c>
      <c r="AL14" s="11">
        <f t="shared" si="8"/>
        <v>1.01</v>
      </c>
      <c r="AM14" s="10">
        <f t="shared" si="9"/>
        <v>8297449000</v>
      </c>
      <c r="AN14" s="9"/>
      <c r="AO14" s="72"/>
      <c r="AP14" s="16"/>
      <c r="AQ14" s="16"/>
      <c r="AR14" s="8"/>
      <c r="AS14" s="7"/>
      <c r="AT14" s="6">
        <f t="shared" si="10"/>
        <v>0</v>
      </c>
    </row>
    <row r="15" spans="1:46" s="37" customFormat="1" ht="45.75" customHeight="1" thickBot="1" x14ac:dyDescent="0.2">
      <c r="A15" s="35">
        <v>11</v>
      </c>
      <c r="B15" s="35" t="s">
        <v>75</v>
      </c>
      <c r="C15" s="73" t="s">
        <v>64</v>
      </c>
      <c r="D15" s="70" t="s">
        <v>63</v>
      </c>
      <c r="E15" s="73" t="s">
        <v>62</v>
      </c>
      <c r="F15" s="73"/>
      <c r="G15" s="51"/>
      <c r="H15" s="77"/>
      <c r="I15" s="38">
        <v>0.4</v>
      </c>
      <c r="J15" s="30">
        <v>0.3</v>
      </c>
      <c r="K15" s="29">
        <v>0.3</v>
      </c>
      <c r="L15" s="28"/>
      <c r="M15" s="27"/>
      <c r="N15" s="26">
        <f t="shared" si="0"/>
        <v>1</v>
      </c>
      <c r="O15" s="65">
        <v>15</v>
      </c>
      <c r="P15" s="23">
        <v>15</v>
      </c>
      <c r="Q15" s="23">
        <v>15</v>
      </c>
      <c r="R15" s="42"/>
      <c r="S15" s="23"/>
      <c r="T15" s="20">
        <f t="shared" si="1"/>
        <v>15</v>
      </c>
      <c r="U15" s="19">
        <f t="shared" si="2"/>
        <v>15</v>
      </c>
      <c r="V15" s="59">
        <v>3815383000</v>
      </c>
      <c r="W15" s="68">
        <v>1803756000</v>
      </c>
      <c r="X15" s="89">
        <v>99999999999</v>
      </c>
      <c r="Y15" s="22"/>
      <c r="Z15" s="68"/>
      <c r="AA15" s="20">
        <f t="shared" si="3"/>
        <v>25.03</v>
      </c>
      <c r="AB15" s="19">
        <f t="shared" si="4"/>
        <v>15</v>
      </c>
      <c r="AC15" s="16">
        <v>20</v>
      </c>
      <c r="AD15" s="18"/>
      <c r="AE15" s="17"/>
      <c r="AF15" s="23">
        <f t="shared" si="5"/>
        <v>30</v>
      </c>
      <c r="AG15" s="16">
        <v>45</v>
      </c>
      <c r="AH15" s="23">
        <f t="shared" si="6"/>
        <v>95</v>
      </c>
      <c r="AI15" s="14">
        <f t="shared" si="7"/>
        <v>0.85499999999999998</v>
      </c>
      <c r="AJ15" s="13"/>
      <c r="AK15" s="12">
        <v>0.01</v>
      </c>
      <c r="AL15" s="11">
        <f t="shared" si="8"/>
        <v>1.01</v>
      </c>
      <c r="AM15" s="10">
        <f t="shared" si="9"/>
        <v>8297449000</v>
      </c>
      <c r="AN15" s="9"/>
      <c r="AO15" s="16"/>
      <c r="AP15" s="71"/>
      <c r="AQ15" s="16"/>
      <c r="AR15" s="8"/>
      <c r="AS15" s="7"/>
      <c r="AT15" s="6">
        <f t="shared" si="10"/>
        <v>0</v>
      </c>
    </row>
    <row r="16" spans="1:46" s="37" customFormat="1" ht="45.75" customHeight="1" thickBot="1" x14ac:dyDescent="0.2">
      <c r="A16" s="35">
        <v>12</v>
      </c>
      <c r="B16" s="35" t="s">
        <v>75</v>
      </c>
      <c r="C16" s="80" t="s">
        <v>61</v>
      </c>
      <c r="D16" s="70" t="s">
        <v>60</v>
      </c>
      <c r="E16" s="73"/>
      <c r="F16" s="73"/>
      <c r="G16" s="51"/>
      <c r="H16" s="45"/>
      <c r="I16" s="38">
        <v>0.7</v>
      </c>
      <c r="J16" s="30">
        <v>0.3</v>
      </c>
      <c r="K16" s="29"/>
      <c r="L16" s="28"/>
      <c r="M16" s="27"/>
      <c r="N16" s="26">
        <f t="shared" si="0"/>
        <v>1</v>
      </c>
      <c r="O16" s="65">
        <v>15</v>
      </c>
      <c r="P16" s="23">
        <v>15</v>
      </c>
      <c r="Q16" s="42"/>
      <c r="R16" s="42"/>
      <c r="S16" s="23"/>
      <c r="T16" s="20">
        <f t="shared" si="1"/>
        <v>15</v>
      </c>
      <c r="U16" s="19">
        <f t="shared" si="2"/>
        <v>15</v>
      </c>
      <c r="V16" s="52">
        <v>229675529000</v>
      </c>
      <c r="W16" s="59">
        <v>10918046000</v>
      </c>
      <c r="X16" s="61"/>
      <c r="Y16" s="22"/>
      <c r="Z16" s="21"/>
      <c r="AA16" s="20">
        <f t="shared" si="3"/>
        <v>128.05000000000001</v>
      </c>
      <c r="AB16" s="19">
        <f t="shared" si="4"/>
        <v>15</v>
      </c>
      <c r="AC16" s="16">
        <v>20</v>
      </c>
      <c r="AD16" s="18"/>
      <c r="AE16" s="17"/>
      <c r="AF16" s="23">
        <f t="shared" si="5"/>
        <v>30</v>
      </c>
      <c r="AG16" s="16">
        <v>45</v>
      </c>
      <c r="AH16" s="23">
        <f t="shared" si="6"/>
        <v>95</v>
      </c>
      <c r="AI16" s="14">
        <f t="shared" si="7"/>
        <v>0.85499999999999998</v>
      </c>
      <c r="AJ16" s="13"/>
      <c r="AK16" s="12">
        <v>0.01</v>
      </c>
      <c r="AL16" s="11">
        <f t="shared" si="8"/>
        <v>1.01</v>
      </c>
      <c r="AM16" s="10">
        <f t="shared" si="9"/>
        <v>8297449000</v>
      </c>
      <c r="AN16" s="9"/>
      <c r="AO16" s="74"/>
      <c r="AP16" s="71"/>
      <c r="AQ16" s="71"/>
      <c r="AR16" s="8"/>
      <c r="AS16" s="7"/>
      <c r="AT16" s="6">
        <f t="shared" si="10"/>
        <v>0</v>
      </c>
    </row>
    <row r="17" spans="1:46" s="37" customFormat="1" ht="45.75" customHeight="1" thickBot="1" x14ac:dyDescent="0.2">
      <c r="A17" s="35">
        <v>13</v>
      </c>
      <c r="B17" s="35" t="s">
        <v>75</v>
      </c>
      <c r="C17" s="73" t="s">
        <v>59</v>
      </c>
      <c r="D17" s="70" t="s">
        <v>58</v>
      </c>
      <c r="E17" s="73"/>
      <c r="F17" s="73"/>
      <c r="G17" s="51"/>
      <c r="H17" s="45"/>
      <c r="I17" s="38">
        <v>0.7</v>
      </c>
      <c r="J17" s="30">
        <v>0.3</v>
      </c>
      <c r="K17" s="29"/>
      <c r="L17" s="28"/>
      <c r="M17" s="27"/>
      <c r="N17" s="26">
        <f t="shared" si="0"/>
        <v>1</v>
      </c>
      <c r="O17" s="65">
        <v>15</v>
      </c>
      <c r="P17" s="23">
        <v>15</v>
      </c>
      <c r="Q17" s="42"/>
      <c r="R17" s="42"/>
      <c r="S17" s="23"/>
      <c r="T17" s="20">
        <f t="shared" si="1"/>
        <v>15</v>
      </c>
      <c r="U17" s="19">
        <f t="shared" si="2"/>
        <v>15</v>
      </c>
      <c r="V17" s="59">
        <v>233566701000</v>
      </c>
      <c r="W17" s="59">
        <v>2661422000</v>
      </c>
      <c r="X17" s="76"/>
      <c r="Y17" s="59"/>
      <c r="Z17" s="68"/>
      <c r="AA17" s="20">
        <f t="shared" si="3"/>
        <v>128.24</v>
      </c>
      <c r="AB17" s="19">
        <f t="shared" si="4"/>
        <v>15</v>
      </c>
      <c r="AC17" s="16">
        <v>20</v>
      </c>
      <c r="AD17" s="18"/>
      <c r="AE17" s="17"/>
      <c r="AF17" s="23">
        <f t="shared" si="5"/>
        <v>30</v>
      </c>
      <c r="AG17" s="16">
        <v>45</v>
      </c>
      <c r="AH17" s="23">
        <f t="shared" si="6"/>
        <v>95</v>
      </c>
      <c r="AI17" s="14">
        <f t="shared" si="7"/>
        <v>0.85499999999999998</v>
      </c>
      <c r="AJ17" s="13"/>
      <c r="AK17" s="12">
        <v>0.01</v>
      </c>
      <c r="AL17" s="11">
        <f t="shared" si="8"/>
        <v>1.01</v>
      </c>
      <c r="AM17" s="10">
        <f t="shared" si="9"/>
        <v>8297449000</v>
      </c>
      <c r="AN17" s="9"/>
      <c r="AO17" s="72"/>
      <c r="AP17" s="71"/>
      <c r="AQ17" s="72"/>
      <c r="AR17" s="8"/>
      <c r="AS17" s="7"/>
      <c r="AT17" s="6">
        <f t="shared" si="10"/>
        <v>0</v>
      </c>
    </row>
    <row r="18" spans="1:46" s="37" customFormat="1" ht="45.75" customHeight="1" thickBot="1" x14ac:dyDescent="0.2">
      <c r="A18" s="35">
        <v>14</v>
      </c>
      <c r="B18" s="35" t="s">
        <v>75</v>
      </c>
      <c r="C18" s="73" t="s">
        <v>57</v>
      </c>
      <c r="D18" s="70" t="s">
        <v>56</v>
      </c>
      <c r="E18" s="39" t="s">
        <v>55</v>
      </c>
      <c r="F18" s="73"/>
      <c r="G18" s="51"/>
      <c r="H18" s="45"/>
      <c r="I18" s="38">
        <v>0.5</v>
      </c>
      <c r="J18" s="30">
        <v>0.3</v>
      </c>
      <c r="K18" s="29">
        <v>0.2</v>
      </c>
      <c r="L18" s="30"/>
      <c r="M18" s="27"/>
      <c r="N18" s="26">
        <f t="shared" si="0"/>
        <v>1</v>
      </c>
      <c r="O18" s="65">
        <v>15</v>
      </c>
      <c r="P18" s="23">
        <v>15</v>
      </c>
      <c r="Q18" s="42">
        <v>15</v>
      </c>
      <c r="R18" s="42"/>
      <c r="S18" s="42"/>
      <c r="T18" s="20">
        <f t="shared" si="1"/>
        <v>15</v>
      </c>
      <c r="U18" s="19">
        <f t="shared" si="2"/>
        <v>15</v>
      </c>
      <c r="V18" s="90">
        <v>180536694000</v>
      </c>
      <c r="W18" s="89"/>
      <c r="X18" s="61">
        <v>5383000000</v>
      </c>
      <c r="Y18" s="22"/>
      <c r="Z18" s="21"/>
      <c r="AA18" s="20">
        <f t="shared" si="3"/>
        <v>71.3</v>
      </c>
      <c r="AB18" s="19">
        <f t="shared" si="4"/>
        <v>15</v>
      </c>
      <c r="AC18" s="16">
        <v>20</v>
      </c>
      <c r="AD18" s="83"/>
      <c r="AE18" s="17"/>
      <c r="AF18" s="23">
        <f t="shared" si="5"/>
        <v>30</v>
      </c>
      <c r="AG18" s="16">
        <v>45</v>
      </c>
      <c r="AH18" s="23">
        <f t="shared" si="6"/>
        <v>95</v>
      </c>
      <c r="AI18" s="14">
        <f t="shared" si="7"/>
        <v>0.85499999999999998</v>
      </c>
      <c r="AJ18" s="13"/>
      <c r="AK18" s="12">
        <v>0.01</v>
      </c>
      <c r="AL18" s="11">
        <f t="shared" si="8"/>
        <v>1.01</v>
      </c>
      <c r="AM18" s="10">
        <f t="shared" si="9"/>
        <v>8297449000</v>
      </c>
      <c r="AN18" s="9"/>
      <c r="AO18" s="16"/>
      <c r="AP18" s="87"/>
      <c r="AQ18" s="81"/>
      <c r="AR18" s="8"/>
      <c r="AS18" s="7"/>
      <c r="AT18" s="6">
        <f t="shared" si="10"/>
        <v>0</v>
      </c>
    </row>
    <row r="19" spans="1:46" s="37" customFormat="1" ht="45.75" customHeight="1" thickBot="1" x14ac:dyDescent="0.2">
      <c r="A19" s="35">
        <v>15</v>
      </c>
      <c r="B19" s="35" t="s">
        <v>75</v>
      </c>
      <c r="C19" s="73" t="s">
        <v>54</v>
      </c>
      <c r="D19" s="70" t="s">
        <v>53</v>
      </c>
      <c r="E19" s="73"/>
      <c r="F19" s="73"/>
      <c r="G19" s="51"/>
      <c r="H19" s="45"/>
      <c r="I19" s="38">
        <v>0.6</v>
      </c>
      <c r="J19" s="30">
        <v>0.4</v>
      </c>
      <c r="K19" s="29"/>
      <c r="L19" s="28"/>
      <c r="M19" s="27"/>
      <c r="N19" s="26">
        <f t="shared" si="0"/>
        <v>1</v>
      </c>
      <c r="O19" s="65">
        <v>15</v>
      </c>
      <c r="P19" s="23">
        <v>15</v>
      </c>
      <c r="Q19" s="42"/>
      <c r="R19" s="42"/>
      <c r="S19" s="23"/>
      <c r="T19" s="20">
        <f t="shared" si="1"/>
        <v>15</v>
      </c>
      <c r="U19" s="19">
        <f t="shared" si="2"/>
        <v>15</v>
      </c>
      <c r="V19" s="62">
        <v>618668065000</v>
      </c>
      <c r="W19" s="59">
        <v>3846392000</v>
      </c>
      <c r="X19" s="59"/>
      <c r="Y19" s="59"/>
      <c r="Z19" s="21"/>
      <c r="AA19" s="20">
        <f t="shared" si="3"/>
        <v>290.94</v>
      </c>
      <c r="AB19" s="19">
        <f t="shared" si="4"/>
        <v>15</v>
      </c>
      <c r="AC19" s="16">
        <v>20</v>
      </c>
      <c r="AD19" s="18"/>
      <c r="AE19" s="17"/>
      <c r="AF19" s="23">
        <f t="shared" si="5"/>
        <v>30</v>
      </c>
      <c r="AG19" s="16">
        <v>45</v>
      </c>
      <c r="AH19" s="23">
        <f t="shared" si="6"/>
        <v>95</v>
      </c>
      <c r="AI19" s="14">
        <f t="shared" si="7"/>
        <v>0.85499999999999998</v>
      </c>
      <c r="AJ19" s="13"/>
      <c r="AK19" s="12">
        <v>0.01</v>
      </c>
      <c r="AL19" s="11">
        <f t="shared" si="8"/>
        <v>1.01</v>
      </c>
      <c r="AM19" s="10">
        <f t="shared" si="9"/>
        <v>8297449000</v>
      </c>
      <c r="AN19" s="9"/>
      <c r="AO19" s="16"/>
      <c r="AP19" s="81"/>
      <c r="AQ19" s="87"/>
      <c r="AR19" s="8"/>
      <c r="AS19" s="7"/>
      <c r="AT19" s="6">
        <f t="shared" si="10"/>
        <v>0</v>
      </c>
    </row>
    <row r="20" spans="1:46" s="37" customFormat="1" ht="45.75" customHeight="1" thickBot="1" x14ac:dyDescent="0.2">
      <c r="A20" s="35">
        <v>16</v>
      </c>
      <c r="B20" s="140" t="s">
        <v>274</v>
      </c>
      <c r="C20" s="73" t="s">
        <v>52</v>
      </c>
      <c r="D20" s="70" t="s">
        <v>51</v>
      </c>
      <c r="E20" s="70" t="s">
        <v>275</v>
      </c>
      <c r="F20" s="73"/>
      <c r="G20" s="51"/>
      <c r="H20" s="45"/>
      <c r="I20" s="38">
        <v>0.6</v>
      </c>
      <c r="J20" s="30">
        <v>0.2</v>
      </c>
      <c r="K20" s="29">
        <v>0.2</v>
      </c>
      <c r="L20" s="28"/>
      <c r="M20" s="27"/>
      <c r="N20" s="26">
        <f t="shared" si="0"/>
        <v>1</v>
      </c>
      <c r="O20" s="65">
        <v>15</v>
      </c>
      <c r="P20" s="23">
        <v>15</v>
      </c>
      <c r="Q20" s="23">
        <v>15</v>
      </c>
      <c r="R20" s="42"/>
      <c r="S20" s="23"/>
      <c r="T20" s="20">
        <f t="shared" si="1"/>
        <v>15</v>
      </c>
      <c r="U20" s="19">
        <f t="shared" si="2"/>
        <v>15</v>
      </c>
      <c r="V20" s="62">
        <v>227887155000</v>
      </c>
      <c r="W20" s="59">
        <v>1281708000</v>
      </c>
      <c r="X20" s="59">
        <v>1364132000</v>
      </c>
      <c r="Y20" s="22"/>
      <c r="Z20" s="21"/>
      <c r="AA20" s="20">
        <f t="shared" si="3"/>
        <v>107.14</v>
      </c>
      <c r="AB20" s="19">
        <f t="shared" si="4"/>
        <v>15</v>
      </c>
      <c r="AC20" s="16">
        <v>20</v>
      </c>
      <c r="AD20" s="18"/>
      <c r="AE20" s="17"/>
      <c r="AF20" s="23">
        <f t="shared" si="5"/>
        <v>30</v>
      </c>
      <c r="AG20" s="16">
        <v>45</v>
      </c>
      <c r="AH20" s="23">
        <f t="shared" si="6"/>
        <v>95</v>
      </c>
      <c r="AI20" s="14">
        <f t="shared" si="7"/>
        <v>0.85499999999999998</v>
      </c>
      <c r="AJ20" s="13"/>
      <c r="AK20" s="12">
        <v>0.01</v>
      </c>
      <c r="AL20" s="11">
        <f t="shared" si="8"/>
        <v>1.01</v>
      </c>
      <c r="AM20" s="10">
        <f t="shared" si="9"/>
        <v>8297449000</v>
      </c>
      <c r="AN20" s="9"/>
      <c r="AO20" s="16"/>
      <c r="AP20" s="81"/>
      <c r="AQ20" s="88"/>
      <c r="AR20" s="8"/>
      <c r="AS20" s="7"/>
      <c r="AT20" s="6">
        <f t="shared" si="10"/>
        <v>0</v>
      </c>
    </row>
    <row r="21" spans="1:46" s="37" customFormat="1" ht="45.75" customHeight="1" thickBot="1" x14ac:dyDescent="0.2">
      <c r="A21" s="35">
        <v>17</v>
      </c>
      <c r="B21" s="35" t="s">
        <v>75</v>
      </c>
      <c r="C21" s="39" t="s">
        <v>50</v>
      </c>
      <c r="D21" s="70" t="s">
        <v>46</v>
      </c>
      <c r="E21" s="73"/>
      <c r="F21" s="63"/>
      <c r="G21" s="51"/>
      <c r="H21" s="45"/>
      <c r="I21" s="38">
        <v>0.6</v>
      </c>
      <c r="J21" s="30">
        <v>0.4</v>
      </c>
      <c r="K21" s="29"/>
      <c r="L21" s="28"/>
      <c r="M21" s="27"/>
      <c r="N21" s="26">
        <f t="shared" si="0"/>
        <v>1</v>
      </c>
      <c r="O21" s="65">
        <v>15</v>
      </c>
      <c r="P21" s="23">
        <v>15</v>
      </c>
      <c r="Q21" s="42"/>
      <c r="R21" s="42"/>
      <c r="S21" s="42"/>
      <c r="T21" s="20">
        <f t="shared" si="1"/>
        <v>15</v>
      </c>
      <c r="U21" s="19">
        <f t="shared" si="2"/>
        <v>15</v>
      </c>
      <c r="V21" s="61">
        <v>75890281000</v>
      </c>
      <c r="W21" s="22">
        <v>3097329000</v>
      </c>
      <c r="X21" s="59"/>
      <c r="Y21" s="48"/>
      <c r="Z21" s="21"/>
      <c r="AA21" s="20">
        <f t="shared" si="3"/>
        <v>36.51</v>
      </c>
      <c r="AB21" s="19">
        <f t="shared" si="4"/>
        <v>15</v>
      </c>
      <c r="AC21" s="16">
        <v>20</v>
      </c>
      <c r="AD21" s="18"/>
      <c r="AE21" s="17"/>
      <c r="AF21" s="23">
        <f t="shared" si="5"/>
        <v>30</v>
      </c>
      <c r="AG21" s="16">
        <v>45</v>
      </c>
      <c r="AH21" s="23">
        <f t="shared" si="6"/>
        <v>95</v>
      </c>
      <c r="AI21" s="14">
        <f t="shared" si="7"/>
        <v>0.85499999999999998</v>
      </c>
      <c r="AJ21" s="13"/>
      <c r="AK21" s="12">
        <v>0.01</v>
      </c>
      <c r="AL21" s="11">
        <f t="shared" si="8"/>
        <v>1.01</v>
      </c>
      <c r="AM21" s="10">
        <f t="shared" si="9"/>
        <v>8297449000</v>
      </c>
      <c r="AN21" s="9"/>
      <c r="AO21" s="8"/>
      <c r="AP21" s="8"/>
      <c r="AQ21" s="8"/>
      <c r="AR21" s="8"/>
      <c r="AS21" s="7"/>
      <c r="AT21" s="6">
        <f t="shared" si="10"/>
        <v>0</v>
      </c>
    </row>
    <row r="22" spans="1:46" s="37" customFormat="1" ht="45.75" customHeight="1" thickBot="1" x14ac:dyDescent="0.2">
      <c r="A22" s="35">
        <v>18</v>
      </c>
      <c r="B22" s="35" t="s">
        <v>75</v>
      </c>
      <c r="C22" s="73" t="s">
        <v>49</v>
      </c>
      <c r="D22" s="70" t="s">
        <v>48</v>
      </c>
      <c r="E22" s="73"/>
      <c r="F22" s="73"/>
      <c r="G22" s="51"/>
      <c r="H22" s="45"/>
      <c r="I22" s="38">
        <v>0.51</v>
      </c>
      <c r="J22" s="30">
        <v>0.49</v>
      </c>
      <c r="K22" s="29"/>
      <c r="L22" s="28"/>
      <c r="M22" s="27"/>
      <c r="N22" s="26">
        <f t="shared" si="0"/>
        <v>1</v>
      </c>
      <c r="O22" s="65">
        <v>15</v>
      </c>
      <c r="P22" s="23">
        <v>15</v>
      </c>
      <c r="Q22" s="42"/>
      <c r="R22" s="42"/>
      <c r="S22" s="23"/>
      <c r="T22" s="20">
        <f t="shared" si="1"/>
        <v>15</v>
      </c>
      <c r="U22" s="19">
        <f t="shared" si="2"/>
        <v>15</v>
      </c>
      <c r="V22" s="59">
        <v>32826052000</v>
      </c>
      <c r="W22" s="22">
        <v>7622761000</v>
      </c>
      <c r="X22" s="59"/>
      <c r="Y22" s="22"/>
      <c r="Z22" s="21"/>
      <c r="AA22" s="20">
        <f t="shared" si="3"/>
        <v>15.98</v>
      </c>
      <c r="AB22" s="19">
        <f t="shared" si="4"/>
        <v>15</v>
      </c>
      <c r="AC22" s="16">
        <v>20</v>
      </c>
      <c r="AD22" s="18"/>
      <c r="AE22" s="17"/>
      <c r="AF22" s="23">
        <f t="shared" si="5"/>
        <v>30</v>
      </c>
      <c r="AG22" s="16">
        <v>45</v>
      </c>
      <c r="AH22" s="23">
        <f t="shared" si="6"/>
        <v>95</v>
      </c>
      <c r="AI22" s="14">
        <f t="shared" si="7"/>
        <v>0.85499999999999998</v>
      </c>
      <c r="AJ22" s="13"/>
      <c r="AK22" s="12">
        <v>0.01</v>
      </c>
      <c r="AL22" s="11">
        <f t="shared" si="8"/>
        <v>1.01</v>
      </c>
      <c r="AM22" s="10">
        <f t="shared" si="9"/>
        <v>8297449000</v>
      </c>
      <c r="AN22" s="9"/>
      <c r="AO22" s="81"/>
      <c r="AP22" s="87"/>
      <c r="AQ22" s="81"/>
      <c r="AR22" s="8"/>
      <c r="AS22" s="7"/>
      <c r="AT22" s="6">
        <f t="shared" si="10"/>
        <v>0</v>
      </c>
    </row>
    <row r="23" spans="1:46" s="37" customFormat="1" ht="45.75" customHeight="1" thickBot="1" x14ac:dyDescent="0.2">
      <c r="A23" s="35">
        <v>19</v>
      </c>
      <c r="B23" s="35" t="s">
        <v>75</v>
      </c>
      <c r="C23" s="73" t="s">
        <v>47</v>
      </c>
      <c r="D23" s="70" t="s">
        <v>21</v>
      </c>
      <c r="E23" s="73"/>
      <c r="F23" s="73"/>
      <c r="G23" s="86"/>
      <c r="H23" s="77"/>
      <c r="I23" s="38">
        <v>0.51</v>
      </c>
      <c r="J23" s="29">
        <v>0.49</v>
      </c>
      <c r="K23" s="29"/>
      <c r="L23" s="28"/>
      <c r="M23" s="27"/>
      <c r="N23" s="26">
        <f t="shared" si="0"/>
        <v>1</v>
      </c>
      <c r="O23" s="65">
        <v>15</v>
      </c>
      <c r="P23" s="23">
        <v>15</v>
      </c>
      <c r="Q23" s="23"/>
      <c r="R23" s="42"/>
      <c r="S23" s="42"/>
      <c r="T23" s="20">
        <f t="shared" si="1"/>
        <v>15</v>
      </c>
      <c r="U23" s="19">
        <f t="shared" si="2"/>
        <v>15</v>
      </c>
      <c r="V23" s="61">
        <v>172249167000</v>
      </c>
      <c r="W23" s="22">
        <v>9901200000</v>
      </c>
      <c r="X23" s="22"/>
      <c r="Y23" s="48"/>
      <c r="Z23" s="22"/>
      <c r="AA23" s="20">
        <f t="shared" si="3"/>
        <v>72.36</v>
      </c>
      <c r="AB23" s="19">
        <f t="shared" si="4"/>
        <v>15</v>
      </c>
      <c r="AC23" s="16">
        <v>20</v>
      </c>
      <c r="AD23" s="18"/>
      <c r="AE23" s="17"/>
      <c r="AF23" s="23">
        <f t="shared" si="5"/>
        <v>30</v>
      </c>
      <c r="AG23" s="16">
        <v>45</v>
      </c>
      <c r="AH23" s="23">
        <f t="shared" si="6"/>
        <v>95</v>
      </c>
      <c r="AI23" s="14">
        <f t="shared" si="7"/>
        <v>0.85499999999999998</v>
      </c>
      <c r="AJ23" s="13"/>
      <c r="AK23" s="12">
        <v>0.01</v>
      </c>
      <c r="AL23" s="11">
        <f t="shared" si="8"/>
        <v>1.01</v>
      </c>
      <c r="AM23" s="10">
        <f t="shared" si="9"/>
        <v>8297449000</v>
      </c>
      <c r="AN23" s="9"/>
      <c r="AO23" s="74"/>
      <c r="AP23" s="71"/>
      <c r="AQ23" s="71"/>
      <c r="AR23" s="8"/>
      <c r="AS23" s="7"/>
      <c r="AT23" s="6">
        <f t="shared" si="10"/>
        <v>0</v>
      </c>
    </row>
    <row r="24" spans="1:46" s="37" customFormat="1" ht="45.75" customHeight="1" thickBot="1" x14ac:dyDescent="0.2">
      <c r="A24" s="35">
        <v>20</v>
      </c>
      <c r="B24" s="35" t="s">
        <v>75</v>
      </c>
      <c r="C24" s="73" t="s">
        <v>45</v>
      </c>
      <c r="D24" s="75" t="s">
        <v>20</v>
      </c>
      <c r="E24" s="73"/>
      <c r="F24" s="73"/>
      <c r="G24" s="51"/>
      <c r="H24" s="45"/>
      <c r="I24" s="38">
        <v>0.51</v>
      </c>
      <c r="J24" s="30">
        <v>0.49</v>
      </c>
      <c r="K24" s="29"/>
      <c r="L24" s="28"/>
      <c r="M24" s="27"/>
      <c r="N24" s="26">
        <f t="shared" si="0"/>
        <v>1</v>
      </c>
      <c r="O24" s="65">
        <v>15</v>
      </c>
      <c r="P24" s="23">
        <v>15</v>
      </c>
      <c r="Q24" s="42"/>
      <c r="R24" s="42"/>
      <c r="S24" s="23"/>
      <c r="T24" s="20">
        <f t="shared" si="1"/>
        <v>15</v>
      </c>
      <c r="U24" s="19">
        <f t="shared" si="2"/>
        <v>15</v>
      </c>
      <c r="V24" s="61">
        <v>816103333000</v>
      </c>
      <c r="W24" s="68">
        <v>15253741000</v>
      </c>
      <c r="X24" s="59"/>
      <c r="Y24" s="22"/>
      <c r="Z24" s="21"/>
      <c r="AA24" s="20">
        <f t="shared" si="3"/>
        <v>330.71</v>
      </c>
      <c r="AB24" s="19">
        <f t="shared" si="4"/>
        <v>15</v>
      </c>
      <c r="AC24" s="16">
        <v>20</v>
      </c>
      <c r="AD24" s="18"/>
      <c r="AE24" s="17"/>
      <c r="AF24" s="23">
        <f t="shared" si="5"/>
        <v>30</v>
      </c>
      <c r="AG24" s="16">
        <v>45</v>
      </c>
      <c r="AH24" s="23">
        <f t="shared" si="6"/>
        <v>95</v>
      </c>
      <c r="AI24" s="14">
        <f t="shared" si="7"/>
        <v>0.85499999999999998</v>
      </c>
      <c r="AJ24" s="13"/>
      <c r="AK24" s="12">
        <v>0.01</v>
      </c>
      <c r="AL24" s="11">
        <f t="shared" si="8"/>
        <v>1.01</v>
      </c>
      <c r="AM24" s="10">
        <f t="shared" si="9"/>
        <v>8297449000</v>
      </c>
      <c r="AN24" s="9"/>
      <c r="AO24" s="74"/>
      <c r="AP24" s="71"/>
      <c r="AQ24" s="81"/>
      <c r="AR24" s="8"/>
      <c r="AS24" s="7"/>
      <c r="AT24" s="6">
        <f t="shared" si="10"/>
        <v>0</v>
      </c>
    </row>
    <row r="25" spans="1:46" s="37" customFormat="1" ht="45.75" customHeight="1" thickBot="1" x14ac:dyDescent="0.2">
      <c r="A25" s="35">
        <v>21</v>
      </c>
      <c r="B25" s="35" t="s">
        <v>75</v>
      </c>
      <c r="C25" s="73" t="s">
        <v>44</v>
      </c>
      <c r="D25" s="70" t="s">
        <v>43</v>
      </c>
      <c r="E25" s="73"/>
      <c r="F25" s="73"/>
      <c r="G25" s="51"/>
      <c r="H25" s="45"/>
      <c r="I25" s="38">
        <v>0.51</v>
      </c>
      <c r="J25" s="30">
        <v>0.49</v>
      </c>
      <c r="K25" s="29"/>
      <c r="L25" s="28"/>
      <c r="M25" s="27"/>
      <c r="N25" s="26">
        <f t="shared" si="0"/>
        <v>1</v>
      </c>
      <c r="O25" s="65">
        <v>15</v>
      </c>
      <c r="P25" s="23">
        <v>15</v>
      </c>
      <c r="Q25" s="42"/>
      <c r="R25" s="42"/>
      <c r="S25" s="23"/>
      <c r="T25" s="20">
        <f t="shared" si="1"/>
        <v>15</v>
      </c>
      <c r="U25" s="19">
        <f t="shared" si="2"/>
        <v>15</v>
      </c>
      <c r="V25" s="61">
        <v>29846687000</v>
      </c>
      <c r="W25" s="22">
        <v>13442616000</v>
      </c>
      <c r="X25" s="59"/>
      <c r="Y25" s="22"/>
      <c r="Z25" s="21"/>
      <c r="AA25" s="20">
        <f t="shared" si="3"/>
        <v>17.02</v>
      </c>
      <c r="AB25" s="19">
        <f t="shared" si="4"/>
        <v>15</v>
      </c>
      <c r="AC25" s="16">
        <v>20</v>
      </c>
      <c r="AD25" s="18"/>
      <c r="AE25" s="17"/>
      <c r="AF25" s="23">
        <f t="shared" si="5"/>
        <v>30</v>
      </c>
      <c r="AG25" s="16">
        <v>45</v>
      </c>
      <c r="AH25" s="23">
        <f t="shared" si="6"/>
        <v>95</v>
      </c>
      <c r="AI25" s="14">
        <f t="shared" si="7"/>
        <v>0.85499999999999998</v>
      </c>
      <c r="AJ25" s="13"/>
      <c r="AK25" s="12">
        <v>0.01</v>
      </c>
      <c r="AL25" s="11">
        <f t="shared" si="8"/>
        <v>1.01</v>
      </c>
      <c r="AM25" s="10">
        <f t="shared" si="9"/>
        <v>8297449000</v>
      </c>
      <c r="AN25" s="9"/>
      <c r="AO25" s="74"/>
      <c r="AP25" s="81"/>
      <c r="AQ25" s="71"/>
      <c r="AR25" s="8"/>
      <c r="AS25" s="7"/>
      <c r="AT25" s="6">
        <f t="shared" si="10"/>
        <v>0</v>
      </c>
    </row>
    <row r="26" spans="1:46" s="37" customFormat="1" ht="45.75" customHeight="1" thickBot="1" x14ac:dyDescent="0.2">
      <c r="A26" s="35">
        <v>22</v>
      </c>
      <c r="B26" s="35" t="s">
        <v>75</v>
      </c>
      <c r="C26" s="39" t="s">
        <v>42</v>
      </c>
      <c r="D26" s="70" t="s">
        <v>41</v>
      </c>
      <c r="E26" s="53"/>
      <c r="F26" s="63"/>
      <c r="G26" s="51"/>
      <c r="H26" s="45"/>
      <c r="I26" s="38">
        <v>0.51</v>
      </c>
      <c r="J26" s="30">
        <v>0.49</v>
      </c>
      <c r="K26" s="29"/>
      <c r="L26" s="28"/>
      <c r="M26" s="27"/>
      <c r="N26" s="26">
        <f t="shared" si="0"/>
        <v>1</v>
      </c>
      <c r="O26" s="65">
        <v>15</v>
      </c>
      <c r="P26" s="42">
        <v>15</v>
      </c>
      <c r="Q26" s="42"/>
      <c r="R26" s="42"/>
      <c r="S26" s="23"/>
      <c r="T26" s="20">
        <f t="shared" si="1"/>
        <v>15</v>
      </c>
      <c r="U26" s="19">
        <f t="shared" si="2"/>
        <v>15</v>
      </c>
      <c r="V26" s="61">
        <v>39814172000</v>
      </c>
      <c r="W26" s="22">
        <v>7882757000</v>
      </c>
      <c r="X26" s="59"/>
      <c r="Y26" s="22"/>
      <c r="Z26" s="21"/>
      <c r="AA26" s="20">
        <f t="shared" si="3"/>
        <v>18.86</v>
      </c>
      <c r="AB26" s="19">
        <f t="shared" si="4"/>
        <v>15</v>
      </c>
      <c r="AC26" s="16">
        <v>20</v>
      </c>
      <c r="AD26" s="18"/>
      <c r="AE26" s="17"/>
      <c r="AF26" s="23">
        <f t="shared" si="5"/>
        <v>30</v>
      </c>
      <c r="AG26" s="16">
        <v>45</v>
      </c>
      <c r="AH26" s="23">
        <f t="shared" si="6"/>
        <v>95</v>
      </c>
      <c r="AI26" s="14">
        <f t="shared" si="7"/>
        <v>0.85499999999999998</v>
      </c>
      <c r="AJ26" s="13"/>
      <c r="AK26" s="12">
        <v>0.01</v>
      </c>
      <c r="AL26" s="11">
        <f t="shared" si="8"/>
        <v>1.01</v>
      </c>
      <c r="AM26" s="10">
        <f t="shared" si="9"/>
        <v>8297449000</v>
      </c>
      <c r="AN26" s="9"/>
      <c r="AO26" s="8"/>
      <c r="AP26" s="8"/>
      <c r="AQ26" s="8"/>
      <c r="AR26" s="8"/>
      <c r="AS26" s="7"/>
      <c r="AT26" s="6">
        <f t="shared" si="10"/>
        <v>0</v>
      </c>
    </row>
    <row r="27" spans="1:46" s="37" customFormat="1" ht="45.75" customHeight="1" thickBot="1" x14ac:dyDescent="0.2">
      <c r="A27" s="35">
        <v>23</v>
      </c>
      <c r="B27" s="35" t="s">
        <v>75</v>
      </c>
      <c r="C27" s="73" t="s">
        <v>40</v>
      </c>
      <c r="D27" s="70" t="s">
        <v>39</v>
      </c>
      <c r="E27" s="73"/>
      <c r="F27" s="73"/>
      <c r="G27" s="53"/>
      <c r="H27" s="45"/>
      <c r="I27" s="38">
        <v>0.51</v>
      </c>
      <c r="J27" s="30">
        <v>0.49</v>
      </c>
      <c r="K27" s="29"/>
      <c r="L27" s="30"/>
      <c r="M27" s="27"/>
      <c r="N27" s="26">
        <f t="shared" si="0"/>
        <v>1</v>
      </c>
      <c r="O27" s="65">
        <v>15</v>
      </c>
      <c r="P27" s="23">
        <v>15</v>
      </c>
      <c r="Q27" s="42"/>
      <c r="R27" s="42"/>
      <c r="S27" s="42"/>
      <c r="T27" s="20">
        <f t="shared" si="1"/>
        <v>15</v>
      </c>
      <c r="U27" s="19">
        <f t="shared" si="2"/>
        <v>15</v>
      </c>
      <c r="V27" s="62">
        <v>41028772000</v>
      </c>
      <c r="W27" s="85">
        <v>3425675000</v>
      </c>
      <c r="X27" s="59"/>
      <c r="Y27" s="48"/>
      <c r="Z27" s="21"/>
      <c r="AA27" s="20">
        <f t="shared" si="3"/>
        <v>17.64</v>
      </c>
      <c r="AB27" s="19">
        <f t="shared" si="4"/>
        <v>15</v>
      </c>
      <c r="AC27" s="16">
        <v>20</v>
      </c>
      <c r="AD27" s="18"/>
      <c r="AE27" s="17"/>
      <c r="AF27" s="23">
        <f t="shared" si="5"/>
        <v>30</v>
      </c>
      <c r="AG27" s="16">
        <v>45</v>
      </c>
      <c r="AH27" s="23">
        <f t="shared" si="6"/>
        <v>95</v>
      </c>
      <c r="AI27" s="14">
        <f t="shared" si="7"/>
        <v>0.85499999999999998</v>
      </c>
      <c r="AJ27" s="13"/>
      <c r="AK27" s="12">
        <v>0.01</v>
      </c>
      <c r="AL27" s="11">
        <f t="shared" si="8"/>
        <v>1.01</v>
      </c>
      <c r="AM27" s="10">
        <f t="shared" si="9"/>
        <v>8297449000</v>
      </c>
      <c r="AN27" s="9"/>
      <c r="AO27" s="74"/>
      <c r="AP27" s="71"/>
      <c r="AQ27" s="71"/>
      <c r="AR27" s="8"/>
      <c r="AS27" s="7"/>
      <c r="AT27" s="6">
        <f t="shared" si="10"/>
        <v>0</v>
      </c>
    </row>
    <row r="28" spans="1:46" s="37" customFormat="1" ht="45.75" customHeight="1" thickBot="1" x14ac:dyDescent="0.2">
      <c r="A28" s="35">
        <v>24</v>
      </c>
      <c r="B28" s="35" t="s">
        <v>75</v>
      </c>
      <c r="C28" s="67" t="s">
        <v>38</v>
      </c>
      <c r="D28" s="70" t="s">
        <v>37</v>
      </c>
      <c r="E28" s="39"/>
      <c r="F28" s="39"/>
      <c r="G28" s="53"/>
      <c r="H28" s="45"/>
      <c r="I28" s="38">
        <v>0.51</v>
      </c>
      <c r="J28" s="30">
        <v>0.49</v>
      </c>
      <c r="K28" s="29"/>
      <c r="L28" s="28"/>
      <c r="M28" s="27"/>
      <c r="N28" s="26">
        <f t="shared" si="0"/>
        <v>1</v>
      </c>
      <c r="O28" s="65">
        <v>15</v>
      </c>
      <c r="P28" s="23">
        <v>15</v>
      </c>
      <c r="Q28" s="42"/>
      <c r="R28" s="42"/>
      <c r="S28" s="23"/>
      <c r="T28" s="20">
        <f t="shared" si="1"/>
        <v>15</v>
      </c>
      <c r="U28" s="19">
        <f t="shared" si="2"/>
        <v>15</v>
      </c>
      <c r="V28" s="84">
        <v>19760143000</v>
      </c>
      <c r="W28" s="59">
        <v>18685183000</v>
      </c>
      <c r="X28" s="22"/>
      <c r="Y28" s="22"/>
      <c r="Z28" s="21"/>
      <c r="AA28" s="20">
        <f t="shared" si="3"/>
        <v>15.01</v>
      </c>
      <c r="AB28" s="19">
        <f t="shared" si="4"/>
        <v>15</v>
      </c>
      <c r="AC28" s="16">
        <v>20</v>
      </c>
      <c r="AD28" s="18"/>
      <c r="AE28" s="17"/>
      <c r="AF28" s="23">
        <f t="shared" si="5"/>
        <v>30</v>
      </c>
      <c r="AG28" s="16">
        <v>45</v>
      </c>
      <c r="AH28" s="23">
        <f t="shared" si="6"/>
        <v>95</v>
      </c>
      <c r="AI28" s="14">
        <f t="shared" si="7"/>
        <v>0.85499999999999998</v>
      </c>
      <c r="AJ28" s="13"/>
      <c r="AK28" s="12">
        <v>0.01</v>
      </c>
      <c r="AL28" s="11">
        <f t="shared" si="8"/>
        <v>1.01</v>
      </c>
      <c r="AM28" s="10">
        <f t="shared" si="9"/>
        <v>8297449000</v>
      </c>
      <c r="AN28" s="9"/>
      <c r="AO28" s="8"/>
      <c r="AP28" s="8"/>
      <c r="AQ28" s="8"/>
      <c r="AR28" s="8"/>
      <c r="AS28" s="7"/>
      <c r="AT28" s="6">
        <f t="shared" si="10"/>
        <v>0</v>
      </c>
    </row>
    <row r="29" spans="1:46" s="37" customFormat="1" ht="45.75" customHeight="1" thickBot="1" x14ac:dyDescent="0.2">
      <c r="A29" s="35">
        <v>25</v>
      </c>
      <c r="B29" s="35" t="s">
        <v>75</v>
      </c>
      <c r="C29" s="73" t="s">
        <v>36</v>
      </c>
      <c r="D29" s="70" t="s">
        <v>35</v>
      </c>
      <c r="E29" s="73"/>
      <c r="F29" s="73"/>
      <c r="G29" s="51"/>
      <c r="H29" s="45"/>
      <c r="I29" s="38">
        <v>0.51</v>
      </c>
      <c r="J29" s="30">
        <v>0.49</v>
      </c>
      <c r="K29" s="29"/>
      <c r="L29" s="30"/>
      <c r="M29" s="27"/>
      <c r="N29" s="26">
        <f t="shared" si="0"/>
        <v>1</v>
      </c>
      <c r="O29" s="65">
        <v>15</v>
      </c>
      <c r="P29" s="23">
        <v>15</v>
      </c>
      <c r="Q29" s="42"/>
      <c r="R29" s="42"/>
      <c r="S29" s="42"/>
      <c r="T29" s="20">
        <f t="shared" si="1"/>
        <v>15</v>
      </c>
      <c r="U29" s="19">
        <f t="shared" si="2"/>
        <v>15</v>
      </c>
      <c r="V29" s="61">
        <v>21781049000</v>
      </c>
      <c r="W29" s="79">
        <v>17523143000</v>
      </c>
      <c r="X29" s="59"/>
      <c r="Y29" s="41"/>
      <c r="Z29" s="21"/>
      <c r="AA29" s="20">
        <f t="shared" si="3"/>
        <v>15.37</v>
      </c>
      <c r="AB29" s="19">
        <f t="shared" si="4"/>
        <v>15</v>
      </c>
      <c r="AC29" s="16">
        <v>20</v>
      </c>
      <c r="AD29" s="83"/>
      <c r="AE29" s="17"/>
      <c r="AF29" s="23">
        <f t="shared" si="5"/>
        <v>30</v>
      </c>
      <c r="AG29" s="16">
        <v>45</v>
      </c>
      <c r="AH29" s="23">
        <f t="shared" si="6"/>
        <v>95</v>
      </c>
      <c r="AI29" s="14">
        <f t="shared" si="7"/>
        <v>0.85499999999999998</v>
      </c>
      <c r="AJ29" s="13"/>
      <c r="AK29" s="12">
        <v>0.01</v>
      </c>
      <c r="AL29" s="11">
        <f t="shared" si="8"/>
        <v>1.01</v>
      </c>
      <c r="AM29" s="10">
        <f t="shared" si="9"/>
        <v>8297449000</v>
      </c>
      <c r="AN29" s="9"/>
      <c r="AO29" s="16"/>
      <c r="AP29" s="82"/>
      <c r="AQ29" s="16"/>
      <c r="AR29" s="8"/>
      <c r="AS29" s="7"/>
      <c r="AT29" s="6">
        <f t="shared" si="10"/>
        <v>0</v>
      </c>
    </row>
    <row r="30" spans="1:46" s="37" customFormat="1" ht="45.75" customHeight="1" thickBot="1" x14ac:dyDescent="0.2">
      <c r="A30" s="35">
        <v>26</v>
      </c>
      <c r="B30" s="35" t="s">
        <v>75</v>
      </c>
      <c r="C30" s="73" t="s">
        <v>34</v>
      </c>
      <c r="D30" s="70" t="s">
        <v>33</v>
      </c>
      <c r="E30" s="73"/>
      <c r="F30" s="73"/>
      <c r="G30" s="53"/>
      <c r="H30" s="45"/>
      <c r="I30" s="38">
        <v>0.51</v>
      </c>
      <c r="J30" s="30">
        <v>0.49</v>
      </c>
      <c r="K30" s="29"/>
      <c r="L30" s="28"/>
      <c r="M30" s="27"/>
      <c r="N30" s="26">
        <f t="shared" si="0"/>
        <v>1</v>
      </c>
      <c r="O30" s="65">
        <v>15</v>
      </c>
      <c r="P30" s="23">
        <v>15</v>
      </c>
      <c r="Q30" s="42"/>
      <c r="R30" s="42"/>
      <c r="S30" s="42"/>
      <c r="T30" s="20">
        <f t="shared" si="1"/>
        <v>15</v>
      </c>
      <c r="U30" s="19">
        <f t="shared" si="2"/>
        <v>15</v>
      </c>
      <c r="V30" s="61">
        <v>25680345000</v>
      </c>
      <c r="W30" s="61">
        <v>15552245000</v>
      </c>
      <c r="X30" s="22"/>
      <c r="Y30" s="54"/>
      <c r="Z30" s="21"/>
      <c r="AA30" s="20">
        <f t="shared" si="3"/>
        <v>16.170000000000002</v>
      </c>
      <c r="AB30" s="19">
        <f t="shared" si="4"/>
        <v>15</v>
      </c>
      <c r="AC30" s="16">
        <v>20</v>
      </c>
      <c r="AD30" s="18"/>
      <c r="AE30" s="17"/>
      <c r="AF30" s="23">
        <f t="shared" si="5"/>
        <v>30</v>
      </c>
      <c r="AG30" s="16">
        <v>45</v>
      </c>
      <c r="AH30" s="23">
        <f t="shared" si="6"/>
        <v>95</v>
      </c>
      <c r="AI30" s="14">
        <f t="shared" si="7"/>
        <v>0.85499999999999998</v>
      </c>
      <c r="AJ30" s="13"/>
      <c r="AK30" s="12">
        <v>0.01</v>
      </c>
      <c r="AL30" s="11">
        <f t="shared" si="8"/>
        <v>1.01</v>
      </c>
      <c r="AM30" s="10">
        <f t="shared" si="9"/>
        <v>8297449000</v>
      </c>
      <c r="AN30" s="9"/>
      <c r="AO30" s="74"/>
      <c r="AP30" s="72"/>
      <c r="AQ30" s="72"/>
      <c r="AR30" s="8"/>
      <c r="AS30" s="7"/>
      <c r="AT30" s="6">
        <f t="shared" si="10"/>
        <v>0</v>
      </c>
    </row>
    <row r="31" spans="1:46" s="37" customFormat="1" ht="45.75" customHeight="1" thickBot="1" x14ac:dyDescent="0.2">
      <c r="A31" s="35">
        <v>27</v>
      </c>
      <c r="B31" s="35" t="s">
        <v>75</v>
      </c>
      <c r="C31" s="73" t="s">
        <v>32</v>
      </c>
      <c r="D31" s="70" t="s">
        <v>31</v>
      </c>
      <c r="E31" s="73"/>
      <c r="F31" s="73"/>
      <c r="G31" s="51"/>
      <c r="H31" s="45"/>
      <c r="I31" s="38">
        <v>0.55000000000000004</v>
      </c>
      <c r="J31" s="30">
        <v>0.45</v>
      </c>
      <c r="K31" s="29"/>
      <c r="L31" s="28"/>
      <c r="M31" s="27"/>
      <c r="N31" s="26">
        <f t="shared" si="0"/>
        <v>1</v>
      </c>
      <c r="O31" s="65">
        <v>15</v>
      </c>
      <c r="P31" s="23">
        <v>15</v>
      </c>
      <c r="Q31" s="42"/>
      <c r="R31" s="42"/>
      <c r="S31" s="23"/>
      <c r="T31" s="20">
        <f t="shared" si="1"/>
        <v>15</v>
      </c>
      <c r="U31" s="19">
        <f t="shared" si="2"/>
        <v>15</v>
      </c>
      <c r="V31" s="61">
        <v>23278347000</v>
      </c>
      <c r="W31" s="22">
        <v>14643377000</v>
      </c>
      <c r="X31" s="59"/>
      <c r="Y31" s="79"/>
      <c r="Z31" s="21"/>
      <c r="AA31" s="20">
        <f t="shared" si="3"/>
        <v>15.14</v>
      </c>
      <c r="AB31" s="19">
        <f t="shared" si="4"/>
        <v>15</v>
      </c>
      <c r="AC31" s="16">
        <v>20</v>
      </c>
      <c r="AD31" s="18"/>
      <c r="AE31" s="17"/>
      <c r="AF31" s="23">
        <f t="shared" si="5"/>
        <v>30</v>
      </c>
      <c r="AG31" s="16">
        <v>45</v>
      </c>
      <c r="AH31" s="23">
        <f t="shared" si="6"/>
        <v>95</v>
      </c>
      <c r="AI31" s="14">
        <f t="shared" si="7"/>
        <v>0.85499999999999998</v>
      </c>
      <c r="AJ31" s="13"/>
      <c r="AK31" s="12">
        <v>0.01</v>
      </c>
      <c r="AL31" s="11">
        <f t="shared" si="8"/>
        <v>1.01</v>
      </c>
      <c r="AM31" s="10">
        <f t="shared" si="9"/>
        <v>8297449000</v>
      </c>
      <c r="AN31" s="9"/>
      <c r="AO31" s="16"/>
      <c r="AP31" s="81"/>
      <c r="AQ31" s="81"/>
      <c r="AR31" s="8"/>
      <c r="AS31" s="7"/>
      <c r="AT31" s="6">
        <f t="shared" si="10"/>
        <v>0</v>
      </c>
    </row>
    <row r="32" spans="1:46" s="37" customFormat="1" ht="45.75" customHeight="1" thickBot="1" x14ac:dyDescent="0.2">
      <c r="A32" s="35">
        <v>28</v>
      </c>
      <c r="B32" s="140" t="s">
        <v>276</v>
      </c>
      <c r="C32" s="67" t="s">
        <v>272</v>
      </c>
      <c r="D32" s="75" t="s">
        <v>271</v>
      </c>
      <c r="E32" s="67"/>
      <c r="F32" s="66"/>
      <c r="G32" s="53"/>
      <c r="H32" s="45"/>
      <c r="I32" s="38">
        <v>0.51</v>
      </c>
      <c r="J32" s="30">
        <v>0.49</v>
      </c>
      <c r="K32" s="29"/>
      <c r="L32" s="28"/>
      <c r="M32" s="27"/>
      <c r="N32" s="26">
        <f>SUM(I32:M32)</f>
        <v>1</v>
      </c>
      <c r="O32" s="65">
        <v>15</v>
      </c>
      <c r="P32" s="23">
        <v>15</v>
      </c>
      <c r="Q32" s="42"/>
      <c r="R32" s="42"/>
      <c r="S32" s="42"/>
      <c r="T32" s="20">
        <f>ROUND(((O32*I32)+(P32*J32)+(Q32*K32)+(R32*L32)+(S32*M32)),2)</f>
        <v>15</v>
      </c>
      <c r="U32" s="19">
        <f>IF(T32&gt;=15,15,T32)</f>
        <v>15</v>
      </c>
      <c r="V32" s="61">
        <v>20021455000</v>
      </c>
      <c r="W32" s="59">
        <v>19470985000</v>
      </c>
      <c r="X32" s="54"/>
      <c r="Y32" s="54"/>
      <c r="Z32" s="21"/>
      <c r="AA32" s="20">
        <f>ROUND((((V32*I32)+(W32*J32)+(X32*K32)+(Y32*L32)+(Z32*M32))/$I$2*15),2)</f>
        <v>15.42</v>
      </c>
      <c r="AB32" s="19">
        <f>IF(AA32&gt;=15,15,AA32)</f>
        <v>15</v>
      </c>
      <c r="AC32" s="16">
        <v>20</v>
      </c>
      <c r="AD32" s="18"/>
      <c r="AE32" s="17"/>
      <c r="AF32" s="23">
        <f>IF((U32+AB32+AD32)&gt;=30,30,(U32+AB32+AD32))</f>
        <v>30</v>
      </c>
      <c r="AG32" s="16">
        <v>45</v>
      </c>
      <c r="AH32" s="23">
        <f>AC32+AF32+AG32+AE32</f>
        <v>95</v>
      </c>
      <c r="AI32" s="14">
        <f>-((50-((176+(45+(30-AF32)))))/200)</f>
        <v>0.85499999999999998</v>
      </c>
      <c r="AJ32" s="13"/>
      <c r="AK32" s="12">
        <v>0.01</v>
      </c>
      <c r="AL32" s="11">
        <f>100%+AK32</f>
        <v>1.01</v>
      </c>
      <c r="AM32" s="10">
        <f>ROUNDUP($D$2*AI32*AL32,-3)</f>
        <v>8297449000</v>
      </c>
      <c r="AN32" s="9"/>
      <c r="AO32" s="8"/>
      <c r="AP32" s="8"/>
      <c r="AQ32" s="8"/>
      <c r="AR32" s="8"/>
      <c r="AS32" s="7"/>
      <c r="AT32" s="6">
        <f>(AO32*J32)+(AP32*K32)+(AQ32*L32)+(AR32*M32)+(AS32*N32)</f>
        <v>0</v>
      </c>
    </row>
    <row r="33" spans="1:46" s="37" customFormat="1" ht="45.75" customHeight="1" thickBot="1" x14ac:dyDescent="0.2">
      <c r="A33" s="35"/>
      <c r="B33" s="35"/>
      <c r="C33" s="73"/>
      <c r="D33" s="39"/>
      <c r="E33" s="73"/>
      <c r="F33" s="63"/>
      <c r="G33" s="51"/>
      <c r="H33" s="45"/>
      <c r="I33" s="38">
        <v>0.51</v>
      </c>
      <c r="J33" s="30">
        <v>0.49</v>
      </c>
      <c r="K33" s="29"/>
      <c r="L33" s="28"/>
      <c r="M33" s="27"/>
      <c r="N33" s="26">
        <f t="shared" si="0"/>
        <v>1</v>
      </c>
      <c r="O33" s="23">
        <v>15</v>
      </c>
      <c r="P33" s="23">
        <v>15</v>
      </c>
      <c r="Q33" s="23"/>
      <c r="R33" s="24"/>
      <c r="S33" s="23"/>
      <c r="T33" s="20">
        <f t="shared" si="1"/>
        <v>15</v>
      </c>
      <c r="U33" s="19">
        <f t="shared" si="2"/>
        <v>15</v>
      </c>
      <c r="V33" s="62"/>
      <c r="W33" s="59"/>
      <c r="X33" s="61"/>
      <c r="Y33" s="22"/>
      <c r="Z33" s="68"/>
      <c r="AA33" s="20">
        <f t="shared" si="3"/>
        <v>0</v>
      </c>
      <c r="AB33" s="19">
        <f t="shared" si="4"/>
        <v>0</v>
      </c>
      <c r="AC33" s="16">
        <v>20</v>
      </c>
      <c r="AD33" s="18"/>
      <c r="AE33" s="17"/>
      <c r="AF33" s="23">
        <f t="shared" si="5"/>
        <v>15</v>
      </c>
      <c r="AG33" s="16">
        <v>45</v>
      </c>
      <c r="AH33" s="23">
        <f t="shared" si="6"/>
        <v>80</v>
      </c>
      <c r="AI33" s="14">
        <f t="shared" si="7"/>
        <v>0.93</v>
      </c>
      <c r="AJ33" s="13"/>
      <c r="AK33" s="12">
        <v>0.01</v>
      </c>
      <c r="AL33" s="11">
        <f t="shared" si="8"/>
        <v>1.01</v>
      </c>
      <c r="AM33" s="10">
        <f t="shared" si="9"/>
        <v>9025296000</v>
      </c>
      <c r="AN33" s="9"/>
      <c r="AO33" s="8"/>
      <c r="AP33" s="8"/>
      <c r="AQ33" s="8"/>
      <c r="AR33" s="8"/>
      <c r="AS33" s="7"/>
      <c r="AT33" s="6">
        <f t="shared" si="10"/>
        <v>0</v>
      </c>
    </row>
    <row r="34" spans="1:46" s="37" customFormat="1" ht="45.75" customHeight="1" thickBot="1" x14ac:dyDescent="0.2">
      <c r="A34" s="35"/>
      <c r="B34" s="35"/>
      <c r="C34" s="80"/>
      <c r="D34" s="70" t="s">
        <v>30</v>
      </c>
      <c r="E34" s="70" t="s">
        <v>29</v>
      </c>
      <c r="F34" s="63"/>
      <c r="G34" s="51"/>
      <c r="H34" s="45"/>
      <c r="I34" s="38">
        <v>0.51</v>
      </c>
      <c r="J34" s="30">
        <v>0.49</v>
      </c>
      <c r="K34" s="29"/>
      <c r="L34" s="28"/>
      <c r="M34" s="27"/>
      <c r="N34" s="26">
        <f t="shared" si="0"/>
        <v>1</v>
      </c>
      <c r="O34" s="65">
        <v>15</v>
      </c>
      <c r="P34" s="23">
        <v>15</v>
      </c>
      <c r="Q34" s="42"/>
      <c r="R34" s="42"/>
      <c r="S34" s="23"/>
      <c r="T34" s="20">
        <f t="shared" si="1"/>
        <v>15</v>
      </c>
      <c r="U34" s="19">
        <f t="shared" si="2"/>
        <v>15</v>
      </c>
      <c r="V34" s="52"/>
      <c r="W34" s="59"/>
      <c r="X34" s="59">
        <v>4319931000</v>
      </c>
      <c r="Y34" s="79"/>
      <c r="Z34" s="21"/>
      <c r="AA34" s="20">
        <f t="shared" si="3"/>
        <v>0</v>
      </c>
      <c r="AB34" s="19">
        <f t="shared" si="4"/>
        <v>0</v>
      </c>
      <c r="AC34" s="16">
        <v>20</v>
      </c>
      <c r="AD34" s="18"/>
      <c r="AE34" s="17"/>
      <c r="AF34" s="23">
        <f t="shared" si="5"/>
        <v>15</v>
      </c>
      <c r="AG34" s="16">
        <v>45</v>
      </c>
      <c r="AH34" s="23">
        <f t="shared" si="6"/>
        <v>80</v>
      </c>
      <c r="AI34" s="14">
        <f t="shared" si="7"/>
        <v>0.93</v>
      </c>
      <c r="AJ34" s="13"/>
      <c r="AK34" s="12">
        <v>0.01</v>
      </c>
      <c r="AL34" s="11">
        <f t="shared" si="8"/>
        <v>1.01</v>
      </c>
      <c r="AM34" s="10">
        <f t="shared" si="9"/>
        <v>9025296000</v>
      </c>
      <c r="AN34" s="9"/>
      <c r="AO34" s="16"/>
      <c r="AP34" s="72"/>
      <c r="AQ34" s="72"/>
      <c r="AR34" s="8"/>
      <c r="AS34" s="7"/>
      <c r="AT34" s="6">
        <f t="shared" si="10"/>
        <v>0</v>
      </c>
    </row>
    <row r="35" spans="1:46" s="37" customFormat="1" ht="45.75" customHeight="1" thickBot="1" x14ac:dyDescent="0.2">
      <c r="A35" s="35"/>
      <c r="B35" s="35"/>
      <c r="C35" s="73"/>
      <c r="D35" s="73"/>
      <c r="E35" s="73"/>
      <c r="F35" s="63"/>
      <c r="G35" s="51"/>
      <c r="H35" s="45"/>
      <c r="I35" s="38">
        <v>0.51</v>
      </c>
      <c r="J35" s="30">
        <v>0.49</v>
      </c>
      <c r="K35" s="29"/>
      <c r="L35" s="28"/>
      <c r="M35" s="27"/>
      <c r="N35" s="26">
        <f t="shared" si="0"/>
        <v>1</v>
      </c>
      <c r="O35" s="65">
        <v>15</v>
      </c>
      <c r="P35" s="23">
        <v>15</v>
      </c>
      <c r="Q35" s="42"/>
      <c r="R35" s="42"/>
      <c r="S35" s="23"/>
      <c r="T35" s="20">
        <f t="shared" si="1"/>
        <v>15</v>
      </c>
      <c r="U35" s="19">
        <f t="shared" si="2"/>
        <v>15</v>
      </c>
      <c r="V35" s="61"/>
      <c r="W35" s="59"/>
      <c r="X35" s="59"/>
      <c r="Y35" s="22"/>
      <c r="Z35" s="68"/>
      <c r="AA35" s="20">
        <f t="shared" si="3"/>
        <v>0</v>
      </c>
      <c r="AB35" s="19">
        <f t="shared" si="4"/>
        <v>0</v>
      </c>
      <c r="AC35" s="16">
        <v>20</v>
      </c>
      <c r="AD35" s="18"/>
      <c r="AE35" s="17"/>
      <c r="AF35" s="23">
        <f t="shared" si="5"/>
        <v>15</v>
      </c>
      <c r="AG35" s="16">
        <v>45</v>
      </c>
      <c r="AH35" s="23">
        <f t="shared" si="6"/>
        <v>80</v>
      </c>
      <c r="AI35" s="14">
        <f t="shared" si="7"/>
        <v>0.93</v>
      </c>
      <c r="AJ35" s="13"/>
      <c r="AK35" s="12">
        <v>0.01</v>
      </c>
      <c r="AL35" s="11">
        <f t="shared" si="8"/>
        <v>1.01</v>
      </c>
      <c r="AM35" s="10">
        <f t="shared" si="9"/>
        <v>9025296000</v>
      </c>
      <c r="AN35" s="9"/>
      <c r="AO35" s="16"/>
      <c r="AP35" s="71"/>
      <c r="AQ35" s="71"/>
      <c r="AR35" s="8"/>
      <c r="AS35" s="7"/>
      <c r="AT35" s="6">
        <f t="shared" si="10"/>
        <v>0</v>
      </c>
    </row>
    <row r="36" spans="1:46" s="37" customFormat="1" ht="45.75" customHeight="1" thickBot="1" x14ac:dyDescent="0.2">
      <c r="A36" s="35"/>
      <c r="B36" s="35"/>
      <c r="C36" s="75" t="s">
        <v>28</v>
      </c>
      <c r="D36" s="70" t="s">
        <v>27</v>
      </c>
      <c r="E36" s="70" t="s">
        <v>26</v>
      </c>
      <c r="F36" s="75" t="s">
        <v>25</v>
      </c>
      <c r="G36" s="70" t="s">
        <v>24</v>
      </c>
      <c r="H36" s="45"/>
      <c r="I36" s="38">
        <v>0.51</v>
      </c>
      <c r="J36" s="30">
        <v>0.49</v>
      </c>
      <c r="K36" s="29"/>
      <c r="L36" s="30"/>
      <c r="M36" s="27"/>
      <c r="N36" s="26">
        <f t="shared" si="0"/>
        <v>1</v>
      </c>
      <c r="O36" s="65">
        <v>15</v>
      </c>
      <c r="P36" s="23">
        <v>15</v>
      </c>
      <c r="Q36" s="42"/>
      <c r="R36" s="42"/>
      <c r="S36" s="42"/>
      <c r="T36" s="20">
        <f t="shared" si="1"/>
        <v>15</v>
      </c>
      <c r="U36" s="19">
        <f t="shared" si="2"/>
        <v>15</v>
      </c>
      <c r="V36" s="68">
        <v>4356569000</v>
      </c>
      <c r="W36" s="22">
        <v>1880242000</v>
      </c>
      <c r="X36" s="48">
        <v>7979611000</v>
      </c>
      <c r="Y36" s="68">
        <v>1966034000</v>
      </c>
      <c r="Z36" s="59">
        <v>3324955000</v>
      </c>
      <c r="AA36" s="20">
        <f t="shared" si="3"/>
        <v>2.4500000000000002</v>
      </c>
      <c r="AB36" s="19">
        <f t="shared" si="4"/>
        <v>2.4500000000000002</v>
      </c>
      <c r="AC36" s="16">
        <v>20</v>
      </c>
      <c r="AD36" s="18"/>
      <c r="AE36" s="17"/>
      <c r="AF36" s="23">
        <f t="shared" si="5"/>
        <v>17.45</v>
      </c>
      <c r="AG36" s="16">
        <v>45</v>
      </c>
      <c r="AH36" s="23">
        <f t="shared" si="6"/>
        <v>82.45</v>
      </c>
      <c r="AI36" s="14">
        <f t="shared" si="7"/>
        <v>0.91775000000000007</v>
      </c>
      <c r="AJ36" s="13"/>
      <c r="AK36" s="12">
        <v>0.01</v>
      </c>
      <c r="AL36" s="11">
        <f t="shared" si="8"/>
        <v>1.01</v>
      </c>
      <c r="AM36" s="10">
        <f t="shared" si="9"/>
        <v>8906414000</v>
      </c>
      <c r="AN36" s="9"/>
      <c r="AO36" s="71"/>
      <c r="AP36" s="71"/>
      <c r="AQ36" s="71"/>
      <c r="AR36" s="8"/>
      <c r="AS36" s="7"/>
      <c r="AT36" s="6">
        <f t="shared" si="10"/>
        <v>0</v>
      </c>
    </row>
    <row r="37" spans="1:46" s="37" customFormat="1" ht="45.75" customHeight="1" thickBot="1" x14ac:dyDescent="0.2">
      <c r="A37" s="35"/>
      <c r="B37" s="35"/>
      <c r="C37" s="73" t="s">
        <v>23</v>
      </c>
      <c r="D37" s="73" t="s">
        <v>22</v>
      </c>
      <c r="E37" s="39"/>
      <c r="F37" s="63"/>
      <c r="G37" s="51"/>
      <c r="H37" s="45"/>
      <c r="I37" s="38">
        <v>0.51</v>
      </c>
      <c r="J37" s="30">
        <v>0.49</v>
      </c>
      <c r="K37" s="29"/>
      <c r="L37" s="28"/>
      <c r="M37" s="27"/>
      <c r="N37" s="26">
        <f t="shared" si="0"/>
        <v>1</v>
      </c>
      <c r="O37" s="65">
        <v>15</v>
      </c>
      <c r="P37" s="23">
        <v>15</v>
      </c>
      <c r="Q37" s="42"/>
      <c r="R37" s="42"/>
      <c r="S37" s="42"/>
      <c r="T37" s="20">
        <f t="shared" si="1"/>
        <v>15</v>
      </c>
      <c r="U37" s="19">
        <f t="shared" si="2"/>
        <v>15</v>
      </c>
      <c r="V37" s="61">
        <v>12907222000</v>
      </c>
      <c r="W37" s="62">
        <v>9345491000</v>
      </c>
      <c r="X37" s="59"/>
      <c r="Y37" s="22"/>
      <c r="Z37" s="68"/>
      <c r="AA37" s="20">
        <f t="shared" si="3"/>
        <v>8.7100000000000009</v>
      </c>
      <c r="AB37" s="19">
        <f t="shared" si="4"/>
        <v>8.7100000000000009</v>
      </c>
      <c r="AC37" s="16">
        <v>20</v>
      </c>
      <c r="AD37" s="18"/>
      <c r="AE37" s="17"/>
      <c r="AF37" s="23">
        <f t="shared" si="5"/>
        <v>23.71</v>
      </c>
      <c r="AG37" s="16">
        <v>45</v>
      </c>
      <c r="AH37" s="23">
        <f t="shared" si="6"/>
        <v>88.710000000000008</v>
      </c>
      <c r="AI37" s="14">
        <f t="shared" si="7"/>
        <v>0.88644999999999996</v>
      </c>
      <c r="AJ37" s="13"/>
      <c r="AK37" s="12">
        <v>0.01</v>
      </c>
      <c r="AL37" s="11">
        <f t="shared" si="8"/>
        <v>1.01</v>
      </c>
      <c r="AM37" s="10">
        <f t="shared" si="9"/>
        <v>8602659000</v>
      </c>
      <c r="AN37" s="9"/>
      <c r="AO37" s="8"/>
      <c r="AP37" s="8"/>
      <c r="AQ37" s="8"/>
      <c r="AR37" s="8"/>
      <c r="AS37" s="7"/>
      <c r="AT37" s="6">
        <f t="shared" si="10"/>
        <v>0</v>
      </c>
    </row>
    <row r="38" spans="1:46" s="37" customFormat="1" ht="45.75" customHeight="1" thickBot="1" x14ac:dyDescent="0.2">
      <c r="A38" s="35"/>
      <c r="B38" s="35"/>
      <c r="C38" s="73"/>
      <c r="D38" s="73"/>
      <c r="E38" s="73"/>
      <c r="F38" s="73"/>
      <c r="G38" s="73"/>
      <c r="H38" s="45"/>
      <c r="I38" s="38">
        <v>0.51</v>
      </c>
      <c r="J38" s="30">
        <v>0.49</v>
      </c>
      <c r="K38" s="29"/>
      <c r="L38" s="28"/>
      <c r="M38" s="27"/>
      <c r="N38" s="26">
        <f t="shared" ref="N38:N68" si="11">SUM(I38:M38)</f>
        <v>1</v>
      </c>
      <c r="O38" s="65">
        <v>15</v>
      </c>
      <c r="P38" s="23">
        <v>15</v>
      </c>
      <c r="Q38" s="42"/>
      <c r="R38" s="42"/>
      <c r="S38" s="23"/>
      <c r="T38" s="20">
        <f t="shared" ref="T38:T68" si="12">ROUND(((O38*I38)+(P38*J38)+(Q38*K38)+(R38*L38)+(S38*M38)),2)</f>
        <v>15</v>
      </c>
      <c r="U38" s="19">
        <f t="shared" ref="U38:U68" si="13">IF(T38&gt;=15,15,T38)</f>
        <v>15</v>
      </c>
      <c r="V38" s="68"/>
      <c r="W38" s="22"/>
      <c r="X38" s="78"/>
      <c r="Y38" s="22"/>
      <c r="Z38" s="68"/>
      <c r="AA38" s="20">
        <f t="shared" ref="AA38:AA68" si="14">ROUND((((V38*I38)+(W38*J38)+(X38*K38)+(Y38*L38)+(Z38*M38))/$I$2*15),2)</f>
        <v>0</v>
      </c>
      <c r="AB38" s="19">
        <f t="shared" ref="AB38:AB68" si="15">IF(AA38&gt;=15,15,AA38)</f>
        <v>0</v>
      </c>
      <c r="AC38" s="16">
        <v>20</v>
      </c>
      <c r="AD38" s="18"/>
      <c r="AE38" s="17"/>
      <c r="AF38" s="23">
        <f t="shared" ref="AF38:AF68" si="16">IF((U38+AB38+AD38)&gt;=30,30,(U38+AB38+AD38))</f>
        <v>15</v>
      </c>
      <c r="AG38" s="16">
        <v>45</v>
      </c>
      <c r="AH38" s="23">
        <f t="shared" ref="AH38:AH68" si="17">AC38+AF38+AG38+AE38</f>
        <v>80</v>
      </c>
      <c r="AI38" s="14">
        <f t="shared" ref="AI38:AI68" si="18">-((50-((176+(45+(30-AF38)))))/200)</f>
        <v>0.93</v>
      </c>
      <c r="AJ38" s="13"/>
      <c r="AK38" s="12">
        <v>0.01</v>
      </c>
      <c r="AL38" s="11">
        <f t="shared" ref="AL38:AL68" si="19">100%+AK38</f>
        <v>1.01</v>
      </c>
      <c r="AM38" s="10">
        <f t="shared" ref="AM38:AM68" si="20">ROUNDUP($D$2*AI38*AL38,-3)</f>
        <v>9025296000</v>
      </c>
      <c r="AN38" s="9"/>
      <c r="AO38" s="71"/>
      <c r="AP38" s="71"/>
      <c r="AQ38" s="71"/>
      <c r="AR38" s="8"/>
      <c r="AS38" s="7"/>
      <c r="AT38" s="6">
        <f t="shared" ref="AT38:AT68" si="21">(AO38*J38)+(AP38*K38)+(AQ38*L38)+(AR38*M38)+(AS38*N38)</f>
        <v>0</v>
      </c>
    </row>
    <row r="39" spans="1:46" s="37" customFormat="1" ht="45.75" customHeight="1" thickBot="1" x14ac:dyDescent="0.2">
      <c r="A39" s="35"/>
      <c r="B39" s="35"/>
      <c r="C39" s="73"/>
      <c r="D39" s="73"/>
      <c r="E39" s="70" t="s">
        <v>19</v>
      </c>
      <c r="F39" s="70" t="s">
        <v>18</v>
      </c>
      <c r="G39" s="70" t="s">
        <v>17</v>
      </c>
      <c r="H39" s="77"/>
      <c r="I39" s="38">
        <v>0.51</v>
      </c>
      <c r="J39" s="30">
        <v>0.49</v>
      </c>
      <c r="K39" s="29"/>
      <c r="L39" s="28"/>
      <c r="M39" s="27"/>
      <c r="N39" s="26">
        <f t="shared" si="11"/>
        <v>1</v>
      </c>
      <c r="O39" s="65">
        <v>15</v>
      </c>
      <c r="P39" s="23">
        <v>15</v>
      </c>
      <c r="Q39" s="42"/>
      <c r="R39" s="42"/>
      <c r="S39" s="42"/>
      <c r="T39" s="20">
        <f t="shared" si="12"/>
        <v>15</v>
      </c>
      <c r="U39" s="19">
        <f t="shared" si="13"/>
        <v>15</v>
      </c>
      <c r="V39" s="22"/>
      <c r="W39" s="68"/>
      <c r="X39" s="59">
        <v>7692652000</v>
      </c>
      <c r="Y39" s="22"/>
      <c r="Z39" s="68"/>
      <c r="AA39" s="20">
        <f t="shared" si="14"/>
        <v>0</v>
      </c>
      <c r="AB39" s="19">
        <f t="shared" si="15"/>
        <v>0</v>
      </c>
      <c r="AC39" s="16">
        <v>20</v>
      </c>
      <c r="AD39" s="18"/>
      <c r="AE39" s="17"/>
      <c r="AF39" s="23">
        <f t="shared" si="16"/>
        <v>15</v>
      </c>
      <c r="AG39" s="16">
        <v>45</v>
      </c>
      <c r="AH39" s="23">
        <f t="shared" si="17"/>
        <v>80</v>
      </c>
      <c r="AI39" s="14">
        <f t="shared" si="18"/>
        <v>0.93</v>
      </c>
      <c r="AJ39" s="13"/>
      <c r="AK39" s="12">
        <v>0.01</v>
      </c>
      <c r="AL39" s="11">
        <f t="shared" si="19"/>
        <v>1.01</v>
      </c>
      <c r="AM39" s="10">
        <f t="shared" si="20"/>
        <v>9025296000</v>
      </c>
      <c r="AN39" s="9"/>
      <c r="AO39" s="16"/>
      <c r="AP39" s="71"/>
      <c r="AQ39" s="71"/>
      <c r="AR39" s="8"/>
      <c r="AS39" s="7"/>
      <c r="AT39" s="6">
        <f t="shared" si="21"/>
        <v>0</v>
      </c>
    </row>
    <row r="40" spans="1:46" s="37" customFormat="1" ht="45.75" customHeight="1" thickBot="1" x14ac:dyDescent="0.2">
      <c r="A40" s="35"/>
      <c r="B40" s="35"/>
      <c r="C40" s="70" t="s">
        <v>16</v>
      </c>
      <c r="D40" s="75" t="s">
        <v>15</v>
      </c>
      <c r="E40" s="70" t="s">
        <v>14</v>
      </c>
      <c r="F40" s="70" t="s">
        <v>13</v>
      </c>
      <c r="G40" s="70" t="s">
        <v>12</v>
      </c>
      <c r="H40" s="45"/>
      <c r="I40" s="38">
        <v>0.4</v>
      </c>
      <c r="J40" s="30">
        <v>0.3</v>
      </c>
      <c r="K40" s="29">
        <v>0.3</v>
      </c>
      <c r="L40" s="30"/>
      <c r="M40" s="27"/>
      <c r="N40" s="26">
        <f t="shared" si="11"/>
        <v>1</v>
      </c>
      <c r="O40" s="65">
        <v>15</v>
      </c>
      <c r="P40" s="23">
        <v>15</v>
      </c>
      <c r="Q40" s="23">
        <v>15</v>
      </c>
      <c r="R40" s="42"/>
      <c r="S40" s="42"/>
      <c r="T40" s="20">
        <f t="shared" si="12"/>
        <v>15</v>
      </c>
      <c r="U40" s="19">
        <f t="shared" si="13"/>
        <v>15</v>
      </c>
      <c r="V40" s="22"/>
      <c r="W40" s="22"/>
      <c r="X40" s="76"/>
      <c r="Y40" s="22"/>
      <c r="Z40" s="68"/>
      <c r="AA40" s="20">
        <f t="shared" si="14"/>
        <v>0</v>
      </c>
      <c r="AB40" s="19">
        <f t="shared" si="15"/>
        <v>0</v>
      </c>
      <c r="AC40" s="16">
        <v>20</v>
      </c>
      <c r="AD40" s="18"/>
      <c r="AE40" s="17"/>
      <c r="AF40" s="23">
        <f t="shared" si="16"/>
        <v>15</v>
      </c>
      <c r="AG40" s="16">
        <v>45</v>
      </c>
      <c r="AH40" s="23">
        <f t="shared" si="17"/>
        <v>80</v>
      </c>
      <c r="AI40" s="14">
        <f t="shared" si="18"/>
        <v>0.93</v>
      </c>
      <c r="AJ40" s="13"/>
      <c r="AK40" s="12">
        <v>0.01</v>
      </c>
      <c r="AL40" s="11">
        <f t="shared" si="19"/>
        <v>1.01</v>
      </c>
      <c r="AM40" s="10">
        <f t="shared" si="20"/>
        <v>9025296000</v>
      </c>
      <c r="AN40" s="9"/>
      <c r="AO40" s="71"/>
      <c r="AP40" s="71"/>
      <c r="AQ40" s="71"/>
      <c r="AR40" s="8"/>
      <c r="AS40" s="7"/>
      <c r="AT40" s="6">
        <f t="shared" si="21"/>
        <v>0</v>
      </c>
    </row>
    <row r="41" spans="1:46" s="37" customFormat="1" ht="45.75" customHeight="1" thickBot="1" x14ac:dyDescent="0.2">
      <c r="A41" s="35"/>
      <c r="B41" s="35"/>
      <c r="C41" s="73" t="s">
        <v>11</v>
      </c>
      <c r="D41" s="73" t="s">
        <v>10</v>
      </c>
      <c r="E41" s="73" t="s">
        <v>9</v>
      </c>
      <c r="F41" s="73"/>
      <c r="G41" s="51"/>
      <c r="H41" s="45"/>
      <c r="I41" s="38">
        <v>0.51</v>
      </c>
      <c r="J41" s="30">
        <v>0.49</v>
      </c>
      <c r="K41" s="29"/>
      <c r="L41" s="28"/>
      <c r="M41" s="27"/>
      <c r="N41" s="26">
        <f t="shared" si="11"/>
        <v>1</v>
      </c>
      <c r="O41" s="65">
        <v>15</v>
      </c>
      <c r="P41" s="23">
        <v>15</v>
      </c>
      <c r="Q41" s="42"/>
      <c r="R41" s="42"/>
      <c r="S41" s="23"/>
      <c r="T41" s="20">
        <f t="shared" si="12"/>
        <v>15</v>
      </c>
      <c r="U41" s="19">
        <f t="shared" si="13"/>
        <v>15</v>
      </c>
      <c r="V41" s="59">
        <v>11882803000</v>
      </c>
      <c r="W41" s="22">
        <v>7486618000</v>
      </c>
      <c r="X41" s="59"/>
      <c r="Y41" s="22"/>
      <c r="Z41" s="68"/>
      <c r="AA41" s="20">
        <f t="shared" si="14"/>
        <v>7.59</v>
      </c>
      <c r="AB41" s="19">
        <f t="shared" si="15"/>
        <v>7.59</v>
      </c>
      <c r="AC41" s="16">
        <v>20</v>
      </c>
      <c r="AD41" s="18"/>
      <c r="AE41" s="17"/>
      <c r="AF41" s="23">
        <f t="shared" si="16"/>
        <v>22.59</v>
      </c>
      <c r="AG41" s="16">
        <v>45</v>
      </c>
      <c r="AH41" s="23">
        <f t="shared" si="17"/>
        <v>87.59</v>
      </c>
      <c r="AI41" s="14">
        <f t="shared" si="18"/>
        <v>0.89205000000000001</v>
      </c>
      <c r="AJ41" s="13"/>
      <c r="AK41" s="12">
        <v>0.01</v>
      </c>
      <c r="AL41" s="11">
        <f t="shared" si="19"/>
        <v>1.01</v>
      </c>
      <c r="AM41" s="10">
        <f t="shared" si="20"/>
        <v>8657005000</v>
      </c>
      <c r="AN41" s="9"/>
      <c r="AO41" s="74"/>
      <c r="AP41" s="72"/>
      <c r="AQ41" s="72"/>
      <c r="AR41" s="8"/>
      <c r="AS41" s="7"/>
      <c r="AT41" s="6">
        <f t="shared" si="21"/>
        <v>0</v>
      </c>
    </row>
    <row r="42" spans="1:46" s="37" customFormat="1" ht="45.75" customHeight="1" thickBot="1" x14ac:dyDescent="0.2">
      <c r="A42" s="35"/>
      <c r="B42" s="35"/>
      <c r="C42" s="39"/>
      <c r="D42" s="39"/>
      <c r="E42" s="39"/>
      <c r="F42" s="63"/>
      <c r="G42" s="51"/>
      <c r="H42" s="45"/>
      <c r="I42" s="38">
        <v>0.51</v>
      </c>
      <c r="J42" s="30">
        <v>0.49</v>
      </c>
      <c r="K42" s="29"/>
      <c r="L42" s="28"/>
      <c r="M42" s="27"/>
      <c r="N42" s="26">
        <f t="shared" si="11"/>
        <v>1</v>
      </c>
      <c r="O42" s="23">
        <v>15</v>
      </c>
      <c r="P42" s="23">
        <v>15</v>
      </c>
      <c r="Q42" s="42"/>
      <c r="R42" s="42"/>
      <c r="S42" s="42"/>
      <c r="T42" s="20">
        <f t="shared" si="12"/>
        <v>15</v>
      </c>
      <c r="U42" s="19">
        <f t="shared" si="13"/>
        <v>15</v>
      </c>
      <c r="V42" s="61"/>
      <c r="W42" s="59"/>
      <c r="X42" s="61"/>
      <c r="Y42" s="22"/>
      <c r="Z42" s="21"/>
      <c r="AA42" s="20">
        <f t="shared" si="14"/>
        <v>0</v>
      </c>
      <c r="AB42" s="19">
        <f t="shared" si="15"/>
        <v>0</v>
      </c>
      <c r="AC42" s="16">
        <v>20</v>
      </c>
      <c r="AD42" s="18"/>
      <c r="AE42" s="17"/>
      <c r="AF42" s="23">
        <f t="shared" si="16"/>
        <v>15</v>
      </c>
      <c r="AG42" s="16">
        <v>45</v>
      </c>
      <c r="AH42" s="23">
        <f t="shared" si="17"/>
        <v>80</v>
      </c>
      <c r="AI42" s="14">
        <f t="shared" si="18"/>
        <v>0.93</v>
      </c>
      <c r="AJ42" s="13"/>
      <c r="AK42" s="12">
        <v>0.01</v>
      </c>
      <c r="AL42" s="11">
        <f t="shared" si="19"/>
        <v>1.01</v>
      </c>
      <c r="AM42" s="10">
        <f t="shared" si="20"/>
        <v>9025296000</v>
      </c>
      <c r="AN42" s="9"/>
      <c r="AO42" s="8"/>
      <c r="AP42" s="8"/>
      <c r="AQ42" s="8"/>
      <c r="AR42" s="8"/>
      <c r="AS42" s="7"/>
      <c r="AT42" s="6">
        <f t="shared" si="21"/>
        <v>0</v>
      </c>
    </row>
    <row r="43" spans="1:46" s="37" customFormat="1" ht="45.75" customHeight="1" thickBot="1" x14ac:dyDescent="0.2">
      <c r="A43" s="35"/>
      <c r="B43" s="35"/>
      <c r="C43" s="70" t="s">
        <v>8</v>
      </c>
      <c r="D43" s="70" t="s">
        <v>7</v>
      </c>
      <c r="E43" s="75" t="s">
        <v>6</v>
      </c>
      <c r="F43" s="70" t="s">
        <v>5</v>
      </c>
      <c r="G43" s="70" t="s">
        <v>4</v>
      </c>
      <c r="H43" s="45"/>
      <c r="I43" s="38">
        <v>0.5</v>
      </c>
      <c r="J43" s="30">
        <v>0.25</v>
      </c>
      <c r="K43" s="29">
        <v>0.25</v>
      </c>
      <c r="L43" s="28"/>
      <c r="M43" s="27"/>
      <c r="N43" s="26">
        <f t="shared" si="11"/>
        <v>1</v>
      </c>
      <c r="O43" s="65">
        <v>15</v>
      </c>
      <c r="P43" s="23">
        <v>15</v>
      </c>
      <c r="Q43" s="23">
        <v>15</v>
      </c>
      <c r="R43" s="42"/>
      <c r="S43" s="23"/>
      <c r="T43" s="20">
        <f t="shared" si="12"/>
        <v>15</v>
      </c>
      <c r="U43" s="19">
        <f t="shared" si="13"/>
        <v>15</v>
      </c>
      <c r="V43" s="22">
        <v>1364132000</v>
      </c>
      <c r="W43" s="22">
        <v>3231169000</v>
      </c>
      <c r="X43" s="68">
        <v>3586189000</v>
      </c>
      <c r="Y43" s="59">
        <v>1177604000</v>
      </c>
      <c r="Z43" s="22">
        <v>6584044000</v>
      </c>
      <c r="AA43" s="20">
        <f t="shared" si="14"/>
        <v>1.86</v>
      </c>
      <c r="AB43" s="19">
        <f t="shared" si="15"/>
        <v>1.86</v>
      </c>
      <c r="AC43" s="16">
        <v>20</v>
      </c>
      <c r="AD43" s="18"/>
      <c r="AE43" s="17"/>
      <c r="AF43" s="23">
        <f t="shared" si="16"/>
        <v>16.86</v>
      </c>
      <c r="AG43" s="16">
        <v>45</v>
      </c>
      <c r="AH43" s="23">
        <f t="shared" si="17"/>
        <v>81.86</v>
      </c>
      <c r="AI43" s="14">
        <f t="shared" si="18"/>
        <v>0.92069999999999996</v>
      </c>
      <c r="AJ43" s="13"/>
      <c r="AK43" s="12">
        <v>0.01</v>
      </c>
      <c r="AL43" s="11">
        <f t="shared" si="19"/>
        <v>1.01</v>
      </c>
      <c r="AM43" s="10">
        <f t="shared" si="20"/>
        <v>8935043000</v>
      </c>
      <c r="AN43" s="9"/>
      <c r="AO43" s="16"/>
      <c r="AP43" s="71"/>
      <c r="AQ43" s="71"/>
      <c r="AR43" s="8"/>
      <c r="AS43" s="7"/>
      <c r="AT43" s="6">
        <f t="shared" si="21"/>
        <v>0</v>
      </c>
    </row>
    <row r="44" spans="1:46" s="37" customFormat="1" ht="45.75" customHeight="1" thickBot="1" x14ac:dyDescent="0.2">
      <c r="A44" s="35"/>
      <c r="B44" s="35"/>
      <c r="C44" s="73"/>
      <c r="D44" s="73"/>
      <c r="E44" s="73"/>
      <c r="F44" s="73"/>
      <c r="G44" s="51"/>
      <c r="H44" s="45"/>
      <c r="I44" s="38">
        <v>0.51</v>
      </c>
      <c r="J44" s="30">
        <v>0.49</v>
      </c>
      <c r="K44" s="29"/>
      <c r="L44" s="28"/>
      <c r="M44" s="27"/>
      <c r="N44" s="26">
        <f t="shared" si="11"/>
        <v>1</v>
      </c>
      <c r="O44" s="65">
        <v>15</v>
      </c>
      <c r="P44" s="23">
        <v>15</v>
      </c>
      <c r="Q44" s="42"/>
      <c r="R44" s="42"/>
      <c r="S44" s="23"/>
      <c r="T44" s="20">
        <f t="shared" si="12"/>
        <v>15</v>
      </c>
      <c r="U44" s="19">
        <f t="shared" si="13"/>
        <v>15</v>
      </c>
      <c r="V44" s="22"/>
      <c r="W44" s="22"/>
      <c r="X44" s="22"/>
      <c r="Y44" s="22"/>
      <c r="Z44" s="68"/>
      <c r="AA44" s="20">
        <f t="shared" si="14"/>
        <v>0</v>
      </c>
      <c r="AB44" s="19">
        <f t="shared" si="15"/>
        <v>0</v>
      </c>
      <c r="AC44" s="16">
        <v>20</v>
      </c>
      <c r="AD44" s="18"/>
      <c r="AE44" s="17"/>
      <c r="AF44" s="23">
        <f t="shared" si="16"/>
        <v>15</v>
      </c>
      <c r="AG44" s="16">
        <v>45</v>
      </c>
      <c r="AH44" s="23">
        <f t="shared" si="17"/>
        <v>80</v>
      </c>
      <c r="AI44" s="14">
        <f t="shared" si="18"/>
        <v>0.93</v>
      </c>
      <c r="AJ44" s="13"/>
      <c r="AK44" s="12">
        <v>0.01</v>
      </c>
      <c r="AL44" s="11">
        <f t="shared" si="19"/>
        <v>1.01</v>
      </c>
      <c r="AM44" s="10">
        <f t="shared" si="20"/>
        <v>9025296000</v>
      </c>
      <c r="AN44" s="9"/>
      <c r="AO44" s="74"/>
      <c r="AP44" s="16"/>
      <c r="AQ44" s="16"/>
      <c r="AR44" s="8"/>
      <c r="AS44" s="7"/>
      <c r="AT44" s="6">
        <f t="shared" si="21"/>
        <v>0</v>
      </c>
    </row>
    <row r="45" spans="1:46" s="37" customFormat="1" ht="45.75" customHeight="1" thickBot="1" x14ac:dyDescent="0.2">
      <c r="A45" s="35"/>
      <c r="B45" s="35"/>
      <c r="C45" s="70" t="s">
        <v>3</v>
      </c>
      <c r="D45" s="73"/>
      <c r="E45" s="73"/>
      <c r="F45" s="73"/>
      <c r="G45" s="73" t="s">
        <v>2</v>
      </c>
      <c r="H45" s="45" t="s">
        <v>1</v>
      </c>
      <c r="I45" s="38">
        <v>0.51</v>
      </c>
      <c r="J45" s="30">
        <v>0.49</v>
      </c>
      <c r="K45" s="29"/>
      <c r="L45" s="28"/>
      <c r="M45" s="27"/>
      <c r="N45" s="26">
        <f t="shared" si="11"/>
        <v>1</v>
      </c>
      <c r="O45" s="65">
        <v>15</v>
      </c>
      <c r="P45" s="23">
        <v>15</v>
      </c>
      <c r="Q45" s="42"/>
      <c r="R45" s="42"/>
      <c r="S45" s="23"/>
      <c r="T45" s="20">
        <f t="shared" si="12"/>
        <v>15</v>
      </c>
      <c r="U45" s="19">
        <f t="shared" si="13"/>
        <v>15</v>
      </c>
      <c r="V45" s="22">
        <v>724542000</v>
      </c>
      <c r="W45" s="59"/>
      <c r="X45" s="59"/>
      <c r="Y45" s="22"/>
      <c r="Z45" s="21"/>
      <c r="AA45" s="20">
        <f t="shared" si="14"/>
        <v>0.28999999999999998</v>
      </c>
      <c r="AB45" s="19">
        <f t="shared" si="15"/>
        <v>0.28999999999999998</v>
      </c>
      <c r="AC45" s="16">
        <v>20</v>
      </c>
      <c r="AD45" s="18"/>
      <c r="AE45" s="17"/>
      <c r="AF45" s="23">
        <f t="shared" si="16"/>
        <v>15.29</v>
      </c>
      <c r="AG45" s="16">
        <v>45</v>
      </c>
      <c r="AH45" s="23">
        <f t="shared" si="17"/>
        <v>80.289999999999992</v>
      </c>
      <c r="AI45" s="14">
        <f t="shared" si="18"/>
        <v>0.92854999999999999</v>
      </c>
      <c r="AJ45" s="13"/>
      <c r="AK45" s="12">
        <v>0.01</v>
      </c>
      <c r="AL45" s="11">
        <f t="shared" si="19"/>
        <v>1.01</v>
      </c>
      <c r="AM45" s="10">
        <f t="shared" si="20"/>
        <v>9011224000</v>
      </c>
      <c r="AN45" s="9"/>
      <c r="AO45" s="16"/>
      <c r="AP45" s="72"/>
      <c r="AQ45" s="71"/>
      <c r="AR45" s="8"/>
      <c r="AS45" s="7"/>
      <c r="AT45" s="6">
        <f t="shared" si="21"/>
        <v>0</v>
      </c>
    </row>
    <row r="46" spans="1:46" s="37" customFormat="1" ht="45.75" customHeight="1" thickBot="1" x14ac:dyDescent="0.2">
      <c r="A46" s="35"/>
      <c r="B46" s="35"/>
      <c r="C46" s="39"/>
      <c r="D46" s="53"/>
      <c r="E46" s="63"/>
      <c r="F46" s="63"/>
      <c r="G46" s="51"/>
      <c r="H46" s="45"/>
      <c r="I46" s="38">
        <v>0.51</v>
      </c>
      <c r="J46" s="30">
        <v>0.49</v>
      </c>
      <c r="K46" s="29"/>
      <c r="L46" s="28"/>
      <c r="M46" s="27"/>
      <c r="N46" s="26">
        <f t="shared" si="11"/>
        <v>1</v>
      </c>
      <c r="O46" s="23">
        <v>15</v>
      </c>
      <c r="P46" s="23">
        <v>15</v>
      </c>
      <c r="Q46" s="42"/>
      <c r="R46" s="24"/>
      <c r="S46" s="23"/>
      <c r="T46" s="20">
        <f t="shared" si="12"/>
        <v>15</v>
      </c>
      <c r="U46" s="19">
        <f t="shared" si="13"/>
        <v>15</v>
      </c>
      <c r="V46" s="61"/>
      <c r="W46" s="59"/>
      <c r="X46" s="22"/>
      <c r="Y46" s="22"/>
      <c r="Z46" s="68"/>
      <c r="AA46" s="20">
        <f t="shared" si="14"/>
        <v>0</v>
      </c>
      <c r="AB46" s="19">
        <f t="shared" si="15"/>
        <v>0</v>
      </c>
      <c r="AC46" s="16">
        <v>20</v>
      </c>
      <c r="AD46" s="18"/>
      <c r="AE46" s="17"/>
      <c r="AF46" s="23">
        <f t="shared" si="16"/>
        <v>15</v>
      </c>
      <c r="AG46" s="16">
        <v>45</v>
      </c>
      <c r="AH46" s="23">
        <f t="shared" si="17"/>
        <v>80</v>
      </c>
      <c r="AI46" s="14">
        <f t="shared" si="18"/>
        <v>0.93</v>
      </c>
      <c r="AJ46" s="13"/>
      <c r="AK46" s="12">
        <v>0.01</v>
      </c>
      <c r="AL46" s="11">
        <f t="shared" si="19"/>
        <v>1.01</v>
      </c>
      <c r="AM46" s="10">
        <f t="shared" si="20"/>
        <v>9025296000</v>
      </c>
      <c r="AN46" s="9"/>
      <c r="AO46" s="8"/>
      <c r="AP46" s="8"/>
      <c r="AQ46" s="8"/>
      <c r="AR46" s="8"/>
      <c r="AS46" s="7"/>
      <c r="AT46" s="6">
        <f t="shared" si="21"/>
        <v>0</v>
      </c>
    </row>
    <row r="47" spans="1:46" s="37" customFormat="1" ht="45.75" customHeight="1" thickBot="1" x14ac:dyDescent="0.2">
      <c r="A47" s="35"/>
      <c r="B47" s="35"/>
      <c r="C47" s="39"/>
      <c r="D47" s="70" t="s">
        <v>0</v>
      </c>
      <c r="E47" s="39"/>
      <c r="F47" s="63"/>
      <c r="G47" s="51"/>
      <c r="H47" s="45"/>
      <c r="I47" s="38">
        <v>0.51</v>
      </c>
      <c r="J47" s="30">
        <v>0.49</v>
      </c>
      <c r="K47" s="29"/>
      <c r="L47" s="28"/>
      <c r="M47" s="27"/>
      <c r="N47" s="26">
        <f t="shared" si="11"/>
        <v>1</v>
      </c>
      <c r="O47" s="23">
        <v>15</v>
      </c>
      <c r="P47" s="23">
        <v>15</v>
      </c>
      <c r="Q47" s="69"/>
      <c r="R47" s="24"/>
      <c r="S47" s="23"/>
      <c r="T47" s="20">
        <f t="shared" si="12"/>
        <v>15</v>
      </c>
      <c r="U47" s="19">
        <f t="shared" si="13"/>
        <v>15</v>
      </c>
      <c r="V47" s="61"/>
      <c r="W47" s="68">
        <v>20418317000</v>
      </c>
      <c r="X47" s="59"/>
      <c r="Y47" s="22"/>
      <c r="Z47" s="21"/>
      <c r="AA47" s="20">
        <f t="shared" si="14"/>
        <v>7.81</v>
      </c>
      <c r="AB47" s="19">
        <f t="shared" si="15"/>
        <v>7.81</v>
      </c>
      <c r="AC47" s="16">
        <v>20</v>
      </c>
      <c r="AD47" s="18"/>
      <c r="AE47" s="17"/>
      <c r="AF47" s="23">
        <f t="shared" si="16"/>
        <v>22.81</v>
      </c>
      <c r="AG47" s="16">
        <v>45</v>
      </c>
      <c r="AH47" s="23">
        <f t="shared" si="17"/>
        <v>87.81</v>
      </c>
      <c r="AI47" s="14">
        <f t="shared" si="18"/>
        <v>0.89095000000000002</v>
      </c>
      <c r="AJ47" s="13"/>
      <c r="AK47" s="12">
        <v>0.01</v>
      </c>
      <c r="AL47" s="11">
        <f t="shared" si="19"/>
        <v>1.01</v>
      </c>
      <c r="AM47" s="10">
        <f t="shared" si="20"/>
        <v>8646330000</v>
      </c>
      <c r="AN47" s="9"/>
      <c r="AO47" s="8"/>
      <c r="AP47" s="8"/>
      <c r="AQ47" s="8"/>
      <c r="AR47" s="8"/>
      <c r="AS47" s="7"/>
      <c r="AT47" s="6">
        <f t="shared" si="21"/>
        <v>0</v>
      </c>
    </row>
    <row r="48" spans="1:46" s="37" customFormat="1" ht="45.75" customHeight="1" thickBot="1" x14ac:dyDescent="0.2">
      <c r="A48" s="36"/>
      <c r="B48" s="35"/>
      <c r="C48" s="64"/>
      <c r="D48" s="39"/>
      <c r="E48" s="34"/>
      <c r="F48" s="34"/>
      <c r="G48" s="33"/>
      <c r="H48" s="32"/>
      <c r="I48" s="38">
        <v>0.51</v>
      </c>
      <c r="J48" s="30">
        <v>0.49</v>
      </c>
      <c r="K48" s="29"/>
      <c r="L48" s="28"/>
      <c r="M48" s="27"/>
      <c r="N48" s="26">
        <f t="shared" si="11"/>
        <v>1</v>
      </c>
      <c r="O48" s="25">
        <v>15</v>
      </c>
      <c r="P48" s="23">
        <v>15</v>
      </c>
      <c r="Q48" s="24"/>
      <c r="R48" s="24"/>
      <c r="S48" s="23"/>
      <c r="T48" s="20">
        <f t="shared" si="12"/>
        <v>15</v>
      </c>
      <c r="U48" s="19">
        <f t="shared" si="13"/>
        <v>15</v>
      </c>
      <c r="V48" s="61"/>
      <c r="W48" s="59"/>
      <c r="X48" s="22"/>
      <c r="Y48" s="22"/>
      <c r="Z48" s="21"/>
      <c r="AA48" s="20">
        <f t="shared" si="14"/>
        <v>0</v>
      </c>
      <c r="AB48" s="19">
        <f t="shared" si="15"/>
        <v>0</v>
      </c>
      <c r="AC48" s="16">
        <v>20</v>
      </c>
      <c r="AD48" s="18"/>
      <c r="AE48" s="17"/>
      <c r="AF48" s="23">
        <f t="shared" si="16"/>
        <v>15</v>
      </c>
      <c r="AG48" s="16">
        <v>45</v>
      </c>
      <c r="AH48" s="23">
        <f t="shared" si="17"/>
        <v>80</v>
      </c>
      <c r="AI48" s="14">
        <f t="shared" si="18"/>
        <v>0.93</v>
      </c>
      <c r="AJ48" s="13"/>
      <c r="AK48" s="12">
        <v>0.01</v>
      </c>
      <c r="AL48" s="11">
        <f t="shared" si="19"/>
        <v>1.01</v>
      </c>
      <c r="AM48" s="10">
        <f t="shared" si="20"/>
        <v>9025296000</v>
      </c>
      <c r="AN48" s="9"/>
      <c r="AO48" s="8"/>
      <c r="AP48" s="8"/>
      <c r="AQ48" s="8"/>
      <c r="AR48" s="8"/>
      <c r="AS48" s="7"/>
      <c r="AT48" s="6">
        <f t="shared" si="21"/>
        <v>0</v>
      </c>
    </row>
    <row r="49" spans="1:46" s="37" customFormat="1" ht="45.75" customHeight="1" thickBot="1" x14ac:dyDescent="0.2">
      <c r="A49" s="36"/>
      <c r="B49" s="35"/>
      <c r="C49" s="63"/>
      <c r="D49" s="39"/>
      <c r="E49" s="34"/>
      <c r="F49" s="34"/>
      <c r="G49" s="33"/>
      <c r="H49" s="32"/>
      <c r="I49" s="38">
        <v>0.51</v>
      </c>
      <c r="J49" s="30">
        <v>0.49</v>
      </c>
      <c r="K49" s="29"/>
      <c r="L49" s="28"/>
      <c r="M49" s="27"/>
      <c r="N49" s="26">
        <f t="shared" si="11"/>
        <v>1</v>
      </c>
      <c r="O49" s="25">
        <v>15</v>
      </c>
      <c r="P49" s="23">
        <v>15</v>
      </c>
      <c r="Q49" s="24"/>
      <c r="R49" s="24"/>
      <c r="S49" s="23"/>
      <c r="T49" s="20">
        <f t="shared" si="12"/>
        <v>15</v>
      </c>
      <c r="U49" s="19">
        <f t="shared" si="13"/>
        <v>15</v>
      </c>
      <c r="V49" s="62"/>
      <c r="W49" s="59"/>
      <c r="X49" s="22"/>
      <c r="Y49" s="22"/>
      <c r="Z49" s="21"/>
      <c r="AA49" s="20">
        <f t="shared" si="14"/>
        <v>0</v>
      </c>
      <c r="AB49" s="19">
        <f t="shared" si="15"/>
        <v>0</v>
      </c>
      <c r="AC49" s="16">
        <v>20</v>
      </c>
      <c r="AD49" s="18"/>
      <c r="AE49" s="17"/>
      <c r="AF49" s="23">
        <f t="shared" si="16"/>
        <v>15</v>
      </c>
      <c r="AG49" s="16">
        <v>45</v>
      </c>
      <c r="AH49" s="23">
        <f t="shared" si="17"/>
        <v>80</v>
      </c>
      <c r="AI49" s="14">
        <f t="shared" si="18"/>
        <v>0.93</v>
      </c>
      <c r="AJ49" s="13"/>
      <c r="AK49" s="12">
        <v>0.01</v>
      </c>
      <c r="AL49" s="11">
        <f t="shared" si="19"/>
        <v>1.01</v>
      </c>
      <c r="AM49" s="10">
        <f t="shared" si="20"/>
        <v>9025296000</v>
      </c>
      <c r="AN49" s="9"/>
      <c r="AO49" s="8"/>
      <c r="AP49" s="8"/>
      <c r="AQ49" s="8"/>
      <c r="AR49" s="8"/>
      <c r="AS49" s="7"/>
      <c r="AT49" s="6">
        <f t="shared" si="21"/>
        <v>0</v>
      </c>
    </row>
    <row r="50" spans="1:46" s="37" customFormat="1" ht="45.75" customHeight="1" thickBot="1" x14ac:dyDescent="0.2">
      <c r="A50" s="36"/>
      <c r="B50" s="35"/>
      <c r="C50" s="39"/>
      <c r="D50" s="39"/>
      <c r="E50" s="39"/>
      <c r="F50" s="34"/>
      <c r="G50" s="33"/>
      <c r="H50" s="32"/>
      <c r="I50" s="38">
        <v>0.51</v>
      </c>
      <c r="J50" s="30">
        <v>0.49</v>
      </c>
      <c r="K50" s="29"/>
      <c r="L50" s="28"/>
      <c r="M50" s="27"/>
      <c r="N50" s="26">
        <f t="shared" si="11"/>
        <v>1</v>
      </c>
      <c r="O50" s="25">
        <v>15</v>
      </c>
      <c r="P50" s="23">
        <v>15</v>
      </c>
      <c r="Q50" s="24"/>
      <c r="R50" s="24"/>
      <c r="S50" s="23"/>
      <c r="T50" s="20">
        <f t="shared" si="12"/>
        <v>15</v>
      </c>
      <c r="U50" s="19">
        <f t="shared" si="13"/>
        <v>15</v>
      </c>
      <c r="V50" s="61"/>
      <c r="W50" s="59"/>
      <c r="X50" s="22"/>
      <c r="Y50" s="22"/>
      <c r="Z50" s="21"/>
      <c r="AA50" s="20">
        <f t="shared" si="14"/>
        <v>0</v>
      </c>
      <c r="AB50" s="19">
        <f t="shared" si="15"/>
        <v>0</v>
      </c>
      <c r="AC50" s="16">
        <v>20</v>
      </c>
      <c r="AD50" s="18"/>
      <c r="AE50" s="17"/>
      <c r="AF50" s="23">
        <f t="shared" si="16"/>
        <v>15</v>
      </c>
      <c r="AG50" s="16">
        <v>45</v>
      </c>
      <c r="AH50" s="23">
        <f t="shared" si="17"/>
        <v>80</v>
      </c>
      <c r="AI50" s="14">
        <f t="shared" si="18"/>
        <v>0.93</v>
      </c>
      <c r="AJ50" s="13"/>
      <c r="AK50" s="12">
        <v>0.01</v>
      </c>
      <c r="AL50" s="11">
        <f t="shared" si="19"/>
        <v>1.01</v>
      </c>
      <c r="AM50" s="10">
        <f t="shared" si="20"/>
        <v>9025296000</v>
      </c>
      <c r="AN50" s="9"/>
      <c r="AO50" s="8"/>
      <c r="AP50" s="8"/>
      <c r="AQ50" s="8"/>
      <c r="AR50" s="8"/>
      <c r="AS50" s="7"/>
      <c r="AT50" s="6">
        <f t="shared" si="21"/>
        <v>0</v>
      </c>
    </row>
    <row r="51" spans="1:46" s="37" customFormat="1" ht="45.75" customHeight="1" thickBot="1" x14ac:dyDescent="0.2">
      <c r="A51" s="36"/>
      <c r="B51" s="55"/>
      <c r="C51" s="47"/>
      <c r="D51" s="47"/>
      <c r="E51" s="39"/>
      <c r="F51" s="39"/>
      <c r="G51" s="60"/>
      <c r="H51" s="50"/>
      <c r="I51" s="38">
        <v>0.51</v>
      </c>
      <c r="J51" s="30">
        <v>0.49</v>
      </c>
      <c r="K51" s="29"/>
      <c r="L51" s="28"/>
      <c r="M51" s="27"/>
      <c r="N51" s="26">
        <f t="shared" si="11"/>
        <v>1</v>
      </c>
      <c r="O51" s="44">
        <v>15</v>
      </c>
      <c r="P51" s="43">
        <v>15</v>
      </c>
      <c r="Q51" s="24"/>
      <c r="R51" s="42"/>
      <c r="S51" s="42"/>
      <c r="T51" s="20">
        <f t="shared" si="12"/>
        <v>15</v>
      </c>
      <c r="U51" s="19">
        <f t="shared" si="13"/>
        <v>15</v>
      </c>
      <c r="V51" s="41"/>
      <c r="W51" s="41"/>
      <c r="X51" s="54"/>
      <c r="Y51" s="48"/>
      <c r="Z51" s="21"/>
      <c r="AA51" s="20">
        <f t="shared" si="14"/>
        <v>0</v>
      </c>
      <c r="AB51" s="19">
        <f t="shared" si="15"/>
        <v>0</v>
      </c>
      <c r="AC51" s="16">
        <v>20</v>
      </c>
      <c r="AD51" s="18"/>
      <c r="AE51" s="17"/>
      <c r="AF51" s="23">
        <f t="shared" si="16"/>
        <v>15</v>
      </c>
      <c r="AG51" s="16">
        <v>45</v>
      </c>
      <c r="AH51" s="23">
        <f t="shared" si="17"/>
        <v>80</v>
      </c>
      <c r="AI51" s="14">
        <f t="shared" si="18"/>
        <v>0.93</v>
      </c>
      <c r="AJ51" s="13"/>
      <c r="AK51" s="12">
        <v>0.01</v>
      </c>
      <c r="AL51" s="11">
        <f t="shared" si="19"/>
        <v>1.01</v>
      </c>
      <c r="AM51" s="10">
        <f t="shared" si="20"/>
        <v>9025296000</v>
      </c>
      <c r="AN51" s="9"/>
      <c r="AO51" s="8"/>
      <c r="AP51" s="8"/>
      <c r="AQ51" s="8"/>
      <c r="AR51" s="8"/>
      <c r="AS51" s="7"/>
      <c r="AT51" s="6">
        <f t="shared" si="21"/>
        <v>0</v>
      </c>
    </row>
    <row r="52" spans="1:46" s="37" customFormat="1" ht="45.75" customHeight="1" thickBot="1" x14ac:dyDescent="0.2">
      <c r="A52" s="36"/>
      <c r="B52" s="55"/>
      <c r="C52" s="47"/>
      <c r="D52" s="53"/>
      <c r="E52" s="39"/>
      <c r="F52" s="39"/>
      <c r="G52" s="33"/>
      <c r="H52" s="32"/>
      <c r="I52" s="38">
        <v>0.51</v>
      </c>
      <c r="J52" s="30">
        <v>0.49</v>
      </c>
      <c r="K52" s="29"/>
      <c r="L52" s="28"/>
      <c r="M52" s="27"/>
      <c r="N52" s="26">
        <f t="shared" si="11"/>
        <v>1</v>
      </c>
      <c r="O52" s="25">
        <v>15</v>
      </c>
      <c r="P52" s="43">
        <v>15</v>
      </c>
      <c r="Q52" s="24"/>
      <c r="R52" s="24"/>
      <c r="S52" s="23"/>
      <c r="T52" s="20">
        <f t="shared" si="12"/>
        <v>15</v>
      </c>
      <c r="U52" s="19">
        <f t="shared" si="13"/>
        <v>15</v>
      </c>
      <c r="V52" s="41"/>
      <c r="W52" s="59"/>
      <c r="X52" s="22"/>
      <c r="Y52" s="22"/>
      <c r="Z52" s="21"/>
      <c r="AA52" s="20">
        <f t="shared" si="14"/>
        <v>0</v>
      </c>
      <c r="AB52" s="19">
        <f t="shared" si="15"/>
        <v>0</v>
      </c>
      <c r="AC52" s="16">
        <v>20</v>
      </c>
      <c r="AD52" s="18"/>
      <c r="AE52" s="17"/>
      <c r="AF52" s="23">
        <f t="shared" si="16"/>
        <v>15</v>
      </c>
      <c r="AG52" s="16">
        <v>45</v>
      </c>
      <c r="AH52" s="23">
        <f t="shared" si="17"/>
        <v>80</v>
      </c>
      <c r="AI52" s="14">
        <f t="shared" si="18"/>
        <v>0.93</v>
      </c>
      <c r="AJ52" s="13"/>
      <c r="AK52" s="12">
        <v>0.01</v>
      </c>
      <c r="AL52" s="11">
        <f t="shared" si="19"/>
        <v>1.01</v>
      </c>
      <c r="AM52" s="10">
        <f t="shared" si="20"/>
        <v>9025296000</v>
      </c>
      <c r="AN52" s="9"/>
      <c r="AO52" s="8"/>
      <c r="AP52" s="8"/>
      <c r="AQ52" s="8"/>
      <c r="AR52" s="8"/>
      <c r="AS52" s="7"/>
      <c r="AT52" s="6">
        <f t="shared" si="21"/>
        <v>0</v>
      </c>
    </row>
    <row r="53" spans="1:46" s="37" customFormat="1" ht="45.75" customHeight="1" thickBot="1" x14ac:dyDescent="0.2">
      <c r="A53" s="36"/>
      <c r="B53" s="55"/>
      <c r="C53" s="47"/>
      <c r="D53" s="53"/>
      <c r="E53" s="39"/>
      <c r="F53" s="47"/>
      <c r="G53" s="51"/>
      <c r="H53" s="50"/>
      <c r="I53" s="38">
        <v>0.51</v>
      </c>
      <c r="J53" s="30">
        <v>0.49</v>
      </c>
      <c r="K53" s="29"/>
      <c r="L53" s="28"/>
      <c r="M53" s="27"/>
      <c r="N53" s="26">
        <f t="shared" si="11"/>
        <v>1</v>
      </c>
      <c r="O53" s="44">
        <v>15</v>
      </c>
      <c r="P53" s="43">
        <v>15</v>
      </c>
      <c r="Q53" s="42"/>
      <c r="R53" s="42"/>
      <c r="S53" s="42"/>
      <c r="T53" s="20">
        <f t="shared" si="12"/>
        <v>15</v>
      </c>
      <c r="U53" s="19">
        <f t="shared" si="13"/>
        <v>15</v>
      </c>
      <c r="V53" s="48"/>
      <c r="W53" s="22"/>
      <c r="X53" s="54"/>
      <c r="Y53" s="48"/>
      <c r="Z53" s="21"/>
      <c r="AA53" s="20">
        <f t="shared" si="14"/>
        <v>0</v>
      </c>
      <c r="AB53" s="19">
        <f t="shared" si="15"/>
        <v>0</v>
      </c>
      <c r="AC53" s="16">
        <v>20</v>
      </c>
      <c r="AD53" s="18"/>
      <c r="AE53" s="17"/>
      <c r="AF53" s="23">
        <f t="shared" si="16"/>
        <v>15</v>
      </c>
      <c r="AG53" s="16">
        <v>45</v>
      </c>
      <c r="AH53" s="23">
        <f t="shared" si="17"/>
        <v>80</v>
      </c>
      <c r="AI53" s="14">
        <f t="shared" si="18"/>
        <v>0.93</v>
      </c>
      <c r="AJ53" s="13"/>
      <c r="AK53" s="12">
        <v>0.01</v>
      </c>
      <c r="AL53" s="11">
        <f t="shared" si="19"/>
        <v>1.01</v>
      </c>
      <c r="AM53" s="10">
        <f t="shared" si="20"/>
        <v>9025296000</v>
      </c>
      <c r="AN53" s="9"/>
      <c r="AO53" s="8"/>
      <c r="AP53" s="8"/>
      <c r="AQ53" s="8"/>
      <c r="AR53" s="8"/>
      <c r="AS53" s="7"/>
      <c r="AT53" s="6">
        <f t="shared" si="21"/>
        <v>0</v>
      </c>
    </row>
    <row r="54" spans="1:46" s="37" customFormat="1" ht="45.75" customHeight="1" thickBot="1" x14ac:dyDescent="0.2">
      <c r="A54" s="36"/>
      <c r="B54" s="35"/>
      <c r="C54" s="47"/>
      <c r="D54" s="47"/>
      <c r="E54" s="47"/>
      <c r="F54" s="39"/>
      <c r="G54" s="51"/>
      <c r="H54" s="50"/>
      <c r="I54" s="38">
        <v>0.51</v>
      </c>
      <c r="J54" s="30">
        <v>0.49</v>
      </c>
      <c r="K54" s="29"/>
      <c r="L54" s="28"/>
      <c r="M54" s="27"/>
      <c r="N54" s="26">
        <f t="shared" si="11"/>
        <v>1</v>
      </c>
      <c r="O54" s="25">
        <v>15</v>
      </c>
      <c r="P54" s="24">
        <v>15</v>
      </c>
      <c r="Q54" s="42"/>
      <c r="R54" s="42"/>
      <c r="S54" s="42"/>
      <c r="T54" s="20">
        <f t="shared" si="12"/>
        <v>15</v>
      </c>
      <c r="U54" s="19">
        <f t="shared" si="13"/>
        <v>15</v>
      </c>
      <c r="V54" s="48"/>
      <c r="W54" s="41"/>
      <c r="X54" s="22"/>
      <c r="Y54" s="57"/>
      <c r="Z54" s="21"/>
      <c r="AA54" s="20">
        <f t="shared" si="14"/>
        <v>0</v>
      </c>
      <c r="AB54" s="19">
        <f t="shared" si="15"/>
        <v>0</v>
      </c>
      <c r="AC54" s="16">
        <v>20</v>
      </c>
      <c r="AD54" s="18"/>
      <c r="AE54" s="17"/>
      <c r="AF54" s="23">
        <f t="shared" si="16"/>
        <v>15</v>
      </c>
      <c r="AG54" s="16">
        <v>45</v>
      </c>
      <c r="AH54" s="23">
        <f t="shared" si="17"/>
        <v>80</v>
      </c>
      <c r="AI54" s="14">
        <f t="shared" si="18"/>
        <v>0.93</v>
      </c>
      <c r="AJ54" s="13"/>
      <c r="AK54" s="12">
        <v>0.01</v>
      </c>
      <c r="AL54" s="11">
        <f t="shared" si="19"/>
        <v>1.01</v>
      </c>
      <c r="AM54" s="10">
        <f t="shared" si="20"/>
        <v>9025296000</v>
      </c>
      <c r="AN54" s="9"/>
      <c r="AO54" s="8"/>
      <c r="AP54" s="8"/>
      <c r="AQ54" s="8"/>
      <c r="AR54" s="8"/>
      <c r="AS54" s="7"/>
      <c r="AT54" s="6">
        <f t="shared" si="21"/>
        <v>0</v>
      </c>
    </row>
    <row r="55" spans="1:46" s="37" customFormat="1" ht="45.75" customHeight="1" thickBot="1" x14ac:dyDescent="0.2">
      <c r="A55" s="36"/>
      <c r="B55" s="35"/>
      <c r="C55" s="39"/>
      <c r="D55" s="47"/>
      <c r="E55" s="47"/>
      <c r="F55" s="39"/>
      <c r="G55" s="46"/>
      <c r="H55" s="45"/>
      <c r="I55" s="38">
        <v>0.51</v>
      </c>
      <c r="J55" s="30">
        <v>0.49</v>
      </c>
      <c r="K55" s="29"/>
      <c r="L55" s="28"/>
      <c r="M55" s="27"/>
      <c r="N55" s="26">
        <f t="shared" si="11"/>
        <v>1</v>
      </c>
      <c r="O55" s="44">
        <v>15</v>
      </c>
      <c r="P55" s="43">
        <v>15</v>
      </c>
      <c r="Q55" s="42"/>
      <c r="R55" s="42"/>
      <c r="S55" s="42"/>
      <c r="T55" s="20">
        <f t="shared" si="12"/>
        <v>15</v>
      </c>
      <c r="U55" s="19">
        <f t="shared" si="13"/>
        <v>15</v>
      </c>
      <c r="V55" s="54"/>
      <c r="W55" s="48"/>
      <c r="X55" s="41"/>
      <c r="Y55" s="48"/>
      <c r="Z55" s="21"/>
      <c r="AA55" s="20">
        <f t="shared" si="14"/>
        <v>0</v>
      </c>
      <c r="AB55" s="19">
        <f t="shared" si="15"/>
        <v>0</v>
      </c>
      <c r="AC55" s="16">
        <v>20</v>
      </c>
      <c r="AD55" s="18"/>
      <c r="AE55" s="17"/>
      <c r="AF55" s="23">
        <f t="shared" si="16"/>
        <v>15</v>
      </c>
      <c r="AG55" s="16">
        <v>45</v>
      </c>
      <c r="AH55" s="23">
        <f t="shared" si="17"/>
        <v>80</v>
      </c>
      <c r="AI55" s="14">
        <f t="shared" si="18"/>
        <v>0.93</v>
      </c>
      <c r="AJ55" s="13"/>
      <c r="AK55" s="12">
        <v>0.01</v>
      </c>
      <c r="AL55" s="11">
        <f t="shared" si="19"/>
        <v>1.01</v>
      </c>
      <c r="AM55" s="10">
        <f t="shared" si="20"/>
        <v>9025296000</v>
      </c>
      <c r="AN55" s="9"/>
      <c r="AO55" s="8"/>
      <c r="AP55" s="8"/>
      <c r="AQ55" s="8"/>
      <c r="AR55" s="8"/>
      <c r="AS55" s="7"/>
      <c r="AT55" s="6">
        <f t="shared" si="21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11"/>
        <v>1</v>
      </c>
      <c r="O56" s="25">
        <v>15</v>
      </c>
      <c r="P56" s="23">
        <v>15</v>
      </c>
      <c r="Q56" s="24"/>
      <c r="R56" s="24"/>
      <c r="S56" s="23"/>
      <c r="T56" s="20">
        <f t="shared" si="12"/>
        <v>15</v>
      </c>
      <c r="U56" s="19">
        <f t="shared" si="13"/>
        <v>15</v>
      </c>
      <c r="V56" s="48"/>
      <c r="W56" s="22"/>
      <c r="X56" s="22"/>
      <c r="Y56" s="22"/>
      <c r="Z56" s="21"/>
      <c r="AA56" s="20">
        <f t="shared" si="14"/>
        <v>0</v>
      </c>
      <c r="AB56" s="19">
        <f t="shared" si="15"/>
        <v>0</v>
      </c>
      <c r="AC56" s="16">
        <v>20</v>
      </c>
      <c r="AD56" s="18"/>
      <c r="AE56" s="17"/>
      <c r="AF56" s="23">
        <f t="shared" si="16"/>
        <v>15</v>
      </c>
      <c r="AG56" s="16">
        <v>45</v>
      </c>
      <c r="AH56" s="23">
        <f t="shared" si="17"/>
        <v>80</v>
      </c>
      <c r="AI56" s="14">
        <f t="shared" si="18"/>
        <v>0.93</v>
      </c>
      <c r="AJ56" s="13"/>
      <c r="AK56" s="12">
        <v>0.01</v>
      </c>
      <c r="AL56" s="11">
        <f t="shared" si="19"/>
        <v>1.01</v>
      </c>
      <c r="AM56" s="10">
        <f t="shared" si="20"/>
        <v>9025296000</v>
      </c>
      <c r="AN56" s="9"/>
      <c r="AO56" s="8"/>
      <c r="AP56" s="8"/>
      <c r="AQ56" s="8"/>
      <c r="AR56" s="8"/>
      <c r="AS56" s="7"/>
      <c r="AT56" s="6">
        <f t="shared" si="21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11"/>
        <v>1</v>
      </c>
      <c r="O57" s="25">
        <v>15</v>
      </c>
      <c r="P57" s="23">
        <v>15</v>
      </c>
      <c r="Q57" s="24"/>
      <c r="R57" s="24"/>
      <c r="S57" s="23"/>
      <c r="T57" s="20">
        <f t="shared" si="12"/>
        <v>15</v>
      </c>
      <c r="U57" s="19">
        <f t="shared" si="13"/>
        <v>15</v>
      </c>
      <c r="V57" s="48"/>
      <c r="W57" s="22"/>
      <c r="X57" s="22"/>
      <c r="Y57" s="57"/>
      <c r="Z57" s="21"/>
      <c r="AA57" s="20">
        <f t="shared" si="14"/>
        <v>0</v>
      </c>
      <c r="AB57" s="19">
        <f t="shared" si="15"/>
        <v>0</v>
      </c>
      <c r="AC57" s="16">
        <v>20</v>
      </c>
      <c r="AD57" s="18"/>
      <c r="AE57" s="17"/>
      <c r="AF57" s="23">
        <f t="shared" si="16"/>
        <v>15</v>
      </c>
      <c r="AG57" s="16">
        <v>45</v>
      </c>
      <c r="AH57" s="23">
        <f t="shared" si="17"/>
        <v>80</v>
      </c>
      <c r="AI57" s="14">
        <f t="shared" si="18"/>
        <v>0.93</v>
      </c>
      <c r="AJ57" s="13"/>
      <c r="AK57" s="12">
        <v>0.01</v>
      </c>
      <c r="AL57" s="11">
        <f t="shared" si="19"/>
        <v>1.01</v>
      </c>
      <c r="AM57" s="10">
        <f t="shared" si="20"/>
        <v>9025296000</v>
      </c>
      <c r="AN57" s="9"/>
      <c r="AO57" s="8"/>
      <c r="AP57" s="8"/>
      <c r="AQ57" s="8"/>
      <c r="AR57" s="8"/>
      <c r="AS57" s="7"/>
      <c r="AT57" s="6">
        <f t="shared" si="21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11"/>
        <v>1</v>
      </c>
      <c r="O58" s="25">
        <v>15</v>
      </c>
      <c r="P58" s="24">
        <v>15</v>
      </c>
      <c r="Q58" s="42"/>
      <c r="R58" s="42"/>
      <c r="S58" s="23"/>
      <c r="T58" s="20">
        <f t="shared" si="12"/>
        <v>15</v>
      </c>
      <c r="U58" s="19">
        <f t="shared" si="13"/>
        <v>15</v>
      </c>
      <c r="V58" s="22"/>
      <c r="W58" s="41"/>
      <c r="X58" s="54"/>
      <c r="Y58" s="48"/>
      <c r="Z58" s="21"/>
      <c r="AA58" s="20">
        <f t="shared" si="14"/>
        <v>0</v>
      </c>
      <c r="AB58" s="19">
        <f t="shared" si="15"/>
        <v>0</v>
      </c>
      <c r="AC58" s="16">
        <v>20</v>
      </c>
      <c r="AD58" s="18"/>
      <c r="AE58" s="17"/>
      <c r="AF58" s="23">
        <f t="shared" si="16"/>
        <v>15</v>
      </c>
      <c r="AG58" s="16">
        <v>45</v>
      </c>
      <c r="AH58" s="23">
        <f t="shared" si="17"/>
        <v>80</v>
      </c>
      <c r="AI58" s="14">
        <f t="shared" si="18"/>
        <v>0.93</v>
      </c>
      <c r="AJ58" s="13"/>
      <c r="AK58" s="12">
        <v>0.01</v>
      </c>
      <c r="AL58" s="11">
        <f t="shared" si="19"/>
        <v>1.01</v>
      </c>
      <c r="AM58" s="10">
        <f t="shared" si="20"/>
        <v>9025296000</v>
      </c>
      <c r="AN58" s="9"/>
      <c r="AO58" s="8"/>
      <c r="AP58" s="8"/>
      <c r="AQ58" s="8"/>
      <c r="AR58" s="8"/>
      <c r="AS58" s="7"/>
      <c r="AT58" s="6">
        <f t="shared" si="21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11"/>
        <v>1</v>
      </c>
      <c r="O59" s="25">
        <v>15</v>
      </c>
      <c r="P59" s="24">
        <v>15</v>
      </c>
      <c r="Q59" s="42"/>
      <c r="R59" s="42"/>
      <c r="S59" s="23"/>
      <c r="T59" s="20">
        <f t="shared" si="12"/>
        <v>15</v>
      </c>
      <c r="U59" s="19">
        <f t="shared" si="13"/>
        <v>15</v>
      </c>
      <c r="V59" s="48"/>
      <c r="W59" s="41"/>
      <c r="X59" s="54"/>
      <c r="Y59" s="56"/>
      <c r="Z59" s="21"/>
      <c r="AA59" s="20">
        <f t="shared" si="14"/>
        <v>0</v>
      </c>
      <c r="AB59" s="19">
        <f t="shared" si="15"/>
        <v>0</v>
      </c>
      <c r="AC59" s="16">
        <v>20</v>
      </c>
      <c r="AD59" s="18"/>
      <c r="AE59" s="17"/>
      <c r="AF59" s="23">
        <f t="shared" si="16"/>
        <v>15</v>
      </c>
      <c r="AG59" s="16">
        <v>45</v>
      </c>
      <c r="AH59" s="23">
        <f t="shared" si="17"/>
        <v>80</v>
      </c>
      <c r="AI59" s="14">
        <f t="shared" si="18"/>
        <v>0.93</v>
      </c>
      <c r="AJ59" s="13"/>
      <c r="AK59" s="12">
        <v>0.01</v>
      </c>
      <c r="AL59" s="11">
        <f t="shared" si="19"/>
        <v>1.01</v>
      </c>
      <c r="AM59" s="10">
        <f t="shared" si="20"/>
        <v>9025296000</v>
      </c>
      <c r="AN59" s="9"/>
      <c r="AO59" s="8"/>
      <c r="AP59" s="8"/>
      <c r="AQ59" s="8"/>
      <c r="AR59" s="8"/>
      <c r="AS59" s="7"/>
      <c r="AT59" s="6">
        <f t="shared" si="21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11"/>
        <v>1</v>
      </c>
      <c r="O60" s="44">
        <v>15</v>
      </c>
      <c r="P60" s="24">
        <v>15</v>
      </c>
      <c r="Q60" s="24"/>
      <c r="R60" s="42"/>
      <c r="S60" s="42"/>
      <c r="T60" s="20">
        <f t="shared" si="12"/>
        <v>15</v>
      </c>
      <c r="U60" s="19">
        <f t="shared" si="13"/>
        <v>15</v>
      </c>
      <c r="V60" s="48"/>
      <c r="W60" s="48"/>
      <c r="X60" s="48"/>
      <c r="Y60" s="48"/>
      <c r="Z60" s="21"/>
      <c r="AA60" s="20">
        <f t="shared" si="14"/>
        <v>0</v>
      </c>
      <c r="AB60" s="19">
        <f t="shared" si="15"/>
        <v>0</v>
      </c>
      <c r="AC60" s="16">
        <v>20</v>
      </c>
      <c r="AD60" s="18"/>
      <c r="AE60" s="17"/>
      <c r="AF60" s="23">
        <f t="shared" si="16"/>
        <v>15</v>
      </c>
      <c r="AG60" s="16">
        <v>45</v>
      </c>
      <c r="AH60" s="23">
        <f t="shared" si="17"/>
        <v>80</v>
      </c>
      <c r="AI60" s="14">
        <f t="shared" si="18"/>
        <v>0.93</v>
      </c>
      <c r="AJ60" s="13"/>
      <c r="AK60" s="12">
        <v>0.01</v>
      </c>
      <c r="AL60" s="11">
        <f t="shared" si="19"/>
        <v>1.01</v>
      </c>
      <c r="AM60" s="10">
        <f t="shared" si="20"/>
        <v>9025296000</v>
      </c>
      <c r="AN60" s="9"/>
      <c r="AO60" s="8"/>
      <c r="AP60" s="8"/>
      <c r="AQ60" s="8"/>
      <c r="AR60" s="8"/>
      <c r="AS60" s="7"/>
      <c r="AT60" s="6">
        <f t="shared" si="21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11"/>
        <v>1</v>
      </c>
      <c r="O61" s="25">
        <v>15</v>
      </c>
      <c r="P61" s="23">
        <v>15</v>
      </c>
      <c r="Q61" s="24"/>
      <c r="R61" s="24"/>
      <c r="S61" s="23"/>
      <c r="T61" s="20">
        <f t="shared" si="12"/>
        <v>15</v>
      </c>
      <c r="U61" s="19">
        <f t="shared" si="13"/>
        <v>15</v>
      </c>
      <c r="V61" s="22"/>
      <c r="W61" s="22"/>
      <c r="X61" s="22"/>
      <c r="Y61" s="22"/>
      <c r="Z61" s="21"/>
      <c r="AA61" s="20">
        <f t="shared" si="14"/>
        <v>0</v>
      </c>
      <c r="AB61" s="19">
        <f t="shared" si="15"/>
        <v>0</v>
      </c>
      <c r="AC61" s="16">
        <v>20</v>
      </c>
      <c r="AD61" s="18"/>
      <c r="AE61" s="17"/>
      <c r="AF61" s="23">
        <f t="shared" si="16"/>
        <v>15</v>
      </c>
      <c r="AG61" s="16">
        <v>45</v>
      </c>
      <c r="AH61" s="23">
        <f t="shared" si="17"/>
        <v>80</v>
      </c>
      <c r="AI61" s="14">
        <f t="shared" si="18"/>
        <v>0.93</v>
      </c>
      <c r="AJ61" s="13"/>
      <c r="AK61" s="12">
        <v>0.01</v>
      </c>
      <c r="AL61" s="11">
        <f t="shared" si="19"/>
        <v>1.01</v>
      </c>
      <c r="AM61" s="10">
        <f t="shared" si="20"/>
        <v>9025296000</v>
      </c>
      <c r="AN61" s="9"/>
      <c r="AO61" s="8"/>
      <c r="AP61" s="8"/>
      <c r="AQ61" s="8"/>
      <c r="AR61" s="8"/>
      <c r="AS61" s="7"/>
      <c r="AT61" s="6">
        <f t="shared" si="21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11"/>
        <v>1</v>
      </c>
      <c r="O62" s="44">
        <v>15</v>
      </c>
      <c r="P62" s="43">
        <v>15</v>
      </c>
      <c r="Q62" s="42"/>
      <c r="R62" s="42"/>
      <c r="S62" s="42"/>
      <c r="T62" s="20">
        <f t="shared" si="12"/>
        <v>15</v>
      </c>
      <c r="U62" s="19">
        <f t="shared" si="13"/>
        <v>15</v>
      </c>
      <c r="V62" s="22"/>
      <c r="W62" s="22"/>
      <c r="X62" s="22"/>
      <c r="Y62" s="54"/>
      <c r="Z62" s="21"/>
      <c r="AA62" s="20">
        <f t="shared" si="14"/>
        <v>0</v>
      </c>
      <c r="AB62" s="19">
        <f t="shared" si="15"/>
        <v>0</v>
      </c>
      <c r="AC62" s="16">
        <v>20</v>
      </c>
      <c r="AD62" s="18"/>
      <c r="AE62" s="17"/>
      <c r="AF62" s="23">
        <f t="shared" si="16"/>
        <v>15</v>
      </c>
      <c r="AG62" s="16">
        <v>45</v>
      </c>
      <c r="AH62" s="23">
        <f t="shared" si="17"/>
        <v>80</v>
      </c>
      <c r="AI62" s="14">
        <f t="shared" si="18"/>
        <v>0.93</v>
      </c>
      <c r="AJ62" s="13"/>
      <c r="AK62" s="12">
        <v>0.01</v>
      </c>
      <c r="AL62" s="11">
        <f t="shared" si="19"/>
        <v>1.01</v>
      </c>
      <c r="AM62" s="10">
        <f t="shared" si="20"/>
        <v>9025296000</v>
      </c>
      <c r="AN62" s="9"/>
      <c r="AO62" s="8"/>
      <c r="AP62" s="8"/>
      <c r="AQ62" s="8"/>
      <c r="AR62" s="8"/>
      <c r="AS62" s="7"/>
      <c r="AT62" s="6">
        <f t="shared" si="21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11"/>
        <v>1</v>
      </c>
      <c r="O63" s="44">
        <v>15</v>
      </c>
      <c r="P63" s="43">
        <v>15</v>
      </c>
      <c r="Q63" s="42"/>
      <c r="R63" s="42"/>
      <c r="S63" s="42"/>
      <c r="T63" s="20">
        <f t="shared" si="12"/>
        <v>15</v>
      </c>
      <c r="U63" s="19">
        <f t="shared" si="13"/>
        <v>15</v>
      </c>
      <c r="V63" s="52"/>
      <c r="W63" s="48"/>
      <c r="X63" s="41"/>
      <c r="Y63" s="41"/>
      <c r="Z63" s="21"/>
      <c r="AA63" s="20">
        <f t="shared" si="14"/>
        <v>0</v>
      </c>
      <c r="AB63" s="19">
        <f t="shared" si="15"/>
        <v>0</v>
      </c>
      <c r="AC63" s="16">
        <v>20</v>
      </c>
      <c r="AD63" s="18"/>
      <c r="AE63" s="17"/>
      <c r="AF63" s="23">
        <f t="shared" si="16"/>
        <v>15</v>
      </c>
      <c r="AG63" s="16">
        <v>45</v>
      </c>
      <c r="AH63" s="23">
        <f t="shared" si="17"/>
        <v>80</v>
      </c>
      <c r="AI63" s="14">
        <f t="shared" si="18"/>
        <v>0.93</v>
      </c>
      <c r="AJ63" s="13"/>
      <c r="AK63" s="12">
        <v>0.01</v>
      </c>
      <c r="AL63" s="11">
        <f t="shared" si="19"/>
        <v>1.01</v>
      </c>
      <c r="AM63" s="10">
        <f t="shared" si="20"/>
        <v>9025296000</v>
      </c>
      <c r="AN63" s="9"/>
      <c r="AO63" s="8"/>
      <c r="AP63" s="8"/>
      <c r="AQ63" s="8"/>
      <c r="AR63" s="8"/>
      <c r="AS63" s="7"/>
      <c r="AT63" s="6">
        <f t="shared" si="21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11"/>
        <v>1</v>
      </c>
      <c r="O64" s="44">
        <v>15</v>
      </c>
      <c r="P64" s="43">
        <v>15</v>
      </c>
      <c r="Q64" s="42"/>
      <c r="R64" s="42"/>
      <c r="S64" s="42"/>
      <c r="T64" s="20">
        <f t="shared" si="12"/>
        <v>15</v>
      </c>
      <c r="U64" s="19">
        <f t="shared" si="13"/>
        <v>15</v>
      </c>
      <c r="V64" s="52"/>
      <c r="W64" s="41"/>
      <c r="X64" s="48"/>
      <c r="Y64" s="48"/>
      <c r="Z64" s="21"/>
      <c r="AA64" s="20">
        <f t="shared" si="14"/>
        <v>0</v>
      </c>
      <c r="AB64" s="19">
        <f t="shared" si="15"/>
        <v>0</v>
      </c>
      <c r="AC64" s="16">
        <v>20</v>
      </c>
      <c r="AD64" s="18"/>
      <c r="AE64" s="17"/>
      <c r="AF64" s="23">
        <f t="shared" si="16"/>
        <v>15</v>
      </c>
      <c r="AG64" s="16">
        <v>45</v>
      </c>
      <c r="AH64" s="23">
        <f t="shared" si="17"/>
        <v>80</v>
      </c>
      <c r="AI64" s="14">
        <f t="shared" si="18"/>
        <v>0.93</v>
      </c>
      <c r="AJ64" s="13"/>
      <c r="AK64" s="12">
        <v>0.01</v>
      </c>
      <c r="AL64" s="11">
        <f t="shared" si="19"/>
        <v>1.01</v>
      </c>
      <c r="AM64" s="10">
        <f t="shared" si="20"/>
        <v>9025296000</v>
      </c>
      <c r="AN64" s="9"/>
      <c r="AO64" s="8"/>
      <c r="AP64" s="8"/>
      <c r="AQ64" s="8"/>
      <c r="AR64" s="8"/>
      <c r="AS64" s="7"/>
      <c r="AT64" s="6">
        <f t="shared" si="21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11"/>
        <v>1</v>
      </c>
      <c r="O65" s="44">
        <v>15</v>
      </c>
      <c r="P65" s="43">
        <v>15</v>
      </c>
      <c r="Q65" s="42"/>
      <c r="R65" s="42"/>
      <c r="S65" s="42"/>
      <c r="T65" s="20">
        <f t="shared" si="12"/>
        <v>15</v>
      </c>
      <c r="U65" s="19">
        <f t="shared" si="13"/>
        <v>15</v>
      </c>
      <c r="V65" s="22"/>
      <c r="W65" s="48"/>
      <c r="X65" s="41"/>
      <c r="Y65" s="48"/>
      <c r="Z65" s="21"/>
      <c r="AA65" s="20">
        <f t="shared" si="14"/>
        <v>0</v>
      </c>
      <c r="AB65" s="19">
        <f t="shared" si="15"/>
        <v>0</v>
      </c>
      <c r="AC65" s="16">
        <v>20</v>
      </c>
      <c r="AD65" s="18"/>
      <c r="AE65" s="17"/>
      <c r="AF65" s="23">
        <f t="shared" si="16"/>
        <v>15</v>
      </c>
      <c r="AG65" s="16">
        <v>45</v>
      </c>
      <c r="AH65" s="23">
        <f t="shared" si="17"/>
        <v>80</v>
      </c>
      <c r="AI65" s="14">
        <f t="shared" si="18"/>
        <v>0.93</v>
      </c>
      <c r="AJ65" s="13"/>
      <c r="AK65" s="12">
        <v>0.01</v>
      </c>
      <c r="AL65" s="11">
        <f t="shared" si="19"/>
        <v>1.01</v>
      </c>
      <c r="AM65" s="10">
        <f t="shared" si="20"/>
        <v>9025296000</v>
      </c>
      <c r="AN65" s="9"/>
      <c r="AO65" s="8"/>
      <c r="AP65" s="8"/>
      <c r="AQ65" s="8"/>
      <c r="AR65" s="8"/>
      <c r="AS65" s="7"/>
      <c r="AT65" s="6">
        <f t="shared" si="21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11"/>
        <v>1</v>
      </c>
      <c r="O66" s="44">
        <v>15</v>
      </c>
      <c r="P66" s="43">
        <v>15</v>
      </c>
      <c r="Q66" s="42"/>
      <c r="R66" s="42"/>
      <c r="S66" s="42"/>
      <c r="T66" s="20">
        <f t="shared" si="12"/>
        <v>15</v>
      </c>
      <c r="U66" s="19">
        <f t="shared" si="13"/>
        <v>15</v>
      </c>
      <c r="V66" s="22"/>
      <c r="W66" s="41"/>
      <c r="X66" s="22"/>
      <c r="Y66" s="48"/>
      <c r="Z66" s="21"/>
      <c r="AA66" s="20">
        <f t="shared" si="14"/>
        <v>0</v>
      </c>
      <c r="AB66" s="19">
        <f t="shared" si="15"/>
        <v>0</v>
      </c>
      <c r="AC66" s="16">
        <v>20</v>
      </c>
      <c r="AD66" s="18"/>
      <c r="AE66" s="17"/>
      <c r="AF66" s="23">
        <f t="shared" si="16"/>
        <v>15</v>
      </c>
      <c r="AG66" s="16">
        <v>45</v>
      </c>
      <c r="AH66" s="23">
        <f t="shared" si="17"/>
        <v>80</v>
      </c>
      <c r="AI66" s="14">
        <f t="shared" si="18"/>
        <v>0.93</v>
      </c>
      <c r="AJ66" s="13"/>
      <c r="AK66" s="12">
        <v>0.01</v>
      </c>
      <c r="AL66" s="11">
        <f t="shared" si="19"/>
        <v>1.01</v>
      </c>
      <c r="AM66" s="10">
        <f t="shared" si="20"/>
        <v>9025296000</v>
      </c>
      <c r="AN66" s="9"/>
      <c r="AO66" s="8"/>
      <c r="AP66" s="8"/>
      <c r="AQ66" s="8"/>
      <c r="AR66" s="8"/>
      <c r="AS66" s="7"/>
      <c r="AT66" s="6">
        <f t="shared" si="21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11"/>
        <v>1</v>
      </c>
      <c r="O67" s="25">
        <v>15</v>
      </c>
      <c r="P67" s="23">
        <v>15</v>
      </c>
      <c r="Q67" s="24"/>
      <c r="R67" s="24"/>
      <c r="S67" s="23"/>
      <c r="T67" s="20">
        <f t="shared" si="12"/>
        <v>15</v>
      </c>
      <c r="U67" s="19">
        <f t="shared" si="13"/>
        <v>15</v>
      </c>
      <c r="V67" s="22"/>
      <c r="W67" s="22"/>
      <c r="X67" s="22"/>
      <c r="Y67" s="22"/>
      <c r="Z67" s="21"/>
      <c r="AA67" s="20">
        <f t="shared" si="14"/>
        <v>0</v>
      </c>
      <c r="AB67" s="19">
        <f t="shared" si="15"/>
        <v>0</v>
      </c>
      <c r="AC67" s="16">
        <v>20</v>
      </c>
      <c r="AD67" s="18"/>
      <c r="AE67" s="17"/>
      <c r="AF67" s="23">
        <f t="shared" si="16"/>
        <v>15</v>
      </c>
      <c r="AG67" s="16">
        <v>45</v>
      </c>
      <c r="AH67" s="23">
        <f t="shared" si="17"/>
        <v>80</v>
      </c>
      <c r="AI67" s="14">
        <f t="shared" si="18"/>
        <v>0.93</v>
      </c>
      <c r="AJ67" s="13"/>
      <c r="AK67" s="12">
        <v>0.01</v>
      </c>
      <c r="AL67" s="11">
        <f t="shared" si="19"/>
        <v>1.01</v>
      </c>
      <c r="AM67" s="10">
        <f t="shared" si="20"/>
        <v>9025296000</v>
      </c>
      <c r="AN67" s="9"/>
      <c r="AO67" s="8"/>
      <c r="AP67" s="8"/>
      <c r="AQ67" s="8"/>
      <c r="AR67" s="8"/>
      <c r="AS67" s="7"/>
      <c r="AT67" s="6">
        <f t="shared" si="21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11"/>
        <v>1</v>
      </c>
      <c r="O68" s="44">
        <v>15</v>
      </c>
      <c r="P68" s="43">
        <v>15</v>
      </c>
      <c r="Q68" s="42"/>
      <c r="R68" s="42"/>
      <c r="S68" s="42"/>
      <c r="T68" s="20">
        <f t="shared" si="12"/>
        <v>15</v>
      </c>
      <c r="U68" s="19">
        <f t="shared" si="13"/>
        <v>15</v>
      </c>
      <c r="V68" s="22"/>
      <c r="W68" s="41"/>
      <c r="X68" s="41"/>
      <c r="Y68" s="40"/>
      <c r="Z68" s="21"/>
      <c r="AA68" s="20">
        <f t="shared" si="14"/>
        <v>0</v>
      </c>
      <c r="AB68" s="19">
        <f t="shared" si="15"/>
        <v>0</v>
      </c>
      <c r="AC68" s="16">
        <v>20</v>
      </c>
      <c r="AD68" s="18"/>
      <c r="AE68" s="17"/>
      <c r="AF68" s="23">
        <f t="shared" si="16"/>
        <v>15</v>
      </c>
      <c r="AG68" s="16">
        <v>45</v>
      </c>
      <c r="AH68" s="23">
        <f t="shared" si="17"/>
        <v>80</v>
      </c>
      <c r="AI68" s="14">
        <f t="shared" si="18"/>
        <v>0.93</v>
      </c>
      <c r="AJ68" s="13"/>
      <c r="AK68" s="12">
        <v>0.01</v>
      </c>
      <c r="AL68" s="11">
        <f t="shared" si="19"/>
        <v>1.01</v>
      </c>
      <c r="AM68" s="10">
        <f t="shared" si="20"/>
        <v>9025296000</v>
      </c>
      <c r="AN68" s="9"/>
      <c r="AO68" s="8"/>
      <c r="AP68" s="8"/>
      <c r="AQ68" s="8"/>
      <c r="AR68" s="8"/>
      <c r="AS68" s="7"/>
      <c r="AT68" s="6">
        <f t="shared" si="21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00" si="22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00" si="23">ROUND(((O69*I69)+(P69*J69)+(Q69*K69)+(R69*L69)+(S69*M69)),2)</f>
        <v>15</v>
      </c>
      <c r="U69" s="19">
        <f t="shared" ref="U69:U100" si="24">IF(T69&gt;=15,15,T69)</f>
        <v>15</v>
      </c>
      <c r="V69" s="22"/>
      <c r="W69" s="22"/>
      <c r="X69" s="22"/>
      <c r="Y69" s="22"/>
      <c r="Z69" s="21"/>
      <c r="AA69" s="20">
        <f t="shared" ref="AA69:AA100" si="25">ROUND((((V69*I69)+(W69*J69)+(X69*K69)+(Y69*L69)+(Z69*M69))/$I$2*15),2)</f>
        <v>0</v>
      </c>
      <c r="AB69" s="19">
        <f t="shared" ref="AB69:AB100" si="26">IF(AA69&gt;=15,15,AA69)</f>
        <v>0</v>
      </c>
      <c r="AC69" s="16">
        <v>20</v>
      </c>
      <c r="AD69" s="18"/>
      <c r="AE69" s="17"/>
      <c r="AF69" s="23">
        <f t="shared" ref="AF69:AF100" si="27">IF((U69+AB69+AD69)&gt;=30,30,(U69+AB69+AD69))</f>
        <v>15</v>
      </c>
      <c r="AG69" s="16">
        <v>45</v>
      </c>
      <c r="AH69" s="23">
        <f t="shared" ref="AH69:AH100" si="28">AC69+AF69+AG69+AE69</f>
        <v>80</v>
      </c>
      <c r="AI69" s="14">
        <f t="shared" ref="AI69:AI100" si="29">-((50-((176+(45+(30-AF69)))))/200)</f>
        <v>0.93</v>
      </c>
      <c r="AJ69" s="13"/>
      <c r="AK69" s="12">
        <v>0.01</v>
      </c>
      <c r="AL69" s="11">
        <f t="shared" ref="AL69:AL100" si="30">100%+AK69</f>
        <v>1.01</v>
      </c>
      <c r="AM69" s="10">
        <f t="shared" ref="AM69:AM100" si="31">ROUNDUP($D$2*AI69*AL69,-3)</f>
        <v>9025296000</v>
      </c>
      <c r="AN69" s="9"/>
      <c r="AO69" s="8"/>
      <c r="AP69" s="8"/>
      <c r="AQ69" s="8"/>
      <c r="AR69" s="8"/>
      <c r="AS69" s="7"/>
      <c r="AT69" s="6">
        <f t="shared" ref="AT69:AT100" si="32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22"/>
        <v>1</v>
      </c>
      <c r="O70" s="25">
        <v>15</v>
      </c>
      <c r="P70" s="23">
        <v>15</v>
      </c>
      <c r="Q70" s="24"/>
      <c r="R70" s="24"/>
      <c r="S70" s="23"/>
      <c r="T70" s="20">
        <f t="shared" si="23"/>
        <v>15</v>
      </c>
      <c r="U70" s="19">
        <f t="shared" si="24"/>
        <v>15</v>
      </c>
      <c r="V70" s="22"/>
      <c r="W70" s="22"/>
      <c r="X70" s="22"/>
      <c r="Y70" s="22"/>
      <c r="Z70" s="21"/>
      <c r="AA70" s="20">
        <f t="shared" si="25"/>
        <v>0</v>
      </c>
      <c r="AB70" s="19">
        <f t="shared" si="26"/>
        <v>0</v>
      </c>
      <c r="AC70" s="16">
        <v>20</v>
      </c>
      <c r="AD70" s="18"/>
      <c r="AE70" s="17"/>
      <c r="AF70" s="23">
        <f t="shared" si="27"/>
        <v>15</v>
      </c>
      <c r="AG70" s="16">
        <v>45</v>
      </c>
      <c r="AH70" s="23">
        <f t="shared" si="28"/>
        <v>80</v>
      </c>
      <c r="AI70" s="14">
        <f t="shared" si="29"/>
        <v>0.93</v>
      </c>
      <c r="AJ70" s="13"/>
      <c r="AK70" s="12">
        <v>0.01</v>
      </c>
      <c r="AL70" s="11">
        <f t="shared" si="30"/>
        <v>1.01</v>
      </c>
      <c r="AM70" s="10">
        <f t="shared" si="31"/>
        <v>9025296000</v>
      </c>
      <c r="AN70" s="9"/>
      <c r="AO70" s="8"/>
      <c r="AP70" s="8"/>
      <c r="AQ70" s="8"/>
      <c r="AR70" s="8"/>
      <c r="AS70" s="7"/>
      <c r="AT70" s="6">
        <f t="shared" si="32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22"/>
        <v>1</v>
      </c>
      <c r="O71" s="25">
        <v>15</v>
      </c>
      <c r="P71" s="23">
        <v>15</v>
      </c>
      <c r="Q71" s="24"/>
      <c r="R71" s="24"/>
      <c r="S71" s="23"/>
      <c r="T71" s="20">
        <f t="shared" si="23"/>
        <v>15</v>
      </c>
      <c r="U71" s="19">
        <f t="shared" si="24"/>
        <v>15</v>
      </c>
      <c r="V71" s="22"/>
      <c r="W71" s="22"/>
      <c r="X71" s="22"/>
      <c r="Y71" s="22"/>
      <c r="Z71" s="21"/>
      <c r="AA71" s="20">
        <f t="shared" si="25"/>
        <v>0</v>
      </c>
      <c r="AB71" s="19">
        <f t="shared" si="26"/>
        <v>0</v>
      </c>
      <c r="AC71" s="16">
        <v>20</v>
      </c>
      <c r="AD71" s="18"/>
      <c r="AE71" s="17"/>
      <c r="AF71" s="23">
        <f t="shared" si="27"/>
        <v>15</v>
      </c>
      <c r="AG71" s="16">
        <v>45</v>
      </c>
      <c r="AH71" s="23">
        <f t="shared" si="28"/>
        <v>80</v>
      </c>
      <c r="AI71" s="14">
        <f t="shared" si="29"/>
        <v>0.93</v>
      </c>
      <c r="AJ71" s="13"/>
      <c r="AK71" s="12">
        <v>0.01</v>
      </c>
      <c r="AL71" s="11">
        <f t="shared" si="30"/>
        <v>1.01</v>
      </c>
      <c r="AM71" s="10">
        <f t="shared" si="31"/>
        <v>9025296000</v>
      </c>
      <c r="AN71" s="9"/>
      <c r="AO71" s="8"/>
      <c r="AP71" s="8"/>
      <c r="AQ71" s="8"/>
      <c r="AR71" s="8"/>
      <c r="AS71" s="7"/>
      <c r="AT71" s="6">
        <f t="shared" si="32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22"/>
        <v>1</v>
      </c>
      <c r="O72" s="25">
        <v>15</v>
      </c>
      <c r="P72" s="23">
        <v>15</v>
      </c>
      <c r="Q72" s="24"/>
      <c r="R72" s="24"/>
      <c r="S72" s="23"/>
      <c r="T72" s="20">
        <f t="shared" si="23"/>
        <v>15</v>
      </c>
      <c r="U72" s="19">
        <f t="shared" si="24"/>
        <v>15</v>
      </c>
      <c r="V72" s="22"/>
      <c r="W72" s="22"/>
      <c r="X72" s="22"/>
      <c r="Y72" s="22"/>
      <c r="Z72" s="21"/>
      <c r="AA72" s="20">
        <f t="shared" si="25"/>
        <v>0</v>
      </c>
      <c r="AB72" s="19">
        <f t="shared" si="26"/>
        <v>0</v>
      </c>
      <c r="AC72" s="16">
        <v>20</v>
      </c>
      <c r="AD72" s="18"/>
      <c r="AE72" s="17"/>
      <c r="AF72" s="23">
        <f t="shared" si="27"/>
        <v>15</v>
      </c>
      <c r="AG72" s="16">
        <v>45</v>
      </c>
      <c r="AH72" s="23">
        <f t="shared" si="28"/>
        <v>80</v>
      </c>
      <c r="AI72" s="14">
        <f t="shared" si="29"/>
        <v>0.93</v>
      </c>
      <c r="AJ72" s="13"/>
      <c r="AK72" s="12">
        <v>0.01</v>
      </c>
      <c r="AL72" s="11">
        <f t="shared" si="30"/>
        <v>1.01</v>
      </c>
      <c r="AM72" s="10">
        <f t="shared" si="31"/>
        <v>9025296000</v>
      </c>
      <c r="AN72" s="9"/>
      <c r="AO72" s="8"/>
      <c r="AP72" s="8"/>
      <c r="AQ72" s="8"/>
      <c r="AR72" s="8"/>
      <c r="AS72" s="7"/>
      <c r="AT72" s="6">
        <f t="shared" si="32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22"/>
        <v>1</v>
      </c>
      <c r="O73" s="25">
        <v>15</v>
      </c>
      <c r="P73" s="23">
        <v>15</v>
      </c>
      <c r="Q73" s="24"/>
      <c r="R73" s="24"/>
      <c r="S73" s="23"/>
      <c r="T73" s="20">
        <f t="shared" si="23"/>
        <v>15</v>
      </c>
      <c r="U73" s="19">
        <f t="shared" si="24"/>
        <v>15</v>
      </c>
      <c r="V73" s="22"/>
      <c r="W73" s="22"/>
      <c r="X73" s="22"/>
      <c r="Y73" s="22"/>
      <c r="Z73" s="21"/>
      <c r="AA73" s="20">
        <f t="shared" si="25"/>
        <v>0</v>
      </c>
      <c r="AB73" s="19">
        <f t="shared" si="26"/>
        <v>0</v>
      </c>
      <c r="AC73" s="16">
        <v>20</v>
      </c>
      <c r="AD73" s="18"/>
      <c r="AE73" s="17"/>
      <c r="AF73" s="23">
        <f t="shared" si="27"/>
        <v>15</v>
      </c>
      <c r="AG73" s="16">
        <v>45</v>
      </c>
      <c r="AH73" s="23">
        <f t="shared" si="28"/>
        <v>80</v>
      </c>
      <c r="AI73" s="14">
        <f t="shared" si="29"/>
        <v>0.93</v>
      </c>
      <c r="AJ73" s="13"/>
      <c r="AK73" s="12">
        <v>0.01</v>
      </c>
      <c r="AL73" s="11">
        <f t="shared" si="30"/>
        <v>1.01</v>
      </c>
      <c r="AM73" s="10">
        <f t="shared" si="31"/>
        <v>9025296000</v>
      </c>
      <c r="AN73" s="9"/>
      <c r="AO73" s="8"/>
      <c r="AP73" s="8"/>
      <c r="AQ73" s="8"/>
      <c r="AR73" s="8"/>
      <c r="AS73" s="7"/>
      <c r="AT73" s="6">
        <f t="shared" si="32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22"/>
        <v>1</v>
      </c>
      <c r="O74" s="25">
        <v>15</v>
      </c>
      <c r="P74" s="23">
        <v>15</v>
      </c>
      <c r="Q74" s="24"/>
      <c r="R74" s="24"/>
      <c r="S74" s="23"/>
      <c r="T74" s="20">
        <f t="shared" si="23"/>
        <v>15</v>
      </c>
      <c r="U74" s="19">
        <f t="shared" si="24"/>
        <v>15</v>
      </c>
      <c r="V74" s="22"/>
      <c r="W74" s="22"/>
      <c r="X74" s="22"/>
      <c r="Y74" s="22"/>
      <c r="Z74" s="21"/>
      <c r="AA74" s="20">
        <f t="shared" si="25"/>
        <v>0</v>
      </c>
      <c r="AB74" s="19">
        <f t="shared" si="26"/>
        <v>0</v>
      </c>
      <c r="AC74" s="16">
        <v>20</v>
      </c>
      <c r="AD74" s="18"/>
      <c r="AE74" s="17"/>
      <c r="AF74" s="23">
        <f t="shared" si="27"/>
        <v>15</v>
      </c>
      <c r="AG74" s="16">
        <v>45</v>
      </c>
      <c r="AH74" s="23">
        <f t="shared" si="28"/>
        <v>80</v>
      </c>
      <c r="AI74" s="14">
        <f t="shared" si="29"/>
        <v>0.93</v>
      </c>
      <c r="AJ74" s="13"/>
      <c r="AK74" s="12">
        <v>0.01</v>
      </c>
      <c r="AL74" s="11">
        <f t="shared" si="30"/>
        <v>1.01</v>
      </c>
      <c r="AM74" s="10">
        <f t="shared" si="31"/>
        <v>9025296000</v>
      </c>
      <c r="AN74" s="9"/>
      <c r="AO74" s="8"/>
      <c r="AP74" s="8"/>
      <c r="AQ74" s="8"/>
      <c r="AR74" s="8"/>
      <c r="AS74" s="7"/>
      <c r="AT74" s="6">
        <f t="shared" si="32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22"/>
        <v>1</v>
      </c>
      <c r="O75" s="25">
        <v>15</v>
      </c>
      <c r="P75" s="23">
        <v>15</v>
      </c>
      <c r="Q75" s="24"/>
      <c r="R75" s="24"/>
      <c r="S75" s="23"/>
      <c r="T75" s="20">
        <f t="shared" si="23"/>
        <v>15</v>
      </c>
      <c r="U75" s="19">
        <f t="shared" si="24"/>
        <v>15</v>
      </c>
      <c r="V75" s="22"/>
      <c r="W75" s="22"/>
      <c r="X75" s="22"/>
      <c r="Y75" s="22"/>
      <c r="Z75" s="21"/>
      <c r="AA75" s="20">
        <f t="shared" si="25"/>
        <v>0</v>
      </c>
      <c r="AB75" s="19">
        <f t="shared" si="26"/>
        <v>0</v>
      </c>
      <c r="AC75" s="16">
        <v>20</v>
      </c>
      <c r="AD75" s="18"/>
      <c r="AE75" s="17"/>
      <c r="AF75" s="23">
        <f t="shared" si="27"/>
        <v>15</v>
      </c>
      <c r="AG75" s="16">
        <v>45</v>
      </c>
      <c r="AH75" s="23">
        <f t="shared" si="28"/>
        <v>80</v>
      </c>
      <c r="AI75" s="14">
        <f t="shared" si="29"/>
        <v>0.93</v>
      </c>
      <c r="AJ75" s="13"/>
      <c r="AK75" s="12">
        <v>0.01</v>
      </c>
      <c r="AL75" s="11">
        <f t="shared" si="30"/>
        <v>1.01</v>
      </c>
      <c r="AM75" s="10">
        <f t="shared" si="31"/>
        <v>9025296000</v>
      </c>
      <c r="AN75" s="9"/>
      <c r="AO75" s="8"/>
      <c r="AP75" s="8"/>
      <c r="AQ75" s="8"/>
      <c r="AR75" s="8"/>
      <c r="AS75" s="7"/>
      <c r="AT75" s="6">
        <f t="shared" si="32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22"/>
        <v>1</v>
      </c>
      <c r="O76" s="25">
        <v>15</v>
      </c>
      <c r="P76" s="23">
        <v>15</v>
      </c>
      <c r="Q76" s="24"/>
      <c r="R76" s="24"/>
      <c r="S76" s="23"/>
      <c r="T76" s="20">
        <f t="shared" si="23"/>
        <v>15</v>
      </c>
      <c r="U76" s="19">
        <f t="shared" si="24"/>
        <v>15</v>
      </c>
      <c r="V76" s="22"/>
      <c r="W76" s="22"/>
      <c r="X76" s="22"/>
      <c r="Y76" s="22"/>
      <c r="Z76" s="21"/>
      <c r="AA76" s="20">
        <f t="shared" si="25"/>
        <v>0</v>
      </c>
      <c r="AB76" s="19">
        <f t="shared" si="26"/>
        <v>0</v>
      </c>
      <c r="AC76" s="16">
        <v>20</v>
      </c>
      <c r="AD76" s="18"/>
      <c r="AE76" s="17"/>
      <c r="AF76" s="23">
        <f t="shared" si="27"/>
        <v>15</v>
      </c>
      <c r="AG76" s="16">
        <v>45</v>
      </c>
      <c r="AH76" s="23">
        <f t="shared" si="28"/>
        <v>80</v>
      </c>
      <c r="AI76" s="14">
        <f t="shared" si="29"/>
        <v>0.93</v>
      </c>
      <c r="AJ76" s="13"/>
      <c r="AK76" s="12">
        <v>0.01</v>
      </c>
      <c r="AL76" s="11">
        <f t="shared" si="30"/>
        <v>1.01</v>
      </c>
      <c r="AM76" s="10">
        <f t="shared" si="31"/>
        <v>9025296000</v>
      </c>
      <c r="AN76" s="9"/>
      <c r="AO76" s="8"/>
      <c r="AP76" s="8"/>
      <c r="AQ76" s="8"/>
      <c r="AR76" s="8"/>
      <c r="AS76" s="7"/>
      <c r="AT76" s="6">
        <f t="shared" si="32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22"/>
        <v>1</v>
      </c>
      <c r="O77" s="25">
        <v>15</v>
      </c>
      <c r="P77" s="23">
        <v>15</v>
      </c>
      <c r="Q77" s="24"/>
      <c r="R77" s="24"/>
      <c r="S77" s="23"/>
      <c r="T77" s="20">
        <f t="shared" si="23"/>
        <v>15</v>
      </c>
      <c r="U77" s="19">
        <f t="shared" si="24"/>
        <v>15</v>
      </c>
      <c r="V77" s="22"/>
      <c r="W77" s="22"/>
      <c r="X77" s="22"/>
      <c r="Y77" s="22"/>
      <c r="Z77" s="21"/>
      <c r="AA77" s="20">
        <f t="shared" si="25"/>
        <v>0</v>
      </c>
      <c r="AB77" s="19">
        <f t="shared" si="26"/>
        <v>0</v>
      </c>
      <c r="AC77" s="16">
        <v>20</v>
      </c>
      <c r="AD77" s="18"/>
      <c r="AE77" s="17"/>
      <c r="AF77" s="23">
        <f t="shared" si="27"/>
        <v>15</v>
      </c>
      <c r="AG77" s="16">
        <v>45</v>
      </c>
      <c r="AH77" s="23">
        <f t="shared" si="28"/>
        <v>80</v>
      </c>
      <c r="AI77" s="14">
        <f t="shared" si="29"/>
        <v>0.93</v>
      </c>
      <c r="AJ77" s="13"/>
      <c r="AK77" s="12">
        <v>0.01</v>
      </c>
      <c r="AL77" s="11">
        <f t="shared" si="30"/>
        <v>1.01</v>
      </c>
      <c r="AM77" s="10">
        <f t="shared" si="31"/>
        <v>9025296000</v>
      </c>
      <c r="AN77" s="9"/>
      <c r="AO77" s="8"/>
      <c r="AP77" s="8"/>
      <c r="AQ77" s="8"/>
      <c r="AR77" s="8"/>
      <c r="AS77" s="7"/>
      <c r="AT77" s="6">
        <f t="shared" si="32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22"/>
        <v>1</v>
      </c>
      <c r="O78" s="25">
        <v>15</v>
      </c>
      <c r="P78" s="23">
        <v>15</v>
      </c>
      <c r="Q78" s="24"/>
      <c r="R78" s="24"/>
      <c r="S78" s="23"/>
      <c r="T78" s="20">
        <f t="shared" si="23"/>
        <v>15</v>
      </c>
      <c r="U78" s="19">
        <f t="shared" si="24"/>
        <v>15</v>
      </c>
      <c r="V78" s="22"/>
      <c r="W78" s="22"/>
      <c r="X78" s="22"/>
      <c r="Y78" s="22"/>
      <c r="Z78" s="21"/>
      <c r="AA78" s="20">
        <f t="shared" si="25"/>
        <v>0</v>
      </c>
      <c r="AB78" s="19">
        <f t="shared" si="26"/>
        <v>0</v>
      </c>
      <c r="AC78" s="16">
        <v>20</v>
      </c>
      <c r="AD78" s="18"/>
      <c r="AE78" s="17"/>
      <c r="AF78" s="23">
        <f t="shared" si="27"/>
        <v>15</v>
      </c>
      <c r="AG78" s="16">
        <v>45</v>
      </c>
      <c r="AH78" s="23">
        <f t="shared" si="28"/>
        <v>80</v>
      </c>
      <c r="AI78" s="14">
        <f t="shared" si="29"/>
        <v>0.93</v>
      </c>
      <c r="AJ78" s="13"/>
      <c r="AK78" s="12">
        <v>0.01</v>
      </c>
      <c r="AL78" s="11">
        <f t="shared" si="30"/>
        <v>1.01</v>
      </c>
      <c r="AM78" s="10">
        <f t="shared" si="31"/>
        <v>9025296000</v>
      </c>
      <c r="AN78" s="9"/>
      <c r="AO78" s="8"/>
      <c r="AP78" s="8"/>
      <c r="AQ78" s="8"/>
      <c r="AR78" s="8"/>
      <c r="AS78" s="7"/>
      <c r="AT78" s="6">
        <f t="shared" si="32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22"/>
        <v>1</v>
      </c>
      <c r="O79" s="25">
        <v>15</v>
      </c>
      <c r="P79" s="23">
        <v>15</v>
      </c>
      <c r="Q79" s="24"/>
      <c r="R79" s="24"/>
      <c r="S79" s="23"/>
      <c r="T79" s="20">
        <f t="shared" si="23"/>
        <v>15</v>
      </c>
      <c r="U79" s="19">
        <f t="shared" si="24"/>
        <v>15</v>
      </c>
      <c r="V79" s="22"/>
      <c r="W79" s="22"/>
      <c r="X79" s="22"/>
      <c r="Y79" s="22"/>
      <c r="Z79" s="21"/>
      <c r="AA79" s="20">
        <f t="shared" si="25"/>
        <v>0</v>
      </c>
      <c r="AB79" s="19">
        <f t="shared" si="26"/>
        <v>0</v>
      </c>
      <c r="AC79" s="16">
        <v>20</v>
      </c>
      <c r="AD79" s="18"/>
      <c r="AE79" s="17"/>
      <c r="AF79" s="23">
        <f t="shared" si="27"/>
        <v>15</v>
      </c>
      <c r="AG79" s="16">
        <v>45</v>
      </c>
      <c r="AH79" s="23">
        <f t="shared" si="28"/>
        <v>80</v>
      </c>
      <c r="AI79" s="14">
        <f t="shared" si="29"/>
        <v>0.93</v>
      </c>
      <c r="AJ79" s="13"/>
      <c r="AK79" s="12">
        <v>0.01</v>
      </c>
      <c r="AL79" s="11">
        <f t="shared" si="30"/>
        <v>1.01</v>
      </c>
      <c r="AM79" s="10">
        <f t="shared" si="31"/>
        <v>9025296000</v>
      </c>
      <c r="AN79" s="9"/>
      <c r="AO79" s="8"/>
      <c r="AP79" s="8"/>
      <c r="AQ79" s="8"/>
      <c r="AR79" s="8"/>
      <c r="AS79" s="7"/>
      <c r="AT79" s="6">
        <f t="shared" si="32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22"/>
        <v>1</v>
      </c>
      <c r="O80" s="25">
        <v>15</v>
      </c>
      <c r="P80" s="23">
        <v>15</v>
      </c>
      <c r="Q80" s="24"/>
      <c r="R80" s="24"/>
      <c r="S80" s="23"/>
      <c r="T80" s="20">
        <f t="shared" si="23"/>
        <v>15</v>
      </c>
      <c r="U80" s="19">
        <f t="shared" si="24"/>
        <v>15</v>
      </c>
      <c r="V80" s="22"/>
      <c r="W80" s="22"/>
      <c r="X80" s="22"/>
      <c r="Y80" s="22"/>
      <c r="Z80" s="21"/>
      <c r="AA80" s="20">
        <f t="shared" si="25"/>
        <v>0</v>
      </c>
      <c r="AB80" s="19">
        <f t="shared" si="26"/>
        <v>0</v>
      </c>
      <c r="AC80" s="16">
        <v>20</v>
      </c>
      <c r="AD80" s="18"/>
      <c r="AE80" s="17"/>
      <c r="AF80" s="23">
        <f t="shared" si="27"/>
        <v>15</v>
      </c>
      <c r="AG80" s="16">
        <v>45</v>
      </c>
      <c r="AH80" s="23">
        <f t="shared" si="28"/>
        <v>80</v>
      </c>
      <c r="AI80" s="14">
        <f t="shared" si="29"/>
        <v>0.93</v>
      </c>
      <c r="AJ80" s="13"/>
      <c r="AK80" s="12">
        <v>0.01</v>
      </c>
      <c r="AL80" s="11">
        <f t="shared" si="30"/>
        <v>1.01</v>
      </c>
      <c r="AM80" s="10">
        <f t="shared" si="31"/>
        <v>9025296000</v>
      </c>
      <c r="AN80" s="9"/>
      <c r="AO80" s="8"/>
      <c r="AP80" s="8"/>
      <c r="AQ80" s="8"/>
      <c r="AR80" s="8"/>
      <c r="AS80" s="7"/>
      <c r="AT80" s="6">
        <f t="shared" si="32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22"/>
        <v>1</v>
      </c>
      <c r="O81" s="25">
        <v>15</v>
      </c>
      <c r="P81" s="23">
        <v>15</v>
      </c>
      <c r="Q81" s="24"/>
      <c r="R81" s="24"/>
      <c r="S81" s="23"/>
      <c r="T81" s="20">
        <f t="shared" si="23"/>
        <v>15</v>
      </c>
      <c r="U81" s="19">
        <f t="shared" si="24"/>
        <v>15</v>
      </c>
      <c r="V81" s="22"/>
      <c r="W81" s="22"/>
      <c r="X81" s="22"/>
      <c r="Y81" s="22"/>
      <c r="Z81" s="21"/>
      <c r="AA81" s="20">
        <f t="shared" si="25"/>
        <v>0</v>
      </c>
      <c r="AB81" s="19">
        <f t="shared" si="26"/>
        <v>0</v>
      </c>
      <c r="AC81" s="16">
        <v>20</v>
      </c>
      <c r="AD81" s="18"/>
      <c r="AE81" s="17"/>
      <c r="AF81" s="23">
        <f t="shared" si="27"/>
        <v>15</v>
      </c>
      <c r="AG81" s="16">
        <v>45</v>
      </c>
      <c r="AH81" s="23">
        <f t="shared" si="28"/>
        <v>80</v>
      </c>
      <c r="AI81" s="14">
        <f t="shared" si="29"/>
        <v>0.93</v>
      </c>
      <c r="AJ81" s="13"/>
      <c r="AK81" s="12">
        <v>0.01</v>
      </c>
      <c r="AL81" s="11">
        <f t="shared" si="30"/>
        <v>1.01</v>
      </c>
      <c r="AM81" s="10">
        <f t="shared" si="31"/>
        <v>9025296000</v>
      </c>
      <c r="AN81" s="9"/>
      <c r="AO81" s="8"/>
      <c r="AP81" s="8"/>
      <c r="AQ81" s="8"/>
      <c r="AR81" s="8"/>
      <c r="AS81" s="7"/>
      <c r="AT81" s="6">
        <f t="shared" si="32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22"/>
        <v>1</v>
      </c>
      <c r="O82" s="25">
        <v>15</v>
      </c>
      <c r="P82" s="23">
        <v>15</v>
      </c>
      <c r="Q82" s="24"/>
      <c r="R82" s="24"/>
      <c r="S82" s="23"/>
      <c r="T82" s="20">
        <f t="shared" si="23"/>
        <v>15</v>
      </c>
      <c r="U82" s="19">
        <f t="shared" si="24"/>
        <v>15</v>
      </c>
      <c r="V82" s="22"/>
      <c r="W82" s="22"/>
      <c r="X82" s="22"/>
      <c r="Y82" s="22"/>
      <c r="Z82" s="21"/>
      <c r="AA82" s="20">
        <f t="shared" si="25"/>
        <v>0</v>
      </c>
      <c r="AB82" s="19">
        <f t="shared" si="26"/>
        <v>0</v>
      </c>
      <c r="AC82" s="16">
        <v>20</v>
      </c>
      <c r="AD82" s="18"/>
      <c r="AE82" s="17"/>
      <c r="AF82" s="23">
        <f t="shared" si="27"/>
        <v>15</v>
      </c>
      <c r="AG82" s="16">
        <v>45</v>
      </c>
      <c r="AH82" s="23">
        <f t="shared" si="28"/>
        <v>80</v>
      </c>
      <c r="AI82" s="14">
        <f t="shared" si="29"/>
        <v>0.93</v>
      </c>
      <c r="AJ82" s="13"/>
      <c r="AK82" s="12">
        <v>0.01</v>
      </c>
      <c r="AL82" s="11">
        <f t="shared" si="30"/>
        <v>1.01</v>
      </c>
      <c r="AM82" s="10">
        <f t="shared" si="31"/>
        <v>9025296000</v>
      </c>
      <c r="AN82" s="9"/>
      <c r="AO82" s="8"/>
      <c r="AP82" s="8"/>
      <c r="AQ82" s="8"/>
      <c r="AR82" s="8"/>
      <c r="AS82" s="7"/>
      <c r="AT82" s="6">
        <f t="shared" si="32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22"/>
        <v>1</v>
      </c>
      <c r="O83" s="25">
        <v>15</v>
      </c>
      <c r="P83" s="23">
        <v>15</v>
      </c>
      <c r="Q83" s="24"/>
      <c r="R83" s="24"/>
      <c r="S83" s="23"/>
      <c r="T83" s="20">
        <f t="shared" si="23"/>
        <v>15</v>
      </c>
      <c r="U83" s="19">
        <f t="shared" si="24"/>
        <v>15</v>
      </c>
      <c r="V83" s="22"/>
      <c r="W83" s="22"/>
      <c r="X83" s="22"/>
      <c r="Y83" s="22"/>
      <c r="Z83" s="21"/>
      <c r="AA83" s="20">
        <f t="shared" si="25"/>
        <v>0</v>
      </c>
      <c r="AB83" s="19">
        <f t="shared" si="26"/>
        <v>0</v>
      </c>
      <c r="AC83" s="16">
        <v>20</v>
      </c>
      <c r="AD83" s="18"/>
      <c r="AE83" s="17"/>
      <c r="AF83" s="23">
        <f t="shared" si="27"/>
        <v>15</v>
      </c>
      <c r="AG83" s="16">
        <v>45</v>
      </c>
      <c r="AH83" s="23">
        <f t="shared" si="28"/>
        <v>80</v>
      </c>
      <c r="AI83" s="14">
        <f t="shared" si="29"/>
        <v>0.93</v>
      </c>
      <c r="AJ83" s="13"/>
      <c r="AK83" s="12">
        <v>0.01</v>
      </c>
      <c r="AL83" s="11">
        <f t="shared" si="30"/>
        <v>1.01</v>
      </c>
      <c r="AM83" s="10">
        <f t="shared" si="31"/>
        <v>9025296000</v>
      </c>
      <c r="AN83" s="9"/>
      <c r="AO83" s="8"/>
      <c r="AP83" s="8"/>
      <c r="AQ83" s="8"/>
      <c r="AR83" s="8"/>
      <c r="AS83" s="7"/>
      <c r="AT83" s="6">
        <f t="shared" si="32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22"/>
        <v>1</v>
      </c>
      <c r="O84" s="25">
        <v>15</v>
      </c>
      <c r="P84" s="23">
        <v>15</v>
      </c>
      <c r="Q84" s="24"/>
      <c r="R84" s="24"/>
      <c r="S84" s="23"/>
      <c r="T84" s="20">
        <f t="shared" si="23"/>
        <v>15</v>
      </c>
      <c r="U84" s="19">
        <f t="shared" si="24"/>
        <v>15</v>
      </c>
      <c r="V84" s="22"/>
      <c r="W84" s="22"/>
      <c r="X84" s="22"/>
      <c r="Y84" s="22"/>
      <c r="Z84" s="21"/>
      <c r="AA84" s="20">
        <f t="shared" si="25"/>
        <v>0</v>
      </c>
      <c r="AB84" s="19">
        <f t="shared" si="26"/>
        <v>0</v>
      </c>
      <c r="AC84" s="16">
        <v>20</v>
      </c>
      <c r="AD84" s="18"/>
      <c r="AE84" s="17"/>
      <c r="AF84" s="23">
        <f t="shared" si="27"/>
        <v>15</v>
      </c>
      <c r="AG84" s="16">
        <v>45</v>
      </c>
      <c r="AH84" s="23">
        <f t="shared" si="28"/>
        <v>80</v>
      </c>
      <c r="AI84" s="14">
        <f t="shared" si="29"/>
        <v>0.93</v>
      </c>
      <c r="AJ84" s="13"/>
      <c r="AK84" s="12">
        <v>0.01</v>
      </c>
      <c r="AL84" s="11">
        <f t="shared" si="30"/>
        <v>1.01</v>
      </c>
      <c r="AM84" s="10">
        <f t="shared" si="31"/>
        <v>9025296000</v>
      </c>
      <c r="AN84" s="9"/>
      <c r="AO84" s="8"/>
      <c r="AP84" s="8"/>
      <c r="AQ84" s="8"/>
      <c r="AR84" s="8"/>
      <c r="AS84" s="7"/>
      <c r="AT84" s="6">
        <f t="shared" si="32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22"/>
        <v>1</v>
      </c>
      <c r="O85" s="25">
        <v>15</v>
      </c>
      <c r="P85" s="23">
        <v>15</v>
      </c>
      <c r="Q85" s="24"/>
      <c r="R85" s="24"/>
      <c r="S85" s="23"/>
      <c r="T85" s="20">
        <f t="shared" si="23"/>
        <v>15</v>
      </c>
      <c r="U85" s="19">
        <f t="shared" si="24"/>
        <v>15</v>
      </c>
      <c r="V85" s="22"/>
      <c r="W85" s="22"/>
      <c r="X85" s="22"/>
      <c r="Y85" s="22"/>
      <c r="Z85" s="21"/>
      <c r="AA85" s="20">
        <f t="shared" si="25"/>
        <v>0</v>
      </c>
      <c r="AB85" s="19">
        <f t="shared" si="26"/>
        <v>0</v>
      </c>
      <c r="AC85" s="16">
        <v>20</v>
      </c>
      <c r="AD85" s="18"/>
      <c r="AE85" s="17"/>
      <c r="AF85" s="23">
        <f t="shared" si="27"/>
        <v>15</v>
      </c>
      <c r="AG85" s="16">
        <v>45</v>
      </c>
      <c r="AH85" s="23">
        <f t="shared" si="28"/>
        <v>80</v>
      </c>
      <c r="AI85" s="14">
        <f t="shared" si="29"/>
        <v>0.93</v>
      </c>
      <c r="AJ85" s="13"/>
      <c r="AK85" s="12">
        <v>0.01</v>
      </c>
      <c r="AL85" s="11">
        <f t="shared" si="30"/>
        <v>1.01</v>
      </c>
      <c r="AM85" s="10">
        <f t="shared" si="31"/>
        <v>9025296000</v>
      </c>
      <c r="AN85" s="9"/>
      <c r="AO85" s="8"/>
      <c r="AP85" s="8"/>
      <c r="AQ85" s="8"/>
      <c r="AR85" s="8"/>
      <c r="AS85" s="7"/>
      <c r="AT85" s="6">
        <f t="shared" si="32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22"/>
        <v>1</v>
      </c>
      <c r="O86" s="25">
        <v>15</v>
      </c>
      <c r="P86" s="23">
        <v>15</v>
      </c>
      <c r="Q86" s="24"/>
      <c r="R86" s="24"/>
      <c r="S86" s="23"/>
      <c r="T86" s="20">
        <f t="shared" si="23"/>
        <v>15</v>
      </c>
      <c r="U86" s="19">
        <f t="shared" si="24"/>
        <v>15</v>
      </c>
      <c r="V86" s="22"/>
      <c r="W86" s="22"/>
      <c r="X86" s="22"/>
      <c r="Y86" s="22"/>
      <c r="Z86" s="21"/>
      <c r="AA86" s="20">
        <f t="shared" si="25"/>
        <v>0</v>
      </c>
      <c r="AB86" s="19">
        <f t="shared" si="26"/>
        <v>0</v>
      </c>
      <c r="AC86" s="16">
        <v>20</v>
      </c>
      <c r="AD86" s="18"/>
      <c r="AE86" s="17"/>
      <c r="AF86" s="23">
        <f t="shared" si="27"/>
        <v>15</v>
      </c>
      <c r="AG86" s="16">
        <v>45</v>
      </c>
      <c r="AH86" s="23">
        <f t="shared" si="28"/>
        <v>80</v>
      </c>
      <c r="AI86" s="14">
        <f t="shared" si="29"/>
        <v>0.93</v>
      </c>
      <c r="AJ86" s="13"/>
      <c r="AK86" s="12">
        <v>0.01</v>
      </c>
      <c r="AL86" s="11">
        <f t="shared" si="30"/>
        <v>1.01</v>
      </c>
      <c r="AM86" s="10">
        <f t="shared" si="31"/>
        <v>9025296000</v>
      </c>
      <c r="AN86" s="9"/>
      <c r="AO86" s="8"/>
      <c r="AP86" s="8"/>
      <c r="AQ86" s="8"/>
      <c r="AR86" s="8"/>
      <c r="AS86" s="7"/>
      <c r="AT86" s="6">
        <f t="shared" si="32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22"/>
        <v>1</v>
      </c>
      <c r="O87" s="25">
        <v>15</v>
      </c>
      <c r="P87" s="23">
        <v>15</v>
      </c>
      <c r="Q87" s="24"/>
      <c r="R87" s="24"/>
      <c r="S87" s="23"/>
      <c r="T87" s="20">
        <f t="shared" si="23"/>
        <v>15</v>
      </c>
      <c r="U87" s="19">
        <f t="shared" si="24"/>
        <v>15</v>
      </c>
      <c r="V87" s="22"/>
      <c r="W87" s="22"/>
      <c r="X87" s="22"/>
      <c r="Y87" s="22"/>
      <c r="Z87" s="21"/>
      <c r="AA87" s="20">
        <f t="shared" si="25"/>
        <v>0</v>
      </c>
      <c r="AB87" s="19">
        <f t="shared" si="26"/>
        <v>0</v>
      </c>
      <c r="AC87" s="16">
        <v>20</v>
      </c>
      <c r="AD87" s="18"/>
      <c r="AE87" s="17"/>
      <c r="AF87" s="23">
        <f t="shared" si="27"/>
        <v>15</v>
      </c>
      <c r="AG87" s="16">
        <v>45</v>
      </c>
      <c r="AH87" s="23">
        <f t="shared" si="28"/>
        <v>80</v>
      </c>
      <c r="AI87" s="14">
        <f t="shared" si="29"/>
        <v>0.93</v>
      </c>
      <c r="AJ87" s="13"/>
      <c r="AK87" s="12">
        <v>0.01</v>
      </c>
      <c r="AL87" s="11">
        <f t="shared" si="30"/>
        <v>1.01</v>
      </c>
      <c r="AM87" s="10">
        <f t="shared" si="31"/>
        <v>9025296000</v>
      </c>
      <c r="AN87" s="9"/>
      <c r="AO87" s="8"/>
      <c r="AP87" s="8"/>
      <c r="AQ87" s="8"/>
      <c r="AR87" s="8"/>
      <c r="AS87" s="7"/>
      <c r="AT87" s="6">
        <f t="shared" si="32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22"/>
        <v>1</v>
      </c>
      <c r="O88" s="25">
        <v>15</v>
      </c>
      <c r="P88" s="23">
        <v>15</v>
      </c>
      <c r="Q88" s="24"/>
      <c r="R88" s="24"/>
      <c r="S88" s="23"/>
      <c r="T88" s="20">
        <f t="shared" si="23"/>
        <v>15</v>
      </c>
      <c r="U88" s="19">
        <f t="shared" si="24"/>
        <v>15</v>
      </c>
      <c r="V88" s="22"/>
      <c r="W88" s="22"/>
      <c r="X88" s="22"/>
      <c r="Y88" s="22"/>
      <c r="Z88" s="21"/>
      <c r="AA88" s="20">
        <f t="shared" si="25"/>
        <v>0</v>
      </c>
      <c r="AB88" s="19">
        <f t="shared" si="26"/>
        <v>0</v>
      </c>
      <c r="AC88" s="16">
        <v>20</v>
      </c>
      <c r="AD88" s="18"/>
      <c r="AE88" s="17"/>
      <c r="AF88" s="23">
        <f t="shared" si="27"/>
        <v>15</v>
      </c>
      <c r="AG88" s="16">
        <v>45</v>
      </c>
      <c r="AH88" s="23">
        <f t="shared" si="28"/>
        <v>80</v>
      </c>
      <c r="AI88" s="14">
        <f t="shared" si="29"/>
        <v>0.93</v>
      </c>
      <c r="AJ88" s="13"/>
      <c r="AK88" s="12">
        <v>0.01</v>
      </c>
      <c r="AL88" s="11">
        <f t="shared" si="30"/>
        <v>1.01</v>
      </c>
      <c r="AM88" s="10">
        <f t="shared" si="31"/>
        <v>9025296000</v>
      </c>
      <c r="AN88" s="9"/>
      <c r="AO88" s="8"/>
      <c r="AP88" s="8"/>
      <c r="AQ88" s="8"/>
      <c r="AR88" s="8"/>
      <c r="AS88" s="7"/>
      <c r="AT88" s="6">
        <f t="shared" si="32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22"/>
        <v>1</v>
      </c>
      <c r="O89" s="25">
        <v>15</v>
      </c>
      <c r="P89" s="23">
        <v>15</v>
      </c>
      <c r="Q89" s="24"/>
      <c r="R89" s="24"/>
      <c r="S89" s="23"/>
      <c r="T89" s="20">
        <f t="shared" si="23"/>
        <v>15</v>
      </c>
      <c r="U89" s="19">
        <f t="shared" si="24"/>
        <v>15</v>
      </c>
      <c r="V89" s="22"/>
      <c r="W89" s="22"/>
      <c r="X89" s="22"/>
      <c r="Y89" s="22"/>
      <c r="Z89" s="21"/>
      <c r="AA89" s="20">
        <f t="shared" si="25"/>
        <v>0</v>
      </c>
      <c r="AB89" s="19">
        <f t="shared" si="26"/>
        <v>0</v>
      </c>
      <c r="AC89" s="16">
        <v>20</v>
      </c>
      <c r="AD89" s="18"/>
      <c r="AE89" s="17"/>
      <c r="AF89" s="23">
        <f t="shared" si="27"/>
        <v>15</v>
      </c>
      <c r="AG89" s="16">
        <v>45</v>
      </c>
      <c r="AH89" s="23">
        <f t="shared" si="28"/>
        <v>80</v>
      </c>
      <c r="AI89" s="14">
        <f t="shared" si="29"/>
        <v>0.93</v>
      </c>
      <c r="AJ89" s="13"/>
      <c r="AK89" s="12">
        <v>0.01</v>
      </c>
      <c r="AL89" s="11">
        <f t="shared" si="30"/>
        <v>1.01</v>
      </c>
      <c r="AM89" s="10">
        <f t="shared" si="31"/>
        <v>9025296000</v>
      </c>
      <c r="AN89" s="9"/>
      <c r="AO89" s="8"/>
      <c r="AP89" s="8"/>
      <c r="AQ89" s="8"/>
      <c r="AR89" s="8"/>
      <c r="AS89" s="7"/>
      <c r="AT89" s="6">
        <f t="shared" si="32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22"/>
        <v>1</v>
      </c>
      <c r="O90" s="25">
        <v>15</v>
      </c>
      <c r="P90" s="23">
        <v>15</v>
      </c>
      <c r="Q90" s="24"/>
      <c r="R90" s="24"/>
      <c r="S90" s="23"/>
      <c r="T90" s="20">
        <f t="shared" si="23"/>
        <v>15</v>
      </c>
      <c r="U90" s="19">
        <f t="shared" si="24"/>
        <v>15</v>
      </c>
      <c r="V90" s="22"/>
      <c r="W90" s="22"/>
      <c r="X90" s="22"/>
      <c r="Y90" s="22"/>
      <c r="Z90" s="21"/>
      <c r="AA90" s="20">
        <f t="shared" si="25"/>
        <v>0</v>
      </c>
      <c r="AB90" s="19">
        <f t="shared" si="26"/>
        <v>0</v>
      </c>
      <c r="AC90" s="16">
        <v>20</v>
      </c>
      <c r="AD90" s="18"/>
      <c r="AE90" s="17"/>
      <c r="AF90" s="23">
        <f t="shared" si="27"/>
        <v>15</v>
      </c>
      <c r="AG90" s="16">
        <v>45</v>
      </c>
      <c r="AH90" s="23">
        <f t="shared" si="28"/>
        <v>80</v>
      </c>
      <c r="AI90" s="14">
        <f t="shared" si="29"/>
        <v>0.93</v>
      </c>
      <c r="AJ90" s="13"/>
      <c r="AK90" s="12">
        <v>0.01</v>
      </c>
      <c r="AL90" s="11">
        <f t="shared" si="30"/>
        <v>1.01</v>
      </c>
      <c r="AM90" s="10">
        <f t="shared" si="31"/>
        <v>9025296000</v>
      </c>
      <c r="AN90" s="9"/>
      <c r="AO90" s="8"/>
      <c r="AP90" s="8"/>
      <c r="AQ90" s="8"/>
      <c r="AR90" s="8"/>
      <c r="AS90" s="7"/>
      <c r="AT90" s="6">
        <f t="shared" si="32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22"/>
        <v>1</v>
      </c>
      <c r="O91" s="25">
        <v>15</v>
      </c>
      <c r="P91" s="23">
        <v>15</v>
      </c>
      <c r="Q91" s="24"/>
      <c r="R91" s="24"/>
      <c r="S91" s="23"/>
      <c r="T91" s="20">
        <f t="shared" si="23"/>
        <v>15</v>
      </c>
      <c r="U91" s="19">
        <f t="shared" si="24"/>
        <v>15</v>
      </c>
      <c r="V91" s="22"/>
      <c r="W91" s="22"/>
      <c r="X91" s="22"/>
      <c r="Y91" s="22"/>
      <c r="Z91" s="21"/>
      <c r="AA91" s="20">
        <f t="shared" si="25"/>
        <v>0</v>
      </c>
      <c r="AB91" s="19">
        <f t="shared" si="26"/>
        <v>0</v>
      </c>
      <c r="AC91" s="16">
        <v>20</v>
      </c>
      <c r="AD91" s="18"/>
      <c r="AE91" s="17"/>
      <c r="AF91" s="23">
        <f t="shared" si="27"/>
        <v>15</v>
      </c>
      <c r="AG91" s="16">
        <v>45</v>
      </c>
      <c r="AH91" s="23">
        <f t="shared" si="28"/>
        <v>80</v>
      </c>
      <c r="AI91" s="14">
        <f t="shared" si="29"/>
        <v>0.93</v>
      </c>
      <c r="AJ91" s="13"/>
      <c r="AK91" s="12">
        <v>0.01</v>
      </c>
      <c r="AL91" s="11">
        <f t="shared" si="30"/>
        <v>1.01</v>
      </c>
      <c r="AM91" s="10">
        <f t="shared" si="31"/>
        <v>9025296000</v>
      </c>
      <c r="AN91" s="9"/>
      <c r="AO91" s="8"/>
      <c r="AP91" s="8"/>
      <c r="AQ91" s="8"/>
      <c r="AR91" s="8"/>
      <c r="AS91" s="7"/>
      <c r="AT91" s="6">
        <f t="shared" si="32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22"/>
        <v>1</v>
      </c>
      <c r="O92" s="25">
        <v>15</v>
      </c>
      <c r="P92" s="23">
        <v>15</v>
      </c>
      <c r="Q92" s="24"/>
      <c r="R92" s="24"/>
      <c r="S92" s="23"/>
      <c r="T92" s="20">
        <f t="shared" si="23"/>
        <v>15</v>
      </c>
      <c r="U92" s="19">
        <f t="shared" si="24"/>
        <v>15</v>
      </c>
      <c r="V92" s="22"/>
      <c r="W92" s="22"/>
      <c r="X92" s="22"/>
      <c r="Y92" s="22"/>
      <c r="Z92" s="21"/>
      <c r="AA92" s="20">
        <f t="shared" si="25"/>
        <v>0</v>
      </c>
      <c r="AB92" s="19">
        <f t="shared" si="26"/>
        <v>0</v>
      </c>
      <c r="AC92" s="16">
        <v>20</v>
      </c>
      <c r="AD92" s="18"/>
      <c r="AE92" s="17"/>
      <c r="AF92" s="23">
        <f t="shared" si="27"/>
        <v>15</v>
      </c>
      <c r="AG92" s="16">
        <v>45</v>
      </c>
      <c r="AH92" s="23">
        <f t="shared" si="28"/>
        <v>80</v>
      </c>
      <c r="AI92" s="14">
        <f t="shared" si="29"/>
        <v>0.93</v>
      </c>
      <c r="AJ92" s="13"/>
      <c r="AK92" s="12">
        <v>0.01</v>
      </c>
      <c r="AL92" s="11">
        <f t="shared" si="30"/>
        <v>1.01</v>
      </c>
      <c r="AM92" s="10">
        <f t="shared" si="31"/>
        <v>9025296000</v>
      </c>
      <c r="AN92" s="9"/>
      <c r="AO92" s="8"/>
      <c r="AP92" s="8"/>
      <c r="AQ92" s="8"/>
      <c r="AR92" s="8"/>
      <c r="AS92" s="7"/>
      <c r="AT92" s="6">
        <f t="shared" si="32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22"/>
        <v>1</v>
      </c>
      <c r="O93" s="25">
        <v>15</v>
      </c>
      <c r="P93" s="23">
        <v>15</v>
      </c>
      <c r="Q93" s="24"/>
      <c r="R93" s="24"/>
      <c r="S93" s="23"/>
      <c r="T93" s="20">
        <f t="shared" si="23"/>
        <v>15</v>
      </c>
      <c r="U93" s="19">
        <f t="shared" si="24"/>
        <v>15</v>
      </c>
      <c r="V93" s="22"/>
      <c r="W93" s="22"/>
      <c r="X93" s="22"/>
      <c r="Y93" s="22"/>
      <c r="Z93" s="21"/>
      <c r="AA93" s="20">
        <f t="shared" si="25"/>
        <v>0</v>
      </c>
      <c r="AB93" s="19">
        <f t="shared" si="26"/>
        <v>0</v>
      </c>
      <c r="AC93" s="16">
        <v>20</v>
      </c>
      <c r="AD93" s="18"/>
      <c r="AE93" s="17"/>
      <c r="AF93" s="23">
        <f t="shared" si="27"/>
        <v>15</v>
      </c>
      <c r="AG93" s="16">
        <v>45</v>
      </c>
      <c r="AH93" s="23">
        <f t="shared" si="28"/>
        <v>80</v>
      </c>
      <c r="AI93" s="14">
        <f t="shared" si="29"/>
        <v>0.93</v>
      </c>
      <c r="AJ93" s="13"/>
      <c r="AK93" s="12">
        <v>0.01</v>
      </c>
      <c r="AL93" s="11">
        <f t="shared" si="30"/>
        <v>1.01</v>
      </c>
      <c r="AM93" s="10">
        <f t="shared" si="31"/>
        <v>9025296000</v>
      </c>
      <c r="AN93" s="9"/>
      <c r="AO93" s="8"/>
      <c r="AP93" s="8"/>
      <c r="AQ93" s="8"/>
      <c r="AR93" s="8"/>
      <c r="AS93" s="7"/>
      <c r="AT93" s="6">
        <f t="shared" si="32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22"/>
        <v>1</v>
      </c>
      <c r="O94" s="25">
        <v>15</v>
      </c>
      <c r="P94" s="23">
        <v>15</v>
      </c>
      <c r="Q94" s="24"/>
      <c r="R94" s="24"/>
      <c r="S94" s="23"/>
      <c r="T94" s="20">
        <f t="shared" si="23"/>
        <v>15</v>
      </c>
      <c r="U94" s="19">
        <f t="shared" si="24"/>
        <v>15</v>
      </c>
      <c r="V94" s="22"/>
      <c r="W94" s="22"/>
      <c r="X94" s="22"/>
      <c r="Y94" s="22"/>
      <c r="Z94" s="21"/>
      <c r="AA94" s="20">
        <f t="shared" si="25"/>
        <v>0</v>
      </c>
      <c r="AB94" s="19">
        <f t="shared" si="26"/>
        <v>0</v>
      </c>
      <c r="AC94" s="16">
        <v>20</v>
      </c>
      <c r="AD94" s="18"/>
      <c r="AE94" s="17"/>
      <c r="AF94" s="23">
        <f t="shared" si="27"/>
        <v>15</v>
      </c>
      <c r="AG94" s="16">
        <v>45</v>
      </c>
      <c r="AH94" s="23">
        <f t="shared" si="28"/>
        <v>80</v>
      </c>
      <c r="AI94" s="14">
        <f t="shared" si="29"/>
        <v>0.93</v>
      </c>
      <c r="AJ94" s="13"/>
      <c r="AK94" s="12">
        <v>0.01</v>
      </c>
      <c r="AL94" s="11">
        <f t="shared" si="30"/>
        <v>1.01</v>
      </c>
      <c r="AM94" s="10">
        <f t="shared" si="31"/>
        <v>9025296000</v>
      </c>
      <c r="AN94" s="9"/>
      <c r="AO94" s="8"/>
      <c r="AP94" s="8"/>
      <c r="AQ94" s="8"/>
      <c r="AR94" s="8"/>
      <c r="AS94" s="7"/>
      <c r="AT94" s="6">
        <f t="shared" si="32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22"/>
        <v>1</v>
      </c>
      <c r="O95" s="25">
        <v>15</v>
      </c>
      <c r="P95" s="23">
        <v>15</v>
      </c>
      <c r="Q95" s="24"/>
      <c r="R95" s="24"/>
      <c r="S95" s="23"/>
      <c r="T95" s="20">
        <f t="shared" si="23"/>
        <v>15</v>
      </c>
      <c r="U95" s="19">
        <f t="shared" si="24"/>
        <v>15</v>
      </c>
      <c r="V95" s="22"/>
      <c r="W95" s="22"/>
      <c r="X95" s="22"/>
      <c r="Y95" s="22"/>
      <c r="Z95" s="21"/>
      <c r="AA95" s="20">
        <f t="shared" si="25"/>
        <v>0</v>
      </c>
      <c r="AB95" s="19">
        <f t="shared" si="26"/>
        <v>0</v>
      </c>
      <c r="AC95" s="16">
        <v>20</v>
      </c>
      <c r="AD95" s="18"/>
      <c r="AE95" s="17"/>
      <c r="AF95" s="23">
        <f t="shared" si="27"/>
        <v>15</v>
      </c>
      <c r="AG95" s="16">
        <v>45</v>
      </c>
      <c r="AH95" s="23">
        <f t="shared" si="28"/>
        <v>80</v>
      </c>
      <c r="AI95" s="14">
        <f t="shared" si="29"/>
        <v>0.93</v>
      </c>
      <c r="AJ95" s="13"/>
      <c r="AK95" s="12">
        <v>0.01</v>
      </c>
      <c r="AL95" s="11">
        <f t="shared" si="30"/>
        <v>1.01</v>
      </c>
      <c r="AM95" s="10">
        <f t="shared" si="31"/>
        <v>9025296000</v>
      </c>
      <c r="AN95" s="9"/>
      <c r="AO95" s="8"/>
      <c r="AP95" s="8"/>
      <c r="AQ95" s="8"/>
      <c r="AR95" s="8"/>
      <c r="AS95" s="7"/>
      <c r="AT95" s="6">
        <f t="shared" si="32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22"/>
        <v>1</v>
      </c>
      <c r="O96" s="25">
        <v>15</v>
      </c>
      <c r="P96" s="23">
        <v>15</v>
      </c>
      <c r="Q96" s="24"/>
      <c r="R96" s="24"/>
      <c r="S96" s="23"/>
      <c r="T96" s="20">
        <f t="shared" si="23"/>
        <v>15</v>
      </c>
      <c r="U96" s="19">
        <f t="shared" si="24"/>
        <v>15</v>
      </c>
      <c r="V96" s="22"/>
      <c r="W96" s="22"/>
      <c r="X96" s="22"/>
      <c r="Y96" s="22"/>
      <c r="Z96" s="21"/>
      <c r="AA96" s="20">
        <f t="shared" si="25"/>
        <v>0</v>
      </c>
      <c r="AB96" s="19">
        <f t="shared" si="26"/>
        <v>0</v>
      </c>
      <c r="AC96" s="16">
        <v>20</v>
      </c>
      <c r="AD96" s="18"/>
      <c r="AE96" s="17"/>
      <c r="AF96" s="23">
        <f t="shared" si="27"/>
        <v>15</v>
      </c>
      <c r="AG96" s="16">
        <v>45</v>
      </c>
      <c r="AH96" s="23">
        <f t="shared" si="28"/>
        <v>80</v>
      </c>
      <c r="AI96" s="14">
        <f t="shared" si="29"/>
        <v>0.93</v>
      </c>
      <c r="AJ96" s="13"/>
      <c r="AK96" s="12">
        <v>0.01</v>
      </c>
      <c r="AL96" s="11">
        <f t="shared" si="30"/>
        <v>1.01</v>
      </c>
      <c r="AM96" s="10">
        <f t="shared" si="31"/>
        <v>9025296000</v>
      </c>
      <c r="AN96" s="9"/>
      <c r="AO96" s="8"/>
      <c r="AP96" s="8"/>
      <c r="AQ96" s="8"/>
      <c r="AR96" s="8"/>
      <c r="AS96" s="7"/>
      <c r="AT96" s="6">
        <f t="shared" si="32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22"/>
        <v>1</v>
      </c>
      <c r="O97" s="25">
        <v>15</v>
      </c>
      <c r="P97" s="23">
        <v>15</v>
      </c>
      <c r="Q97" s="24"/>
      <c r="R97" s="24"/>
      <c r="S97" s="23"/>
      <c r="T97" s="20">
        <f t="shared" si="23"/>
        <v>15</v>
      </c>
      <c r="U97" s="19">
        <f t="shared" si="24"/>
        <v>15</v>
      </c>
      <c r="V97" s="22"/>
      <c r="W97" s="22"/>
      <c r="X97" s="22"/>
      <c r="Y97" s="22"/>
      <c r="Z97" s="21"/>
      <c r="AA97" s="20">
        <f t="shared" si="25"/>
        <v>0</v>
      </c>
      <c r="AB97" s="19">
        <f t="shared" si="26"/>
        <v>0</v>
      </c>
      <c r="AC97" s="16">
        <v>20</v>
      </c>
      <c r="AD97" s="18"/>
      <c r="AE97" s="17"/>
      <c r="AF97" s="23">
        <f t="shared" si="27"/>
        <v>15</v>
      </c>
      <c r="AG97" s="16">
        <v>45</v>
      </c>
      <c r="AH97" s="23">
        <f t="shared" si="28"/>
        <v>80</v>
      </c>
      <c r="AI97" s="14">
        <f t="shared" si="29"/>
        <v>0.93</v>
      </c>
      <c r="AJ97" s="13"/>
      <c r="AK97" s="12">
        <v>0.01</v>
      </c>
      <c r="AL97" s="11">
        <f t="shared" si="30"/>
        <v>1.01</v>
      </c>
      <c r="AM97" s="10">
        <f t="shared" si="31"/>
        <v>9025296000</v>
      </c>
      <c r="AN97" s="9"/>
      <c r="AO97" s="8"/>
      <c r="AP97" s="8"/>
      <c r="AQ97" s="8"/>
      <c r="AR97" s="8"/>
      <c r="AS97" s="7"/>
      <c r="AT97" s="6">
        <f t="shared" si="32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22"/>
        <v>1</v>
      </c>
      <c r="O98" s="25">
        <v>15</v>
      </c>
      <c r="P98" s="23">
        <v>15</v>
      </c>
      <c r="Q98" s="24"/>
      <c r="R98" s="24"/>
      <c r="S98" s="23"/>
      <c r="T98" s="20">
        <f t="shared" si="23"/>
        <v>15</v>
      </c>
      <c r="U98" s="19">
        <f t="shared" si="24"/>
        <v>15</v>
      </c>
      <c r="V98" s="22"/>
      <c r="W98" s="22"/>
      <c r="X98" s="22"/>
      <c r="Y98" s="22"/>
      <c r="Z98" s="21"/>
      <c r="AA98" s="20">
        <f t="shared" si="25"/>
        <v>0</v>
      </c>
      <c r="AB98" s="19">
        <f t="shared" si="26"/>
        <v>0</v>
      </c>
      <c r="AC98" s="16">
        <v>20</v>
      </c>
      <c r="AD98" s="18"/>
      <c r="AE98" s="17"/>
      <c r="AF98" s="23">
        <f t="shared" si="27"/>
        <v>15</v>
      </c>
      <c r="AG98" s="16">
        <v>45</v>
      </c>
      <c r="AH98" s="23">
        <f t="shared" si="28"/>
        <v>80</v>
      </c>
      <c r="AI98" s="14">
        <f t="shared" si="29"/>
        <v>0.93</v>
      </c>
      <c r="AJ98" s="13"/>
      <c r="AK98" s="12">
        <v>0.01</v>
      </c>
      <c r="AL98" s="11">
        <f t="shared" si="30"/>
        <v>1.01</v>
      </c>
      <c r="AM98" s="10">
        <f t="shared" si="31"/>
        <v>9025296000</v>
      </c>
      <c r="AN98" s="9"/>
      <c r="AO98" s="8"/>
      <c r="AP98" s="8"/>
      <c r="AQ98" s="8"/>
      <c r="AR98" s="8"/>
      <c r="AS98" s="7"/>
      <c r="AT98" s="6">
        <f t="shared" si="32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22"/>
        <v>1</v>
      </c>
      <c r="O99" s="25">
        <v>15</v>
      </c>
      <c r="P99" s="23">
        <v>15</v>
      </c>
      <c r="Q99" s="24"/>
      <c r="R99" s="24"/>
      <c r="S99" s="23"/>
      <c r="T99" s="20">
        <f t="shared" si="23"/>
        <v>15</v>
      </c>
      <c r="U99" s="19">
        <f t="shared" si="24"/>
        <v>15</v>
      </c>
      <c r="V99" s="22"/>
      <c r="W99" s="22"/>
      <c r="X99" s="22"/>
      <c r="Y99" s="22"/>
      <c r="Z99" s="21"/>
      <c r="AA99" s="20">
        <f t="shared" si="25"/>
        <v>0</v>
      </c>
      <c r="AB99" s="19">
        <f t="shared" si="26"/>
        <v>0</v>
      </c>
      <c r="AC99" s="16">
        <v>20</v>
      </c>
      <c r="AD99" s="18"/>
      <c r="AE99" s="17"/>
      <c r="AF99" s="23">
        <f t="shared" si="27"/>
        <v>15</v>
      </c>
      <c r="AG99" s="16">
        <v>45</v>
      </c>
      <c r="AH99" s="23">
        <f t="shared" si="28"/>
        <v>80</v>
      </c>
      <c r="AI99" s="14">
        <f t="shared" si="29"/>
        <v>0.93</v>
      </c>
      <c r="AJ99" s="13"/>
      <c r="AK99" s="12">
        <v>0.01</v>
      </c>
      <c r="AL99" s="11">
        <f t="shared" si="30"/>
        <v>1.01</v>
      </c>
      <c r="AM99" s="10">
        <f t="shared" si="31"/>
        <v>9025296000</v>
      </c>
      <c r="AN99" s="9"/>
      <c r="AO99" s="8"/>
      <c r="AP99" s="8"/>
      <c r="AQ99" s="8"/>
      <c r="AR99" s="8"/>
      <c r="AS99" s="7"/>
      <c r="AT99" s="6">
        <f t="shared" si="32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22"/>
        <v>1</v>
      </c>
      <c r="O100" s="25">
        <v>15</v>
      </c>
      <c r="P100" s="23">
        <v>15</v>
      </c>
      <c r="Q100" s="24"/>
      <c r="R100" s="24"/>
      <c r="S100" s="23"/>
      <c r="T100" s="20">
        <f t="shared" si="23"/>
        <v>15</v>
      </c>
      <c r="U100" s="19">
        <f t="shared" si="24"/>
        <v>15</v>
      </c>
      <c r="V100" s="22"/>
      <c r="W100" s="22"/>
      <c r="X100" s="22"/>
      <c r="Y100" s="22"/>
      <c r="Z100" s="21"/>
      <c r="AA100" s="20">
        <f t="shared" si="25"/>
        <v>0</v>
      </c>
      <c r="AB100" s="19">
        <f t="shared" si="26"/>
        <v>0</v>
      </c>
      <c r="AC100" s="16">
        <v>20</v>
      </c>
      <c r="AD100" s="18"/>
      <c r="AE100" s="17"/>
      <c r="AF100" s="23">
        <f t="shared" si="27"/>
        <v>15</v>
      </c>
      <c r="AG100" s="16">
        <v>45</v>
      </c>
      <c r="AH100" s="23">
        <f t="shared" si="28"/>
        <v>80</v>
      </c>
      <c r="AI100" s="14">
        <f t="shared" si="29"/>
        <v>0.93</v>
      </c>
      <c r="AJ100" s="13"/>
      <c r="AK100" s="12">
        <v>0.01</v>
      </c>
      <c r="AL100" s="11">
        <f t="shared" si="30"/>
        <v>1.01</v>
      </c>
      <c r="AM100" s="10">
        <f t="shared" si="31"/>
        <v>9025296000</v>
      </c>
      <c r="AN100" s="9"/>
      <c r="AO100" s="8"/>
      <c r="AP100" s="8"/>
      <c r="AQ100" s="8"/>
      <c r="AR100" s="8"/>
      <c r="AS100" s="7"/>
      <c r="AT100" s="6">
        <f t="shared" si="32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ref="N101:N132" si="33">SUM(I101:M101)</f>
        <v>1</v>
      </c>
      <c r="O101" s="25">
        <v>15</v>
      </c>
      <c r="P101" s="23">
        <v>15</v>
      </c>
      <c r="Q101" s="24"/>
      <c r="R101" s="24"/>
      <c r="S101" s="23"/>
      <c r="T101" s="20">
        <f t="shared" ref="T101:T132" si="34">ROUND(((O101*I101)+(P101*J101)+(Q101*K101)+(R101*L101)+(S101*M101)),2)</f>
        <v>15</v>
      </c>
      <c r="U101" s="19">
        <f t="shared" ref="U101:U132" si="35">IF(T101&gt;=15,15,T101)</f>
        <v>15</v>
      </c>
      <c r="V101" s="22"/>
      <c r="W101" s="22"/>
      <c r="X101" s="22"/>
      <c r="Y101" s="22"/>
      <c r="Z101" s="21"/>
      <c r="AA101" s="20">
        <f t="shared" ref="AA101:AA132" si="36">ROUND((((V101*I101)+(W101*J101)+(X101*K101)+(Y101*L101)+(Z101*M101))/$I$2*15),2)</f>
        <v>0</v>
      </c>
      <c r="AB101" s="19">
        <f t="shared" ref="AB101:AB132" si="37">IF(AA101&gt;=15,15,AA101)</f>
        <v>0</v>
      </c>
      <c r="AC101" s="16">
        <v>20</v>
      </c>
      <c r="AD101" s="18"/>
      <c r="AE101" s="17"/>
      <c r="AF101" s="23">
        <f t="shared" ref="AF101:AF132" si="38">IF((U101+AB101+AD101)&gt;=30,30,(U101+AB101+AD101))</f>
        <v>15</v>
      </c>
      <c r="AG101" s="16">
        <v>45</v>
      </c>
      <c r="AH101" s="23">
        <f t="shared" ref="AH101:AH132" si="39">AC101+AF101+AG101+AE101</f>
        <v>80</v>
      </c>
      <c r="AI101" s="14">
        <f t="shared" ref="AI101:AI132" si="40">-((50-((176+(45+(30-AF101)))))/200)</f>
        <v>0.93</v>
      </c>
      <c r="AJ101" s="13"/>
      <c r="AK101" s="12">
        <v>0.01</v>
      </c>
      <c r="AL101" s="11">
        <f t="shared" ref="AL101:AL132" si="41">100%+AK101</f>
        <v>1.01</v>
      </c>
      <c r="AM101" s="10">
        <f t="shared" ref="AM101:AM132" si="42">ROUNDUP($D$2*AI101*AL101,-3)</f>
        <v>9025296000</v>
      </c>
      <c r="AN101" s="9"/>
      <c r="AO101" s="8"/>
      <c r="AP101" s="8"/>
      <c r="AQ101" s="8"/>
      <c r="AR101" s="8"/>
      <c r="AS101" s="7"/>
      <c r="AT101" s="6">
        <f t="shared" ref="AT101:AT132" si="43">(AO101*J101)+(AP101*K101)+(AQ101*L101)+(AR101*M101)+(AS101*N101)</f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33"/>
        <v>1</v>
      </c>
      <c r="O102" s="25">
        <v>15</v>
      </c>
      <c r="P102" s="23">
        <v>15</v>
      </c>
      <c r="Q102" s="24"/>
      <c r="R102" s="24"/>
      <c r="S102" s="23"/>
      <c r="T102" s="20">
        <f t="shared" si="34"/>
        <v>15</v>
      </c>
      <c r="U102" s="19">
        <f t="shared" si="35"/>
        <v>15</v>
      </c>
      <c r="V102" s="22"/>
      <c r="W102" s="22"/>
      <c r="X102" s="22"/>
      <c r="Y102" s="22"/>
      <c r="Z102" s="21"/>
      <c r="AA102" s="20">
        <f t="shared" si="36"/>
        <v>0</v>
      </c>
      <c r="AB102" s="19">
        <f t="shared" si="37"/>
        <v>0</v>
      </c>
      <c r="AC102" s="16">
        <v>20</v>
      </c>
      <c r="AD102" s="18"/>
      <c r="AE102" s="17"/>
      <c r="AF102" s="23">
        <f t="shared" si="38"/>
        <v>15</v>
      </c>
      <c r="AG102" s="16">
        <v>45</v>
      </c>
      <c r="AH102" s="23">
        <f t="shared" si="39"/>
        <v>80</v>
      </c>
      <c r="AI102" s="14">
        <f t="shared" si="40"/>
        <v>0.93</v>
      </c>
      <c r="AJ102" s="13"/>
      <c r="AK102" s="12">
        <v>0.01</v>
      </c>
      <c r="AL102" s="11">
        <f t="shared" si="41"/>
        <v>1.01</v>
      </c>
      <c r="AM102" s="10">
        <f t="shared" si="42"/>
        <v>9025296000</v>
      </c>
      <c r="AN102" s="9"/>
      <c r="AO102" s="8"/>
      <c r="AP102" s="8"/>
      <c r="AQ102" s="8"/>
      <c r="AR102" s="8"/>
      <c r="AS102" s="7"/>
      <c r="AT102" s="6">
        <f t="shared" si="43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33"/>
        <v>1</v>
      </c>
      <c r="O103" s="25">
        <v>15</v>
      </c>
      <c r="P103" s="23">
        <v>15</v>
      </c>
      <c r="Q103" s="24"/>
      <c r="R103" s="24"/>
      <c r="S103" s="23"/>
      <c r="T103" s="20">
        <f t="shared" si="34"/>
        <v>15</v>
      </c>
      <c r="U103" s="19">
        <f t="shared" si="35"/>
        <v>15</v>
      </c>
      <c r="V103" s="22"/>
      <c r="W103" s="22"/>
      <c r="X103" s="22"/>
      <c r="Y103" s="22"/>
      <c r="Z103" s="21"/>
      <c r="AA103" s="20">
        <f t="shared" si="36"/>
        <v>0</v>
      </c>
      <c r="AB103" s="19">
        <f t="shared" si="37"/>
        <v>0</v>
      </c>
      <c r="AC103" s="16">
        <v>20</v>
      </c>
      <c r="AD103" s="18"/>
      <c r="AE103" s="17"/>
      <c r="AF103" s="23">
        <f t="shared" si="38"/>
        <v>15</v>
      </c>
      <c r="AG103" s="16">
        <v>45</v>
      </c>
      <c r="AH103" s="23">
        <f t="shared" si="39"/>
        <v>80</v>
      </c>
      <c r="AI103" s="14">
        <f t="shared" si="40"/>
        <v>0.93</v>
      </c>
      <c r="AJ103" s="13"/>
      <c r="AK103" s="12">
        <v>0.01</v>
      </c>
      <c r="AL103" s="11">
        <f t="shared" si="41"/>
        <v>1.01</v>
      </c>
      <c r="AM103" s="10">
        <f t="shared" si="42"/>
        <v>9025296000</v>
      </c>
      <c r="AN103" s="9"/>
      <c r="AO103" s="8"/>
      <c r="AP103" s="8"/>
      <c r="AQ103" s="8"/>
      <c r="AR103" s="8"/>
      <c r="AS103" s="7"/>
      <c r="AT103" s="6">
        <f t="shared" si="43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33"/>
        <v>1</v>
      </c>
      <c r="O104" s="25">
        <v>15</v>
      </c>
      <c r="P104" s="23">
        <v>15</v>
      </c>
      <c r="Q104" s="24"/>
      <c r="R104" s="24"/>
      <c r="S104" s="23"/>
      <c r="T104" s="20">
        <f t="shared" si="34"/>
        <v>15</v>
      </c>
      <c r="U104" s="19">
        <f t="shared" si="35"/>
        <v>15</v>
      </c>
      <c r="V104" s="22"/>
      <c r="W104" s="22"/>
      <c r="X104" s="22"/>
      <c r="Y104" s="22"/>
      <c r="Z104" s="21"/>
      <c r="AA104" s="20">
        <f t="shared" si="36"/>
        <v>0</v>
      </c>
      <c r="AB104" s="19">
        <f t="shared" si="37"/>
        <v>0</v>
      </c>
      <c r="AC104" s="16">
        <v>20</v>
      </c>
      <c r="AD104" s="18"/>
      <c r="AE104" s="17"/>
      <c r="AF104" s="23">
        <f t="shared" si="38"/>
        <v>15</v>
      </c>
      <c r="AG104" s="16">
        <v>45</v>
      </c>
      <c r="AH104" s="23">
        <f t="shared" si="39"/>
        <v>80</v>
      </c>
      <c r="AI104" s="14">
        <f t="shared" si="40"/>
        <v>0.93</v>
      </c>
      <c r="AJ104" s="13"/>
      <c r="AK104" s="12">
        <v>0.01</v>
      </c>
      <c r="AL104" s="11">
        <f t="shared" si="41"/>
        <v>1.01</v>
      </c>
      <c r="AM104" s="10">
        <f t="shared" si="42"/>
        <v>9025296000</v>
      </c>
      <c r="AN104" s="9"/>
      <c r="AO104" s="8"/>
      <c r="AP104" s="8"/>
      <c r="AQ104" s="8"/>
      <c r="AR104" s="8"/>
      <c r="AS104" s="7"/>
      <c r="AT104" s="6">
        <f t="shared" si="43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33"/>
        <v>1</v>
      </c>
      <c r="O105" s="25">
        <v>15</v>
      </c>
      <c r="P105" s="23">
        <v>15</v>
      </c>
      <c r="Q105" s="24"/>
      <c r="R105" s="24"/>
      <c r="S105" s="23"/>
      <c r="T105" s="20">
        <f t="shared" si="34"/>
        <v>15</v>
      </c>
      <c r="U105" s="19">
        <f t="shared" si="35"/>
        <v>15</v>
      </c>
      <c r="V105" s="22"/>
      <c r="W105" s="22"/>
      <c r="X105" s="22"/>
      <c r="Y105" s="22"/>
      <c r="Z105" s="21"/>
      <c r="AA105" s="20">
        <f t="shared" si="36"/>
        <v>0</v>
      </c>
      <c r="AB105" s="19">
        <f t="shared" si="37"/>
        <v>0</v>
      </c>
      <c r="AC105" s="16">
        <v>20</v>
      </c>
      <c r="AD105" s="18"/>
      <c r="AE105" s="17"/>
      <c r="AF105" s="23">
        <f t="shared" si="38"/>
        <v>15</v>
      </c>
      <c r="AG105" s="16">
        <v>45</v>
      </c>
      <c r="AH105" s="23">
        <f t="shared" si="39"/>
        <v>80</v>
      </c>
      <c r="AI105" s="14">
        <f t="shared" si="40"/>
        <v>0.93</v>
      </c>
      <c r="AJ105" s="13"/>
      <c r="AK105" s="12">
        <v>0.01</v>
      </c>
      <c r="AL105" s="11">
        <f t="shared" si="41"/>
        <v>1.01</v>
      </c>
      <c r="AM105" s="10">
        <f t="shared" si="42"/>
        <v>9025296000</v>
      </c>
      <c r="AN105" s="9"/>
      <c r="AO105" s="8"/>
      <c r="AP105" s="8"/>
      <c r="AQ105" s="8"/>
      <c r="AR105" s="8"/>
      <c r="AS105" s="7"/>
      <c r="AT105" s="6">
        <f t="shared" si="43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33"/>
        <v>1</v>
      </c>
      <c r="O106" s="25">
        <v>15</v>
      </c>
      <c r="P106" s="23">
        <v>15</v>
      </c>
      <c r="Q106" s="24"/>
      <c r="R106" s="24"/>
      <c r="S106" s="23"/>
      <c r="T106" s="20">
        <f t="shared" si="34"/>
        <v>15</v>
      </c>
      <c r="U106" s="19">
        <f t="shared" si="35"/>
        <v>15</v>
      </c>
      <c r="V106" s="22"/>
      <c r="W106" s="22"/>
      <c r="X106" s="22"/>
      <c r="Y106" s="22"/>
      <c r="Z106" s="21"/>
      <c r="AA106" s="20">
        <f t="shared" si="36"/>
        <v>0</v>
      </c>
      <c r="AB106" s="19">
        <f t="shared" si="37"/>
        <v>0</v>
      </c>
      <c r="AC106" s="16">
        <v>20</v>
      </c>
      <c r="AD106" s="18"/>
      <c r="AE106" s="17"/>
      <c r="AF106" s="23">
        <f t="shared" si="38"/>
        <v>15</v>
      </c>
      <c r="AG106" s="16">
        <v>45</v>
      </c>
      <c r="AH106" s="23">
        <f t="shared" si="39"/>
        <v>80</v>
      </c>
      <c r="AI106" s="14">
        <f t="shared" si="40"/>
        <v>0.93</v>
      </c>
      <c r="AJ106" s="13"/>
      <c r="AK106" s="12">
        <v>0.01</v>
      </c>
      <c r="AL106" s="11">
        <f t="shared" si="41"/>
        <v>1.01</v>
      </c>
      <c r="AM106" s="10">
        <f t="shared" si="42"/>
        <v>9025296000</v>
      </c>
      <c r="AN106" s="9"/>
      <c r="AO106" s="8"/>
      <c r="AP106" s="8"/>
      <c r="AQ106" s="8"/>
      <c r="AR106" s="8"/>
      <c r="AS106" s="7"/>
      <c r="AT106" s="6">
        <f t="shared" si="43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33"/>
        <v>1</v>
      </c>
      <c r="O107" s="25">
        <v>15</v>
      </c>
      <c r="P107" s="23">
        <v>15</v>
      </c>
      <c r="Q107" s="24"/>
      <c r="R107" s="24"/>
      <c r="S107" s="23"/>
      <c r="T107" s="20">
        <f t="shared" si="34"/>
        <v>15</v>
      </c>
      <c r="U107" s="19">
        <f t="shared" si="35"/>
        <v>15</v>
      </c>
      <c r="V107" s="22"/>
      <c r="W107" s="22"/>
      <c r="X107" s="22"/>
      <c r="Y107" s="22"/>
      <c r="Z107" s="21"/>
      <c r="AA107" s="20">
        <f t="shared" si="36"/>
        <v>0</v>
      </c>
      <c r="AB107" s="19">
        <f t="shared" si="37"/>
        <v>0</v>
      </c>
      <c r="AC107" s="16">
        <v>20</v>
      </c>
      <c r="AD107" s="18"/>
      <c r="AE107" s="17"/>
      <c r="AF107" s="23">
        <f t="shared" si="38"/>
        <v>15</v>
      </c>
      <c r="AG107" s="16">
        <v>45</v>
      </c>
      <c r="AH107" s="23">
        <f t="shared" si="39"/>
        <v>80</v>
      </c>
      <c r="AI107" s="14">
        <f t="shared" si="40"/>
        <v>0.93</v>
      </c>
      <c r="AJ107" s="13"/>
      <c r="AK107" s="12">
        <v>0.01</v>
      </c>
      <c r="AL107" s="11">
        <f t="shared" si="41"/>
        <v>1.01</v>
      </c>
      <c r="AM107" s="10">
        <f t="shared" si="42"/>
        <v>9025296000</v>
      </c>
      <c r="AN107" s="9"/>
      <c r="AO107" s="8"/>
      <c r="AP107" s="8"/>
      <c r="AQ107" s="8"/>
      <c r="AR107" s="8"/>
      <c r="AS107" s="7"/>
      <c r="AT107" s="6">
        <f t="shared" si="43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33"/>
        <v>1</v>
      </c>
      <c r="O108" s="25">
        <v>15</v>
      </c>
      <c r="P108" s="23">
        <v>15</v>
      </c>
      <c r="Q108" s="24"/>
      <c r="R108" s="24"/>
      <c r="S108" s="23"/>
      <c r="T108" s="20">
        <f t="shared" si="34"/>
        <v>15</v>
      </c>
      <c r="U108" s="19">
        <f t="shared" si="35"/>
        <v>15</v>
      </c>
      <c r="V108" s="22"/>
      <c r="W108" s="22"/>
      <c r="X108" s="22"/>
      <c r="Y108" s="22"/>
      <c r="Z108" s="21"/>
      <c r="AA108" s="20">
        <f t="shared" si="36"/>
        <v>0</v>
      </c>
      <c r="AB108" s="19">
        <f t="shared" si="37"/>
        <v>0</v>
      </c>
      <c r="AC108" s="16">
        <v>20</v>
      </c>
      <c r="AD108" s="18"/>
      <c r="AE108" s="17"/>
      <c r="AF108" s="23">
        <f t="shared" si="38"/>
        <v>15</v>
      </c>
      <c r="AG108" s="16">
        <v>45</v>
      </c>
      <c r="AH108" s="23">
        <f t="shared" si="39"/>
        <v>80</v>
      </c>
      <c r="AI108" s="14">
        <f t="shared" si="40"/>
        <v>0.93</v>
      </c>
      <c r="AJ108" s="13"/>
      <c r="AK108" s="12">
        <v>0.01</v>
      </c>
      <c r="AL108" s="11">
        <f t="shared" si="41"/>
        <v>1.01</v>
      </c>
      <c r="AM108" s="10">
        <f t="shared" si="42"/>
        <v>9025296000</v>
      </c>
      <c r="AN108" s="9"/>
      <c r="AO108" s="8"/>
      <c r="AP108" s="8"/>
      <c r="AQ108" s="8"/>
      <c r="AR108" s="8"/>
      <c r="AS108" s="7"/>
      <c r="AT108" s="6">
        <f t="shared" si="43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33"/>
        <v>1</v>
      </c>
      <c r="O109" s="25">
        <v>15</v>
      </c>
      <c r="P109" s="23">
        <v>15</v>
      </c>
      <c r="Q109" s="24"/>
      <c r="R109" s="24"/>
      <c r="S109" s="23"/>
      <c r="T109" s="20">
        <f t="shared" si="34"/>
        <v>15</v>
      </c>
      <c r="U109" s="19">
        <f t="shared" si="35"/>
        <v>15</v>
      </c>
      <c r="V109" s="22"/>
      <c r="W109" s="22"/>
      <c r="X109" s="22"/>
      <c r="Y109" s="22"/>
      <c r="Z109" s="21"/>
      <c r="AA109" s="20">
        <f t="shared" si="36"/>
        <v>0</v>
      </c>
      <c r="AB109" s="19">
        <f t="shared" si="37"/>
        <v>0</v>
      </c>
      <c r="AC109" s="16">
        <v>20</v>
      </c>
      <c r="AD109" s="18"/>
      <c r="AE109" s="17"/>
      <c r="AF109" s="23">
        <f t="shared" si="38"/>
        <v>15</v>
      </c>
      <c r="AG109" s="16">
        <v>45</v>
      </c>
      <c r="AH109" s="23">
        <f t="shared" si="39"/>
        <v>80</v>
      </c>
      <c r="AI109" s="14">
        <f t="shared" si="40"/>
        <v>0.93</v>
      </c>
      <c r="AJ109" s="13"/>
      <c r="AK109" s="12">
        <v>0.01</v>
      </c>
      <c r="AL109" s="11">
        <f t="shared" si="41"/>
        <v>1.01</v>
      </c>
      <c r="AM109" s="10">
        <f t="shared" si="42"/>
        <v>9025296000</v>
      </c>
      <c r="AN109" s="9"/>
      <c r="AO109" s="8"/>
      <c r="AP109" s="8"/>
      <c r="AQ109" s="8"/>
      <c r="AR109" s="8"/>
      <c r="AS109" s="7"/>
      <c r="AT109" s="6">
        <f t="shared" si="43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33"/>
        <v>1</v>
      </c>
      <c r="O110" s="25">
        <v>15</v>
      </c>
      <c r="P110" s="23">
        <v>15</v>
      </c>
      <c r="Q110" s="24"/>
      <c r="R110" s="24"/>
      <c r="S110" s="23"/>
      <c r="T110" s="20">
        <f t="shared" si="34"/>
        <v>15</v>
      </c>
      <c r="U110" s="19">
        <f t="shared" si="35"/>
        <v>15</v>
      </c>
      <c r="V110" s="22"/>
      <c r="W110" s="22"/>
      <c r="X110" s="22"/>
      <c r="Y110" s="22"/>
      <c r="Z110" s="21"/>
      <c r="AA110" s="20">
        <f t="shared" si="36"/>
        <v>0</v>
      </c>
      <c r="AB110" s="19">
        <f t="shared" si="37"/>
        <v>0</v>
      </c>
      <c r="AC110" s="16">
        <v>20</v>
      </c>
      <c r="AD110" s="18"/>
      <c r="AE110" s="17"/>
      <c r="AF110" s="23">
        <f t="shared" si="38"/>
        <v>15</v>
      </c>
      <c r="AG110" s="16">
        <v>45</v>
      </c>
      <c r="AH110" s="23">
        <f t="shared" si="39"/>
        <v>80</v>
      </c>
      <c r="AI110" s="14">
        <f t="shared" si="40"/>
        <v>0.93</v>
      </c>
      <c r="AJ110" s="13"/>
      <c r="AK110" s="12">
        <v>0.01</v>
      </c>
      <c r="AL110" s="11">
        <f t="shared" si="41"/>
        <v>1.01</v>
      </c>
      <c r="AM110" s="10">
        <f t="shared" si="42"/>
        <v>9025296000</v>
      </c>
      <c r="AN110" s="9"/>
      <c r="AO110" s="8"/>
      <c r="AP110" s="8"/>
      <c r="AQ110" s="8"/>
      <c r="AR110" s="8"/>
      <c r="AS110" s="7"/>
      <c r="AT110" s="6">
        <f t="shared" si="43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33"/>
        <v>1</v>
      </c>
      <c r="O111" s="25">
        <v>15</v>
      </c>
      <c r="P111" s="23">
        <v>15</v>
      </c>
      <c r="Q111" s="24"/>
      <c r="R111" s="24"/>
      <c r="S111" s="23"/>
      <c r="T111" s="20">
        <f t="shared" si="34"/>
        <v>15</v>
      </c>
      <c r="U111" s="19">
        <f t="shared" si="35"/>
        <v>15</v>
      </c>
      <c r="V111" s="22"/>
      <c r="W111" s="22"/>
      <c r="X111" s="22"/>
      <c r="Y111" s="22"/>
      <c r="Z111" s="21"/>
      <c r="AA111" s="20">
        <f t="shared" si="36"/>
        <v>0</v>
      </c>
      <c r="AB111" s="19">
        <f t="shared" si="37"/>
        <v>0</v>
      </c>
      <c r="AC111" s="16">
        <v>20</v>
      </c>
      <c r="AD111" s="18"/>
      <c r="AE111" s="17"/>
      <c r="AF111" s="23">
        <f t="shared" si="38"/>
        <v>15</v>
      </c>
      <c r="AG111" s="16">
        <v>45</v>
      </c>
      <c r="AH111" s="23">
        <f t="shared" si="39"/>
        <v>80</v>
      </c>
      <c r="AI111" s="14">
        <f t="shared" si="40"/>
        <v>0.93</v>
      </c>
      <c r="AJ111" s="13"/>
      <c r="AK111" s="12">
        <v>0.01</v>
      </c>
      <c r="AL111" s="11">
        <f t="shared" si="41"/>
        <v>1.01</v>
      </c>
      <c r="AM111" s="10">
        <f t="shared" si="42"/>
        <v>9025296000</v>
      </c>
      <c r="AN111" s="9"/>
      <c r="AO111" s="8"/>
      <c r="AP111" s="8"/>
      <c r="AQ111" s="8"/>
      <c r="AR111" s="8"/>
      <c r="AS111" s="7"/>
      <c r="AT111" s="6">
        <f t="shared" si="43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33"/>
        <v>1</v>
      </c>
      <c r="O112" s="25">
        <v>15</v>
      </c>
      <c r="P112" s="23">
        <v>15</v>
      </c>
      <c r="Q112" s="24"/>
      <c r="R112" s="24"/>
      <c r="S112" s="23"/>
      <c r="T112" s="20">
        <f t="shared" si="34"/>
        <v>15</v>
      </c>
      <c r="U112" s="19">
        <f t="shared" si="35"/>
        <v>15</v>
      </c>
      <c r="V112" s="22"/>
      <c r="W112" s="22"/>
      <c r="X112" s="22"/>
      <c r="Y112" s="22"/>
      <c r="Z112" s="21"/>
      <c r="AA112" s="20">
        <f t="shared" si="36"/>
        <v>0</v>
      </c>
      <c r="AB112" s="19">
        <f t="shared" si="37"/>
        <v>0</v>
      </c>
      <c r="AC112" s="16">
        <v>20</v>
      </c>
      <c r="AD112" s="18"/>
      <c r="AE112" s="17"/>
      <c r="AF112" s="23">
        <f t="shared" si="38"/>
        <v>15</v>
      </c>
      <c r="AG112" s="16">
        <v>45</v>
      </c>
      <c r="AH112" s="23">
        <f t="shared" si="39"/>
        <v>80</v>
      </c>
      <c r="AI112" s="14">
        <f t="shared" si="40"/>
        <v>0.93</v>
      </c>
      <c r="AJ112" s="13"/>
      <c r="AK112" s="12">
        <v>0.01</v>
      </c>
      <c r="AL112" s="11">
        <f t="shared" si="41"/>
        <v>1.01</v>
      </c>
      <c r="AM112" s="10">
        <f t="shared" si="42"/>
        <v>9025296000</v>
      </c>
      <c r="AN112" s="9"/>
      <c r="AO112" s="8"/>
      <c r="AP112" s="8"/>
      <c r="AQ112" s="8"/>
      <c r="AR112" s="8"/>
      <c r="AS112" s="7"/>
      <c r="AT112" s="6">
        <f t="shared" si="43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33"/>
        <v>1</v>
      </c>
      <c r="O113" s="25">
        <v>15</v>
      </c>
      <c r="P113" s="23">
        <v>15</v>
      </c>
      <c r="Q113" s="24"/>
      <c r="R113" s="24"/>
      <c r="S113" s="23"/>
      <c r="T113" s="20">
        <f t="shared" si="34"/>
        <v>15</v>
      </c>
      <c r="U113" s="19">
        <f t="shared" si="35"/>
        <v>15</v>
      </c>
      <c r="V113" s="22"/>
      <c r="W113" s="22"/>
      <c r="X113" s="22"/>
      <c r="Y113" s="22"/>
      <c r="Z113" s="21"/>
      <c r="AA113" s="20">
        <f t="shared" si="36"/>
        <v>0</v>
      </c>
      <c r="AB113" s="19">
        <f t="shared" si="37"/>
        <v>0</v>
      </c>
      <c r="AC113" s="16">
        <v>20</v>
      </c>
      <c r="AD113" s="18"/>
      <c r="AE113" s="17"/>
      <c r="AF113" s="23">
        <f t="shared" si="38"/>
        <v>15</v>
      </c>
      <c r="AG113" s="16">
        <v>45</v>
      </c>
      <c r="AH113" s="23">
        <f t="shared" si="39"/>
        <v>80</v>
      </c>
      <c r="AI113" s="14">
        <f t="shared" si="40"/>
        <v>0.93</v>
      </c>
      <c r="AJ113" s="13"/>
      <c r="AK113" s="12">
        <v>0.01</v>
      </c>
      <c r="AL113" s="11">
        <f t="shared" si="41"/>
        <v>1.01</v>
      </c>
      <c r="AM113" s="10">
        <f t="shared" si="42"/>
        <v>9025296000</v>
      </c>
      <c r="AN113" s="9"/>
      <c r="AO113" s="8"/>
      <c r="AP113" s="8"/>
      <c r="AQ113" s="8"/>
      <c r="AR113" s="8"/>
      <c r="AS113" s="7"/>
      <c r="AT113" s="6">
        <f t="shared" si="43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33"/>
        <v>1</v>
      </c>
      <c r="O114" s="25">
        <v>15</v>
      </c>
      <c r="P114" s="23">
        <v>15</v>
      </c>
      <c r="Q114" s="24"/>
      <c r="R114" s="24"/>
      <c r="S114" s="23"/>
      <c r="T114" s="20">
        <f t="shared" si="34"/>
        <v>15</v>
      </c>
      <c r="U114" s="19">
        <f t="shared" si="35"/>
        <v>15</v>
      </c>
      <c r="V114" s="22"/>
      <c r="W114" s="22"/>
      <c r="X114" s="22"/>
      <c r="Y114" s="22"/>
      <c r="Z114" s="21"/>
      <c r="AA114" s="20">
        <f t="shared" si="36"/>
        <v>0</v>
      </c>
      <c r="AB114" s="19">
        <f t="shared" si="37"/>
        <v>0</v>
      </c>
      <c r="AC114" s="16">
        <v>20</v>
      </c>
      <c r="AD114" s="18"/>
      <c r="AE114" s="17"/>
      <c r="AF114" s="23">
        <f t="shared" si="38"/>
        <v>15</v>
      </c>
      <c r="AG114" s="16">
        <v>45</v>
      </c>
      <c r="AH114" s="23">
        <f t="shared" si="39"/>
        <v>80</v>
      </c>
      <c r="AI114" s="14">
        <f t="shared" si="40"/>
        <v>0.93</v>
      </c>
      <c r="AJ114" s="13"/>
      <c r="AK114" s="12">
        <v>0.01</v>
      </c>
      <c r="AL114" s="11">
        <f t="shared" si="41"/>
        <v>1.01</v>
      </c>
      <c r="AM114" s="10">
        <f t="shared" si="42"/>
        <v>9025296000</v>
      </c>
      <c r="AN114" s="9"/>
      <c r="AO114" s="8"/>
      <c r="AP114" s="8"/>
      <c r="AQ114" s="8"/>
      <c r="AR114" s="8"/>
      <c r="AS114" s="7"/>
      <c r="AT114" s="6">
        <f t="shared" si="43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33"/>
        <v>1</v>
      </c>
      <c r="O115" s="25">
        <v>15</v>
      </c>
      <c r="P115" s="23">
        <v>15</v>
      </c>
      <c r="Q115" s="24"/>
      <c r="R115" s="24"/>
      <c r="S115" s="23"/>
      <c r="T115" s="20">
        <f t="shared" si="34"/>
        <v>15</v>
      </c>
      <c r="U115" s="19">
        <f t="shared" si="35"/>
        <v>15</v>
      </c>
      <c r="V115" s="22"/>
      <c r="W115" s="22"/>
      <c r="X115" s="22"/>
      <c r="Y115" s="22"/>
      <c r="Z115" s="21"/>
      <c r="AA115" s="20">
        <f t="shared" si="36"/>
        <v>0</v>
      </c>
      <c r="AB115" s="19">
        <f t="shared" si="37"/>
        <v>0</v>
      </c>
      <c r="AC115" s="16">
        <v>20</v>
      </c>
      <c r="AD115" s="18"/>
      <c r="AE115" s="17"/>
      <c r="AF115" s="23">
        <f t="shared" si="38"/>
        <v>15</v>
      </c>
      <c r="AG115" s="16">
        <v>45</v>
      </c>
      <c r="AH115" s="23">
        <f t="shared" si="39"/>
        <v>80</v>
      </c>
      <c r="AI115" s="14">
        <f t="shared" si="40"/>
        <v>0.93</v>
      </c>
      <c r="AJ115" s="13"/>
      <c r="AK115" s="12">
        <v>0.01</v>
      </c>
      <c r="AL115" s="11">
        <f t="shared" si="41"/>
        <v>1.01</v>
      </c>
      <c r="AM115" s="10">
        <f t="shared" si="42"/>
        <v>9025296000</v>
      </c>
      <c r="AN115" s="9"/>
      <c r="AO115" s="8"/>
      <c r="AP115" s="8"/>
      <c r="AQ115" s="8"/>
      <c r="AR115" s="8"/>
      <c r="AS115" s="7"/>
      <c r="AT115" s="6">
        <f t="shared" si="43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33"/>
        <v>1</v>
      </c>
      <c r="O116" s="25">
        <v>15</v>
      </c>
      <c r="P116" s="23">
        <v>15</v>
      </c>
      <c r="Q116" s="24"/>
      <c r="R116" s="24"/>
      <c r="S116" s="23"/>
      <c r="T116" s="20">
        <f t="shared" si="34"/>
        <v>15</v>
      </c>
      <c r="U116" s="19">
        <f t="shared" si="35"/>
        <v>15</v>
      </c>
      <c r="V116" s="22"/>
      <c r="W116" s="22"/>
      <c r="X116" s="22"/>
      <c r="Y116" s="22"/>
      <c r="Z116" s="21"/>
      <c r="AA116" s="20">
        <f t="shared" si="36"/>
        <v>0</v>
      </c>
      <c r="AB116" s="19">
        <f t="shared" si="37"/>
        <v>0</v>
      </c>
      <c r="AC116" s="16">
        <v>20</v>
      </c>
      <c r="AD116" s="18"/>
      <c r="AE116" s="17"/>
      <c r="AF116" s="23">
        <f t="shared" si="38"/>
        <v>15</v>
      </c>
      <c r="AG116" s="16">
        <v>45</v>
      </c>
      <c r="AH116" s="23">
        <f t="shared" si="39"/>
        <v>80</v>
      </c>
      <c r="AI116" s="14">
        <f t="shared" si="40"/>
        <v>0.93</v>
      </c>
      <c r="AJ116" s="13"/>
      <c r="AK116" s="12">
        <v>0.01</v>
      </c>
      <c r="AL116" s="11">
        <f t="shared" si="41"/>
        <v>1.01</v>
      </c>
      <c r="AM116" s="10">
        <f t="shared" si="42"/>
        <v>9025296000</v>
      </c>
      <c r="AN116" s="9"/>
      <c r="AO116" s="8"/>
      <c r="AP116" s="8"/>
      <c r="AQ116" s="8"/>
      <c r="AR116" s="8"/>
      <c r="AS116" s="7"/>
      <c r="AT116" s="6">
        <f t="shared" si="43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33"/>
        <v>1</v>
      </c>
      <c r="O117" s="25">
        <v>15</v>
      </c>
      <c r="P117" s="23">
        <v>15</v>
      </c>
      <c r="Q117" s="24"/>
      <c r="R117" s="24"/>
      <c r="S117" s="23"/>
      <c r="T117" s="20">
        <f t="shared" si="34"/>
        <v>15</v>
      </c>
      <c r="U117" s="19">
        <f t="shared" si="35"/>
        <v>15</v>
      </c>
      <c r="V117" s="22"/>
      <c r="W117" s="22"/>
      <c r="X117" s="22"/>
      <c r="Y117" s="22"/>
      <c r="Z117" s="21"/>
      <c r="AA117" s="20">
        <f t="shared" si="36"/>
        <v>0</v>
      </c>
      <c r="AB117" s="19">
        <f t="shared" si="37"/>
        <v>0</v>
      </c>
      <c r="AC117" s="16">
        <v>20</v>
      </c>
      <c r="AD117" s="18"/>
      <c r="AE117" s="17"/>
      <c r="AF117" s="23">
        <f t="shared" si="38"/>
        <v>15</v>
      </c>
      <c r="AG117" s="16">
        <v>45</v>
      </c>
      <c r="AH117" s="23">
        <f t="shared" si="39"/>
        <v>80</v>
      </c>
      <c r="AI117" s="14">
        <f t="shared" si="40"/>
        <v>0.93</v>
      </c>
      <c r="AJ117" s="13"/>
      <c r="AK117" s="12">
        <v>0.01</v>
      </c>
      <c r="AL117" s="11">
        <f t="shared" si="41"/>
        <v>1.01</v>
      </c>
      <c r="AM117" s="10">
        <f t="shared" si="42"/>
        <v>9025296000</v>
      </c>
      <c r="AN117" s="9"/>
      <c r="AO117" s="8"/>
      <c r="AP117" s="8"/>
      <c r="AQ117" s="8"/>
      <c r="AR117" s="8"/>
      <c r="AS117" s="7"/>
      <c r="AT117" s="6">
        <f t="shared" si="43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33"/>
        <v>1</v>
      </c>
      <c r="O118" s="25">
        <v>15</v>
      </c>
      <c r="P118" s="23">
        <v>15</v>
      </c>
      <c r="Q118" s="24"/>
      <c r="R118" s="24"/>
      <c r="S118" s="23"/>
      <c r="T118" s="20">
        <f t="shared" si="34"/>
        <v>15</v>
      </c>
      <c r="U118" s="19">
        <f t="shared" si="35"/>
        <v>15</v>
      </c>
      <c r="V118" s="22"/>
      <c r="W118" s="22"/>
      <c r="X118" s="22"/>
      <c r="Y118" s="22"/>
      <c r="Z118" s="21"/>
      <c r="AA118" s="20">
        <f t="shared" si="36"/>
        <v>0</v>
      </c>
      <c r="AB118" s="19">
        <f t="shared" si="37"/>
        <v>0</v>
      </c>
      <c r="AC118" s="16">
        <v>20</v>
      </c>
      <c r="AD118" s="18"/>
      <c r="AE118" s="17"/>
      <c r="AF118" s="23">
        <f t="shared" si="38"/>
        <v>15</v>
      </c>
      <c r="AG118" s="16">
        <v>45</v>
      </c>
      <c r="AH118" s="23">
        <f t="shared" si="39"/>
        <v>80</v>
      </c>
      <c r="AI118" s="14">
        <f t="shared" si="40"/>
        <v>0.93</v>
      </c>
      <c r="AJ118" s="13"/>
      <c r="AK118" s="12">
        <v>0.01</v>
      </c>
      <c r="AL118" s="11">
        <f t="shared" si="41"/>
        <v>1.01</v>
      </c>
      <c r="AM118" s="10">
        <f t="shared" si="42"/>
        <v>9025296000</v>
      </c>
      <c r="AN118" s="9"/>
      <c r="AO118" s="8"/>
      <c r="AP118" s="8"/>
      <c r="AQ118" s="8"/>
      <c r="AR118" s="8"/>
      <c r="AS118" s="7"/>
      <c r="AT118" s="6">
        <f t="shared" si="43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33"/>
        <v>1</v>
      </c>
      <c r="O119" s="25">
        <v>15</v>
      </c>
      <c r="P119" s="23">
        <v>15</v>
      </c>
      <c r="Q119" s="24"/>
      <c r="R119" s="24"/>
      <c r="S119" s="23"/>
      <c r="T119" s="20">
        <f t="shared" si="34"/>
        <v>15</v>
      </c>
      <c r="U119" s="19">
        <f t="shared" si="35"/>
        <v>15</v>
      </c>
      <c r="V119" s="22"/>
      <c r="W119" s="22"/>
      <c r="X119" s="22"/>
      <c r="Y119" s="22"/>
      <c r="Z119" s="21"/>
      <c r="AA119" s="20">
        <f t="shared" si="36"/>
        <v>0</v>
      </c>
      <c r="AB119" s="19">
        <f t="shared" si="37"/>
        <v>0</v>
      </c>
      <c r="AC119" s="16">
        <v>20</v>
      </c>
      <c r="AD119" s="18"/>
      <c r="AE119" s="17"/>
      <c r="AF119" s="23">
        <f t="shared" si="38"/>
        <v>15</v>
      </c>
      <c r="AG119" s="16">
        <v>45</v>
      </c>
      <c r="AH119" s="23">
        <f t="shared" si="39"/>
        <v>80</v>
      </c>
      <c r="AI119" s="14">
        <f t="shared" si="40"/>
        <v>0.93</v>
      </c>
      <c r="AJ119" s="13"/>
      <c r="AK119" s="12">
        <v>0.01</v>
      </c>
      <c r="AL119" s="11">
        <f t="shared" si="41"/>
        <v>1.01</v>
      </c>
      <c r="AM119" s="10">
        <f t="shared" si="42"/>
        <v>9025296000</v>
      </c>
      <c r="AN119" s="9"/>
      <c r="AO119" s="8"/>
      <c r="AP119" s="8"/>
      <c r="AQ119" s="8"/>
      <c r="AR119" s="8"/>
      <c r="AS119" s="7"/>
      <c r="AT119" s="6">
        <f t="shared" si="43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33"/>
        <v>1</v>
      </c>
      <c r="O120" s="25">
        <v>15</v>
      </c>
      <c r="P120" s="23">
        <v>15</v>
      </c>
      <c r="Q120" s="24"/>
      <c r="R120" s="24"/>
      <c r="S120" s="23"/>
      <c r="T120" s="20">
        <f t="shared" si="34"/>
        <v>15</v>
      </c>
      <c r="U120" s="19">
        <f t="shared" si="35"/>
        <v>15</v>
      </c>
      <c r="V120" s="22"/>
      <c r="W120" s="22"/>
      <c r="X120" s="22"/>
      <c r="Y120" s="22"/>
      <c r="Z120" s="21"/>
      <c r="AA120" s="20">
        <f t="shared" si="36"/>
        <v>0</v>
      </c>
      <c r="AB120" s="19">
        <f t="shared" si="37"/>
        <v>0</v>
      </c>
      <c r="AC120" s="16">
        <v>20</v>
      </c>
      <c r="AD120" s="18"/>
      <c r="AE120" s="17"/>
      <c r="AF120" s="23">
        <f t="shared" si="38"/>
        <v>15</v>
      </c>
      <c r="AG120" s="16">
        <v>45</v>
      </c>
      <c r="AH120" s="23">
        <f t="shared" si="39"/>
        <v>80</v>
      </c>
      <c r="AI120" s="14">
        <f t="shared" si="40"/>
        <v>0.93</v>
      </c>
      <c r="AJ120" s="13"/>
      <c r="AK120" s="12">
        <v>0.01</v>
      </c>
      <c r="AL120" s="11">
        <f t="shared" si="41"/>
        <v>1.01</v>
      </c>
      <c r="AM120" s="10">
        <f t="shared" si="42"/>
        <v>9025296000</v>
      </c>
      <c r="AN120" s="9"/>
      <c r="AO120" s="8"/>
      <c r="AP120" s="8"/>
      <c r="AQ120" s="8"/>
      <c r="AR120" s="8"/>
      <c r="AS120" s="7"/>
      <c r="AT120" s="6">
        <f t="shared" si="43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33"/>
        <v>1</v>
      </c>
      <c r="O121" s="25">
        <v>15</v>
      </c>
      <c r="P121" s="23">
        <v>15</v>
      </c>
      <c r="Q121" s="24"/>
      <c r="R121" s="24"/>
      <c r="S121" s="23"/>
      <c r="T121" s="20">
        <f t="shared" si="34"/>
        <v>15</v>
      </c>
      <c r="U121" s="19">
        <f t="shared" si="35"/>
        <v>15</v>
      </c>
      <c r="V121" s="22"/>
      <c r="W121" s="22"/>
      <c r="X121" s="22"/>
      <c r="Y121" s="22"/>
      <c r="Z121" s="21"/>
      <c r="AA121" s="20">
        <f t="shared" si="36"/>
        <v>0</v>
      </c>
      <c r="AB121" s="19">
        <f t="shared" si="37"/>
        <v>0</v>
      </c>
      <c r="AC121" s="16">
        <v>20</v>
      </c>
      <c r="AD121" s="18"/>
      <c r="AE121" s="17"/>
      <c r="AF121" s="23">
        <f t="shared" si="38"/>
        <v>15</v>
      </c>
      <c r="AG121" s="16">
        <v>45</v>
      </c>
      <c r="AH121" s="23">
        <f t="shared" si="39"/>
        <v>80</v>
      </c>
      <c r="AI121" s="14">
        <f t="shared" si="40"/>
        <v>0.93</v>
      </c>
      <c r="AJ121" s="13"/>
      <c r="AK121" s="12">
        <v>0.01</v>
      </c>
      <c r="AL121" s="11">
        <f t="shared" si="41"/>
        <v>1.01</v>
      </c>
      <c r="AM121" s="10">
        <f t="shared" si="42"/>
        <v>9025296000</v>
      </c>
      <c r="AN121" s="9"/>
      <c r="AO121" s="8"/>
      <c r="AP121" s="8"/>
      <c r="AQ121" s="8"/>
      <c r="AR121" s="8"/>
      <c r="AS121" s="7"/>
      <c r="AT121" s="6">
        <f t="shared" si="43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33"/>
        <v>1</v>
      </c>
      <c r="O122" s="25">
        <v>15</v>
      </c>
      <c r="P122" s="23">
        <v>15</v>
      </c>
      <c r="Q122" s="24"/>
      <c r="R122" s="24"/>
      <c r="S122" s="23"/>
      <c r="T122" s="20">
        <f t="shared" si="34"/>
        <v>15</v>
      </c>
      <c r="U122" s="19">
        <f t="shared" si="35"/>
        <v>15</v>
      </c>
      <c r="V122" s="22"/>
      <c r="W122" s="22"/>
      <c r="X122" s="22"/>
      <c r="Y122" s="22"/>
      <c r="Z122" s="21"/>
      <c r="AA122" s="20">
        <f t="shared" si="36"/>
        <v>0</v>
      </c>
      <c r="AB122" s="19">
        <f t="shared" si="37"/>
        <v>0</v>
      </c>
      <c r="AC122" s="16">
        <v>20</v>
      </c>
      <c r="AD122" s="18"/>
      <c r="AE122" s="17"/>
      <c r="AF122" s="23">
        <f t="shared" si="38"/>
        <v>15</v>
      </c>
      <c r="AG122" s="16">
        <v>45</v>
      </c>
      <c r="AH122" s="23">
        <f t="shared" si="39"/>
        <v>80</v>
      </c>
      <c r="AI122" s="14">
        <f t="shared" si="40"/>
        <v>0.93</v>
      </c>
      <c r="AJ122" s="13"/>
      <c r="AK122" s="12">
        <v>0.01</v>
      </c>
      <c r="AL122" s="11">
        <f t="shared" si="41"/>
        <v>1.01</v>
      </c>
      <c r="AM122" s="10">
        <f t="shared" si="42"/>
        <v>9025296000</v>
      </c>
      <c r="AN122" s="9"/>
      <c r="AO122" s="8"/>
      <c r="AP122" s="8"/>
      <c r="AQ122" s="8"/>
      <c r="AR122" s="8"/>
      <c r="AS122" s="7"/>
      <c r="AT122" s="6">
        <f t="shared" si="43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33"/>
        <v>1</v>
      </c>
      <c r="O123" s="25">
        <v>15</v>
      </c>
      <c r="P123" s="23">
        <v>15</v>
      </c>
      <c r="Q123" s="24"/>
      <c r="R123" s="24"/>
      <c r="S123" s="23"/>
      <c r="T123" s="20">
        <f t="shared" si="34"/>
        <v>15</v>
      </c>
      <c r="U123" s="19">
        <f t="shared" si="35"/>
        <v>15</v>
      </c>
      <c r="V123" s="22"/>
      <c r="W123" s="22"/>
      <c r="X123" s="22"/>
      <c r="Y123" s="22"/>
      <c r="Z123" s="21"/>
      <c r="AA123" s="20">
        <f t="shared" si="36"/>
        <v>0</v>
      </c>
      <c r="AB123" s="19">
        <f t="shared" si="37"/>
        <v>0</v>
      </c>
      <c r="AC123" s="16">
        <v>20</v>
      </c>
      <c r="AD123" s="18"/>
      <c r="AE123" s="17"/>
      <c r="AF123" s="23">
        <f t="shared" si="38"/>
        <v>15</v>
      </c>
      <c r="AG123" s="16">
        <v>45</v>
      </c>
      <c r="AH123" s="23">
        <f t="shared" si="39"/>
        <v>80</v>
      </c>
      <c r="AI123" s="14">
        <f t="shared" si="40"/>
        <v>0.93</v>
      </c>
      <c r="AJ123" s="13"/>
      <c r="AK123" s="12">
        <v>0.01</v>
      </c>
      <c r="AL123" s="11">
        <f t="shared" si="41"/>
        <v>1.01</v>
      </c>
      <c r="AM123" s="10">
        <f t="shared" si="42"/>
        <v>9025296000</v>
      </c>
      <c r="AN123" s="9"/>
      <c r="AO123" s="8"/>
      <c r="AP123" s="8"/>
      <c r="AQ123" s="8"/>
      <c r="AR123" s="8"/>
      <c r="AS123" s="7"/>
      <c r="AT123" s="6">
        <f t="shared" si="43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33"/>
        <v>1</v>
      </c>
      <c r="O124" s="25">
        <v>15</v>
      </c>
      <c r="P124" s="23">
        <v>15</v>
      </c>
      <c r="Q124" s="24"/>
      <c r="R124" s="24"/>
      <c r="S124" s="23"/>
      <c r="T124" s="20">
        <f t="shared" si="34"/>
        <v>15</v>
      </c>
      <c r="U124" s="19">
        <f t="shared" si="35"/>
        <v>15</v>
      </c>
      <c r="V124" s="22"/>
      <c r="W124" s="22"/>
      <c r="X124" s="22"/>
      <c r="Y124" s="22"/>
      <c r="Z124" s="21"/>
      <c r="AA124" s="20">
        <f t="shared" si="36"/>
        <v>0</v>
      </c>
      <c r="AB124" s="19">
        <f t="shared" si="37"/>
        <v>0</v>
      </c>
      <c r="AC124" s="16">
        <v>20</v>
      </c>
      <c r="AD124" s="18"/>
      <c r="AE124" s="17"/>
      <c r="AF124" s="23">
        <f t="shared" si="38"/>
        <v>15</v>
      </c>
      <c r="AG124" s="16">
        <v>45</v>
      </c>
      <c r="AH124" s="23">
        <f t="shared" si="39"/>
        <v>80</v>
      </c>
      <c r="AI124" s="14">
        <f t="shared" si="40"/>
        <v>0.93</v>
      </c>
      <c r="AJ124" s="13"/>
      <c r="AK124" s="12">
        <v>0.01</v>
      </c>
      <c r="AL124" s="11">
        <f t="shared" si="41"/>
        <v>1.01</v>
      </c>
      <c r="AM124" s="10">
        <f t="shared" si="42"/>
        <v>9025296000</v>
      </c>
      <c r="AN124" s="9"/>
      <c r="AO124" s="8"/>
      <c r="AP124" s="8"/>
      <c r="AQ124" s="8"/>
      <c r="AR124" s="8"/>
      <c r="AS124" s="7"/>
      <c r="AT124" s="6">
        <f t="shared" si="43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33"/>
        <v>1</v>
      </c>
      <c r="O125" s="25">
        <v>15</v>
      </c>
      <c r="P125" s="23">
        <v>15</v>
      </c>
      <c r="Q125" s="24"/>
      <c r="R125" s="24"/>
      <c r="S125" s="23"/>
      <c r="T125" s="20">
        <f t="shared" si="34"/>
        <v>15</v>
      </c>
      <c r="U125" s="19">
        <f t="shared" si="35"/>
        <v>15</v>
      </c>
      <c r="V125" s="22"/>
      <c r="W125" s="22"/>
      <c r="X125" s="22"/>
      <c r="Y125" s="22"/>
      <c r="Z125" s="21"/>
      <c r="AA125" s="20">
        <f t="shared" si="36"/>
        <v>0</v>
      </c>
      <c r="AB125" s="19">
        <f t="shared" si="37"/>
        <v>0</v>
      </c>
      <c r="AC125" s="16">
        <v>20</v>
      </c>
      <c r="AD125" s="18"/>
      <c r="AE125" s="17"/>
      <c r="AF125" s="23">
        <f t="shared" si="38"/>
        <v>15</v>
      </c>
      <c r="AG125" s="16">
        <v>45</v>
      </c>
      <c r="AH125" s="23">
        <f t="shared" si="39"/>
        <v>80</v>
      </c>
      <c r="AI125" s="14">
        <f t="shared" si="40"/>
        <v>0.93</v>
      </c>
      <c r="AJ125" s="13"/>
      <c r="AK125" s="12">
        <v>0.01</v>
      </c>
      <c r="AL125" s="11">
        <f t="shared" si="41"/>
        <v>1.01</v>
      </c>
      <c r="AM125" s="10">
        <f t="shared" si="42"/>
        <v>9025296000</v>
      </c>
      <c r="AN125" s="9"/>
      <c r="AO125" s="8"/>
      <c r="AP125" s="8"/>
      <c r="AQ125" s="8"/>
      <c r="AR125" s="8"/>
      <c r="AS125" s="7"/>
      <c r="AT125" s="6">
        <f t="shared" si="43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33"/>
        <v>1</v>
      </c>
      <c r="O126" s="25">
        <v>15</v>
      </c>
      <c r="P126" s="23">
        <v>15</v>
      </c>
      <c r="Q126" s="24"/>
      <c r="R126" s="24"/>
      <c r="S126" s="23"/>
      <c r="T126" s="20">
        <f t="shared" si="34"/>
        <v>15</v>
      </c>
      <c r="U126" s="19">
        <f t="shared" si="35"/>
        <v>15</v>
      </c>
      <c r="V126" s="22"/>
      <c r="W126" s="22"/>
      <c r="X126" s="22"/>
      <c r="Y126" s="22"/>
      <c r="Z126" s="21"/>
      <c r="AA126" s="20">
        <f t="shared" si="36"/>
        <v>0</v>
      </c>
      <c r="AB126" s="19">
        <f t="shared" si="37"/>
        <v>0</v>
      </c>
      <c r="AC126" s="16">
        <v>20</v>
      </c>
      <c r="AD126" s="18"/>
      <c r="AE126" s="17"/>
      <c r="AF126" s="23">
        <f t="shared" si="38"/>
        <v>15</v>
      </c>
      <c r="AG126" s="16">
        <v>45</v>
      </c>
      <c r="AH126" s="23">
        <f t="shared" si="39"/>
        <v>80</v>
      </c>
      <c r="AI126" s="14">
        <f t="shared" si="40"/>
        <v>0.93</v>
      </c>
      <c r="AJ126" s="13"/>
      <c r="AK126" s="12">
        <v>0.01</v>
      </c>
      <c r="AL126" s="11">
        <f t="shared" si="41"/>
        <v>1.01</v>
      </c>
      <c r="AM126" s="10">
        <f t="shared" si="42"/>
        <v>9025296000</v>
      </c>
      <c r="AN126" s="9"/>
      <c r="AO126" s="8"/>
      <c r="AP126" s="8"/>
      <c r="AQ126" s="8"/>
      <c r="AR126" s="8"/>
      <c r="AS126" s="7"/>
      <c r="AT126" s="6">
        <f t="shared" si="43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33"/>
        <v>1</v>
      </c>
      <c r="O127" s="25">
        <v>15</v>
      </c>
      <c r="P127" s="23">
        <v>15</v>
      </c>
      <c r="Q127" s="24"/>
      <c r="R127" s="24"/>
      <c r="S127" s="23"/>
      <c r="T127" s="20">
        <f t="shared" si="34"/>
        <v>15</v>
      </c>
      <c r="U127" s="19">
        <f t="shared" si="35"/>
        <v>15</v>
      </c>
      <c r="V127" s="22"/>
      <c r="W127" s="22"/>
      <c r="X127" s="22"/>
      <c r="Y127" s="22"/>
      <c r="Z127" s="21"/>
      <c r="AA127" s="20">
        <f t="shared" si="36"/>
        <v>0</v>
      </c>
      <c r="AB127" s="19">
        <f t="shared" si="37"/>
        <v>0</v>
      </c>
      <c r="AC127" s="16">
        <v>20</v>
      </c>
      <c r="AD127" s="18"/>
      <c r="AE127" s="17"/>
      <c r="AF127" s="23">
        <f t="shared" si="38"/>
        <v>15</v>
      </c>
      <c r="AG127" s="16">
        <v>45</v>
      </c>
      <c r="AH127" s="23">
        <f t="shared" si="39"/>
        <v>80</v>
      </c>
      <c r="AI127" s="14">
        <f t="shared" si="40"/>
        <v>0.93</v>
      </c>
      <c r="AJ127" s="13"/>
      <c r="AK127" s="12">
        <v>0.01</v>
      </c>
      <c r="AL127" s="11">
        <f t="shared" si="41"/>
        <v>1.01</v>
      </c>
      <c r="AM127" s="10">
        <f t="shared" si="42"/>
        <v>9025296000</v>
      </c>
      <c r="AN127" s="9"/>
      <c r="AO127" s="8"/>
      <c r="AP127" s="8"/>
      <c r="AQ127" s="8"/>
      <c r="AR127" s="8"/>
      <c r="AS127" s="7"/>
      <c r="AT127" s="6">
        <f t="shared" si="43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33"/>
        <v>1</v>
      </c>
      <c r="O128" s="25">
        <v>15</v>
      </c>
      <c r="P128" s="23">
        <v>15</v>
      </c>
      <c r="Q128" s="24"/>
      <c r="R128" s="24"/>
      <c r="S128" s="23"/>
      <c r="T128" s="20">
        <f t="shared" si="34"/>
        <v>15</v>
      </c>
      <c r="U128" s="19">
        <f t="shared" si="35"/>
        <v>15</v>
      </c>
      <c r="V128" s="22"/>
      <c r="W128" s="22"/>
      <c r="X128" s="22"/>
      <c r="Y128" s="22"/>
      <c r="Z128" s="21"/>
      <c r="AA128" s="20">
        <f t="shared" si="36"/>
        <v>0</v>
      </c>
      <c r="AB128" s="19">
        <f t="shared" si="37"/>
        <v>0</v>
      </c>
      <c r="AC128" s="16">
        <v>20</v>
      </c>
      <c r="AD128" s="18"/>
      <c r="AE128" s="17"/>
      <c r="AF128" s="23">
        <f t="shared" si="38"/>
        <v>15</v>
      </c>
      <c r="AG128" s="16">
        <v>45</v>
      </c>
      <c r="AH128" s="23">
        <f t="shared" si="39"/>
        <v>80</v>
      </c>
      <c r="AI128" s="14">
        <f t="shared" si="40"/>
        <v>0.93</v>
      </c>
      <c r="AJ128" s="13"/>
      <c r="AK128" s="12">
        <v>0.01</v>
      </c>
      <c r="AL128" s="11">
        <f t="shared" si="41"/>
        <v>1.01</v>
      </c>
      <c r="AM128" s="10">
        <f t="shared" si="42"/>
        <v>9025296000</v>
      </c>
      <c r="AN128" s="9"/>
      <c r="AO128" s="8"/>
      <c r="AP128" s="8"/>
      <c r="AQ128" s="8"/>
      <c r="AR128" s="8"/>
      <c r="AS128" s="7"/>
      <c r="AT128" s="6">
        <f t="shared" si="43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33"/>
        <v>1</v>
      </c>
      <c r="O129" s="25">
        <v>15</v>
      </c>
      <c r="P129" s="23">
        <v>15</v>
      </c>
      <c r="Q129" s="24"/>
      <c r="R129" s="24"/>
      <c r="S129" s="23"/>
      <c r="T129" s="20">
        <f t="shared" si="34"/>
        <v>15</v>
      </c>
      <c r="U129" s="19">
        <f t="shared" si="35"/>
        <v>15</v>
      </c>
      <c r="V129" s="22"/>
      <c r="W129" s="22"/>
      <c r="X129" s="22"/>
      <c r="Y129" s="22"/>
      <c r="Z129" s="21"/>
      <c r="AA129" s="20">
        <f t="shared" si="36"/>
        <v>0</v>
      </c>
      <c r="AB129" s="19">
        <f t="shared" si="37"/>
        <v>0</v>
      </c>
      <c r="AC129" s="16">
        <v>20</v>
      </c>
      <c r="AD129" s="18"/>
      <c r="AE129" s="17"/>
      <c r="AF129" s="23">
        <f t="shared" si="38"/>
        <v>15</v>
      </c>
      <c r="AG129" s="16">
        <v>45</v>
      </c>
      <c r="AH129" s="23">
        <f t="shared" si="39"/>
        <v>80</v>
      </c>
      <c r="AI129" s="14">
        <f t="shared" si="40"/>
        <v>0.93</v>
      </c>
      <c r="AJ129" s="13"/>
      <c r="AK129" s="12">
        <v>0.01</v>
      </c>
      <c r="AL129" s="11">
        <f t="shared" si="41"/>
        <v>1.01</v>
      </c>
      <c r="AM129" s="10">
        <f t="shared" si="42"/>
        <v>9025296000</v>
      </c>
      <c r="AN129" s="9"/>
      <c r="AO129" s="8"/>
      <c r="AP129" s="8"/>
      <c r="AQ129" s="8"/>
      <c r="AR129" s="8"/>
      <c r="AS129" s="7"/>
      <c r="AT129" s="6">
        <f t="shared" si="43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33"/>
        <v>1</v>
      </c>
      <c r="O130" s="25">
        <v>15</v>
      </c>
      <c r="P130" s="23">
        <v>15</v>
      </c>
      <c r="Q130" s="24"/>
      <c r="R130" s="24"/>
      <c r="S130" s="23"/>
      <c r="T130" s="20">
        <f t="shared" si="34"/>
        <v>15</v>
      </c>
      <c r="U130" s="19">
        <f t="shared" si="35"/>
        <v>15</v>
      </c>
      <c r="V130" s="22"/>
      <c r="W130" s="22"/>
      <c r="X130" s="22"/>
      <c r="Y130" s="22"/>
      <c r="Z130" s="21"/>
      <c r="AA130" s="20">
        <f t="shared" si="36"/>
        <v>0</v>
      </c>
      <c r="AB130" s="19">
        <f t="shared" si="37"/>
        <v>0</v>
      </c>
      <c r="AC130" s="16">
        <v>20</v>
      </c>
      <c r="AD130" s="18"/>
      <c r="AE130" s="17"/>
      <c r="AF130" s="23">
        <f t="shared" si="38"/>
        <v>15</v>
      </c>
      <c r="AG130" s="16">
        <v>45</v>
      </c>
      <c r="AH130" s="23">
        <f t="shared" si="39"/>
        <v>80</v>
      </c>
      <c r="AI130" s="14">
        <f t="shared" si="40"/>
        <v>0.93</v>
      </c>
      <c r="AJ130" s="13"/>
      <c r="AK130" s="12">
        <v>0.01</v>
      </c>
      <c r="AL130" s="11">
        <f t="shared" si="41"/>
        <v>1.01</v>
      </c>
      <c r="AM130" s="10">
        <f t="shared" si="42"/>
        <v>9025296000</v>
      </c>
      <c r="AN130" s="9"/>
      <c r="AO130" s="8"/>
      <c r="AP130" s="8"/>
      <c r="AQ130" s="8"/>
      <c r="AR130" s="8"/>
      <c r="AS130" s="7"/>
      <c r="AT130" s="6">
        <f t="shared" si="43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33"/>
        <v>1</v>
      </c>
      <c r="O131" s="25">
        <v>15</v>
      </c>
      <c r="P131" s="23">
        <v>15</v>
      </c>
      <c r="Q131" s="24"/>
      <c r="R131" s="24"/>
      <c r="S131" s="23"/>
      <c r="T131" s="20">
        <f t="shared" si="34"/>
        <v>15</v>
      </c>
      <c r="U131" s="19">
        <f t="shared" si="35"/>
        <v>15</v>
      </c>
      <c r="V131" s="22"/>
      <c r="W131" s="22"/>
      <c r="X131" s="22"/>
      <c r="Y131" s="22"/>
      <c r="Z131" s="21"/>
      <c r="AA131" s="20">
        <f t="shared" si="36"/>
        <v>0</v>
      </c>
      <c r="AB131" s="19">
        <f t="shared" si="37"/>
        <v>0</v>
      </c>
      <c r="AC131" s="16">
        <v>20</v>
      </c>
      <c r="AD131" s="18"/>
      <c r="AE131" s="17"/>
      <c r="AF131" s="23">
        <f t="shared" si="38"/>
        <v>15</v>
      </c>
      <c r="AG131" s="16">
        <v>45</v>
      </c>
      <c r="AH131" s="23">
        <f t="shared" si="39"/>
        <v>80</v>
      </c>
      <c r="AI131" s="14">
        <f t="shared" si="40"/>
        <v>0.93</v>
      </c>
      <c r="AJ131" s="13"/>
      <c r="AK131" s="12">
        <v>0.01</v>
      </c>
      <c r="AL131" s="11">
        <f t="shared" si="41"/>
        <v>1.01</v>
      </c>
      <c r="AM131" s="10">
        <f t="shared" si="42"/>
        <v>9025296000</v>
      </c>
      <c r="AN131" s="9"/>
      <c r="AO131" s="8"/>
      <c r="AP131" s="8"/>
      <c r="AQ131" s="8"/>
      <c r="AR131" s="8"/>
      <c r="AS131" s="7"/>
      <c r="AT131" s="6">
        <f t="shared" si="43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33"/>
        <v>1</v>
      </c>
      <c r="O132" s="25">
        <v>15</v>
      </c>
      <c r="P132" s="23">
        <v>15</v>
      </c>
      <c r="Q132" s="24"/>
      <c r="R132" s="24"/>
      <c r="S132" s="23"/>
      <c r="T132" s="20">
        <f t="shared" si="34"/>
        <v>15</v>
      </c>
      <c r="U132" s="19">
        <f t="shared" si="35"/>
        <v>15</v>
      </c>
      <c r="V132" s="22"/>
      <c r="W132" s="22"/>
      <c r="X132" s="22"/>
      <c r="Y132" s="22"/>
      <c r="Z132" s="21"/>
      <c r="AA132" s="20">
        <f t="shared" si="36"/>
        <v>0</v>
      </c>
      <c r="AB132" s="19">
        <f t="shared" si="37"/>
        <v>0</v>
      </c>
      <c r="AC132" s="16">
        <v>20</v>
      </c>
      <c r="AD132" s="18"/>
      <c r="AE132" s="17"/>
      <c r="AF132" s="23">
        <f t="shared" si="38"/>
        <v>15</v>
      </c>
      <c r="AG132" s="16">
        <v>45</v>
      </c>
      <c r="AH132" s="23">
        <f t="shared" si="39"/>
        <v>80</v>
      </c>
      <c r="AI132" s="14">
        <f t="shared" si="40"/>
        <v>0.93</v>
      </c>
      <c r="AJ132" s="13"/>
      <c r="AK132" s="12">
        <v>0.01</v>
      </c>
      <c r="AL132" s="11">
        <f t="shared" si="41"/>
        <v>1.01</v>
      </c>
      <c r="AM132" s="10">
        <f t="shared" si="42"/>
        <v>9025296000</v>
      </c>
      <c r="AN132" s="9"/>
      <c r="AO132" s="8"/>
      <c r="AP132" s="8"/>
      <c r="AQ132" s="8"/>
      <c r="AR132" s="8"/>
      <c r="AS132" s="7"/>
      <c r="AT132" s="6">
        <f t="shared" si="43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44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45">ROUND(((O133*I133)+(P133*J133)+(Q133*K133)+(R133*L133)+(S133*M133)),2)</f>
        <v>15</v>
      </c>
      <c r="U133" s="19">
        <f t="shared" ref="U133:U140" si="46">IF(T133&gt;=15,15,T133)</f>
        <v>15</v>
      </c>
      <c r="V133" s="22"/>
      <c r="W133" s="22"/>
      <c r="X133" s="22"/>
      <c r="Y133" s="22"/>
      <c r="Z133" s="21"/>
      <c r="AA133" s="20">
        <f t="shared" ref="AA133:AA140" si="47">ROUND((((V133*I133)+(W133*J133)+(X133*K133)+(Y133*L133)+(Z133*M133))/$I$2*15),2)</f>
        <v>0</v>
      </c>
      <c r="AB133" s="19">
        <f t="shared" ref="AB133:AB140" si="48">IF(AA133&gt;=15,15,AA133)</f>
        <v>0</v>
      </c>
      <c r="AC133" s="16">
        <v>20</v>
      </c>
      <c r="AD133" s="18"/>
      <c r="AE133" s="17"/>
      <c r="AF133" s="23">
        <f t="shared" ref="AF133:AF140" si="49">IF((U133+AB133+AD133)&gt;=30,30,(U133+AB133+AD133))</f>
        <v>15</v>
      </c>
      <c r="AG133" s="16">
        <v>45</v>
      </c>
      <c r="AH133" s="23">
        <f t="shared" ref="AH133:AH140" si="50">AC133+AF133+AG133+AE133</f>
        <v>80</v>
      </c>
      <c r="AI133" s="14">
        <f t="shared" ref="AI133:AI140" si="51">-((50-((176+(45+(30-AF133)))))/200)</f>
        <v>0.93</v>
      </c>
      <c r="AJ133" s="13"/>
      <c r="AK133" s="12">
        <v>0.01</v>
      </c>
      <c r="AL133" s="11">
        <f t="shared" ref="AL133:AL140" si="52">100%+AK133</f>
        <v>1.01</v>
      </c>
      <c r="AM133" s="10">
        <f t="shared" ref="AM133:AM140" si="53">ROUNDUP($D$2*AI133*AL133,-3)</f>
        <v>9025296000</v>
      </c>
      <c r="AN133" s="9"/>
      <c r="AO133" s="8"/>
      <c r="AP133" s="8"/>
      <c r="AQ133" s="8"/>
      <c r="AR133" s="8"/>
      <c r="AS133" s="7"/>
      <c r="AT133" s="6">
        <f t="shared" ref="AT133:AT140" si="54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44"/>
        <v>1</v>
      </c>
      <c r="O134" s="25">
        <v>15</v>
      </c>
      <c r="P134" s="23">
        <v>15</v>
      </c>
      <c r="Q134" s="24"/>
      <c r="R134" s="24"/>
      <c r="S134" s="23"/>
      <c r="T134" s="20">
        <f t="shared" si="45"/>
        <v>15</v>
      </c>
      <c r="U134" s="19">
        <f t="shared" si="46"/>
        <v>15</v>
      </c>
      <c r="V134" s="22"/>
      <c r="W134" s="22"/>
      <c r="X134" s="22"/>
      <c r="Y134" s="22"/>
      <c r="Z134" s="21"/>
      <c r="AA134" s="20">
        <f t="shared" si="47"/>
        <v>0</v>
      </c>
      <c r="AB134" s="19">
        <f t="shared" si="48"/>
        <v>0</v>
      </c>
      <c r="AC134" s="16">
        <v>20</v>
      </c>
      <c r="AD134" s="18"/>
      <c r="AE134" s="17"/>
      <c r="AF134" s="23">
        <f t="shared" si="49"/>
        <v>15</v>
      </c>
      <c r="AG134" s="16">
        <v>45</v>
      </c>
      <c r="AH134" s="23">
        <f t="shared" si="50"/>
        <v>80</v>
      </c>
      <c r="AI134" s="14">
        <f t="shared" si="51"/>
        <v>0.93</v>
      </c>
      <c r="AJ134" s="13"/>
      <c r="AK134" s="12">
        <v>0.01</v>
      </c>
      <c r="AL134" s="11">
        <f t="shared" si="52"/>
        <v>1.01</v>
      </c>
      <c r="AM134" s="10">
        <f t="shared" si="53"/>
        <v>9025296000</v>
      </c>
      <c r="AN134" s="9"/>
      <c r="AO134" s="8"/>
      <c r="AP134" s="8"/>
      <c r="AQ134" s="8"/>
      <c r="AR134" s="8"/>
      <c r="AS134" s="7"/>
      <c r="AT134" s="6">
        <f t="shared" si="54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44"/>
        <v>1</v>
      </c>
      <c r="O135" s="25">
        <v>15</v>
      </c>
      <c r="P135" s="23">
        <v>15</v>
      </c>
      <c r="Q135" s="24"/>
      <c r="R135" s="24"/>
      <c r="S135" s="23"/>
      <c r="T135" s="20">
        <f t="shared" si="45"/>
        <v>15</v>
      </c>
      <c r="U135" s="19">
        <f t="shared" si="46"/>
        <v>15</v>
      </c>
      <c r="V135" s="22"/>
      <c r="W135" s="22"/>
      <c r="X135" s="22"/>
      <c r="Y135" s="22"/>
      <c r="Z135" s="21"/>
      <c r="AA135" s="20">
        <f t="shared" si="47"/>
        <v>0</v>
      </c>
      <c r="AB135" s="19">
        <f t="shared" si="48"/>
        <v>0</v>
      </c>
      <c r="AC135" s="16">
        <v>20</v>
      </c>
      <c r="AD135" s="18"/>
      <c r="AE135" s="17"/>
      <c r="AF135" s="23">
        <f t="shared" si="49"/>
        <v>15</v>
      </c>
      <c r="AG135" s="16">
        <v>45</v>
      </c>
      <c r="AH135" s="23">
        <f t="shared" si="50"/>
        <v>80</v>
      </c>
      <c r="AI135" s="14">
        <f t="shared" si="51"/>
        <v>0.93</v>
      </c>
      <c r="AJ135" s="13"/>
      <c r="AK135" s="12">
        <v>0.01</v>
      </c>
      <c r="AL135" s="11">
        <f t="shared" si="52"/>
        <v>1.01</v>
      </c>
      <c r="AM135" s="10">
        <f t="shared" si="53"/>
        <v>9025296000</v>
      </c>
      <c r="AN135" s="9"/>
      <c r="AO135" s="8"/>
      <c r="AP135" s="8"/>
      <c r="AQ135" s="8"/>
      <c r="AR135" s="8"/>
      <c r="AS135" s="7"/>
      <c r="AT135" s="6">
        <f t="shared" si="54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44"/>
        <v>1</v>
      </c>
      <c r="O136" s="25">
        <v>15</v>
      </c>
      <c r="P136" s="23">
        <v>15</v>
      </c>
      <c r="Q136" s="24"/>
      <c r="R136" s="24"/>
      <c r="S136" s="23"/>
      <c r="T136" s="20">
        <f t="shared" si="45"/>
        <v>15</v>
      </c>
      <c r="U136" s="19">
        <f t="shared" si="46"/>
        <v>15</v>
      </c>
      <c r="V136" s="22"/>
      <c r="W136" s="22"/>
      <c r="X136" s="22"/>
      <c r="Y136" s="22"/>
      <c r="Z136" s="21"/>
      <c r="AA136" s="20">
        <f t="shared" si="47"/>
        <v>0</v>
      </c>
      <c r="AB136" s="19">
        <f t="shared" si="48"/>
        <v>0</v>
      </c>
      <c r="AC136" s="16">
        <v>20</v>
      </c>
      <c r="AD136" s="18"/>
      <c r="AE136" s="17"/>
      <c r="AF136" s="23">
        <f t="shared" si="49"/>
        <v>15</v>
      </c>
      <c r="AG136" s="16">
        <v>45</v>
      </c>
      <c r="AH136" s="23">
        <f t="shared" si="50"/>
        <v>80</v>
      </c>
      <c r="AI136" s="14">
        <f t="shared" si="51"/>
        <v>0.93</v>
      </c>
      <c r="AJ136" s="13"/>
      <c r="AK136" s="12">
        <v>0.01</v>
      </c>
      <c r="AL136" s="11">
        <f t="shared" si="52"/>
        <v>1.01</v>
      </c>
      <c r="AM136" s="10">
        <f t="shared" si="53"/>
        <v>9025296000</v>
      </c>
      <c r="AN136" s="9"/>
      <c r="AO136" s="8"/>
      <c r="AP136" s="8"/>
      <c r="AQ136" s="8"/>
      <c r="AR136" s="8"/>
      <c r="AS136" s="7"/>
      <c r="AT136" s="6">
        <f t="shared" si="54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44"/>
        <v>1</v>
      </c>
      <c r="O137" s="25">
        <v>15</v>
      </c>
      <c r="P137" s="23">
        <v>15</v>
      </c>
      <c r="Q137" s="24"/>
      <c r="R137" s="24"/>
      <c r="S137" s="23"/>
      <c r="T137" s="20">
        <f t="shared" si="45"/>
        <v>15</v>
      </c>
      <c r="U137" s="19">
        <f t="shared" si="46"/>
        <v>15</v>
      </c>
      <c r="V137" s="22"/>
      <c r="W137" s="22"/>
      <c r="X137" s="22"/>
      <c r="Y137" s="22"/>
      <c r="Z137" s="21"/>
      <c r="AA137" s="20">
        <f t="shared" si="47"/>
        <v>0</v>
      </c>
      <c r="AB137" s="19">
        <f t="shared" si="48"/>
        <v>0</v>
      </c>
      <c r="AC137" s="16">
        <v>20</v>
      </c>
      <c r="AD137" s="18"/>
      <c r="AE137" s="17"/>
      <c r="AF137" s="23">
        <f t="shared" si="49"/>
        <v>15</v>
      </c>
      <c r="AG137" s="16">
        <v>45</v>
      </c>
      <c r="AH137" s="23">
        <f t="shared" si="50"/>
        <v>80</v>
      </c>
      <c r="AI137" s="14">
        <f t="shared" si="51"/>
        <v>0.93</v>
      </c>
      <c r="AJ137" s="13"/>
      <c r="AK137" s="12">
        <v>0.01</v>
      </c>
      <c r="AL137" s="11">
        <f t="shared" si="52"/>
        <v>1.01</v>
      </c>
      <c r="AM137" s="10">
        <f t="shared" si="53"/>
        <v>9025296000</v>
      </c>
      <c r="AN137" s="9"/>
      <c r="AO137" s="8"/>
      <c r="AP137" s="8"/>
      <c r="AQ137" s="8"/>
      <c r="AR137" s="8"/>
      <c r="AS137" s="7"/>
      <c r="AT137" s="6">
        <f t="shared" si="54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44"/>
        <v>1</v>
      </c>
      <c r="O138" s="25">
        <v>15</v>
      </c>
      <c r="P138" s="23">
        <v>15</v>
      </c>
      <c r="Q138" s="24"/>
      <c r="R138" s="24"/>
      <c r="S138" s="23"/>
      <c r="T138" s="20">
        <f t="shared" si="45"/>
        <v>15</v>
      </c>
      <c r="U138" s="19">
        <f t="shared" si="46"/>
        <v>15</v>
      </c>
      <c r="V138" s="22"/>
      <c r="W138" s="22"/>
      <c r="X138" s="22"/>
      <c r="Y138" s="22"/>
      <c r="Z138" s="21"/>
      <c r="AA138" s="20">
        <f t="shared" si="47"/>
        <v>0</v>
      </c>
      <c r="AB138" s="19">
        <f t="shared" si="48"/>
        <v>0</v>
      </c>
      <c r="AC138" s="16">
        <v>20</v>
      </c>
      <c r="AD138" s="18"/>
      <c r="AE138" s="17"/>
      <c r="AF138" s="23">
        <f t="shared" si="49"/>
        <v>15</v>
      </c>
      <c r="AG138" s="16">
        <v>45</v>
      </c>
      <c r="AH138" s="23">
        <f t="shared" si="50"/>
        <v>80</v>
      </c>
      <c r="AI138" s="14">
        <f t="shared" si="51"/>
        <v>0.93</v>
      </c>
      <c r="AJ138" s="13"/>
      <c r="AK138" s="12">
        <v>0.01</v>
      </c>
      <c r="AL138" s="11">
        <f t="shared" si="52"/>
        <v>1.01</v>
      </c>
      <c r="AM138" s="10">
        <f t="shared" si="53"/>
        <v>9025296000</v>
      </c>
      <c r="AN138" s="9"/>
      <c r="AO138" s="8"/>
      <c r="AP138" s="8"/>
      <c r="AQ138" s="8"/>
      <c r="AR138" s="8"/>
      <c r="AS138" s="7"/>
      <c r="AT138" s="6">
        <f t="shared" si="54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44"/>
        <v>1</v>
      </c>
      <c r="O139" s="25">
        <v>15</v>
      </c>
      <c r="P139" s="23">
        <v>15</v>
      </c>
      <c r="Q139" s="24"/>
      <c r="R139" s="24"/>
      <c r="S139" s="23"/>
      <c r="T139" s="20">
        <f t="shared" si="45"/>
        <v>15</v>
      </c>
      <c r="U139" s="19">
        <f t="shared" si="46"/>
        <v>15</v>
      </c>
      <c r="V139" s="22"/>
      <c r="W139" s="22"/>
      <c r="X139" s="22"/>
      <c r="Y139" s="22"/>
      <c r="Z139" s="21"/>
      <c r="AA139" s="20">
        <f t="shared" si="47"/>
        <v>0</v>
      </c>
      <c r="AB139" s="19">
        <f t="shared" si="48"/>
        <v>0</v>
      </c>
      <c r="AC139" s="16">
        <v>20</v>
      </c>
      <c r="AD139" s="18"/>
      <c r="AE139" s="17"/>
      <c r="AF139" s="23">
        <f t="shared" si="49"/>
        <v>15</v>
      </c>
      <c r="AG139" s="16">
        <v>45</v>
      </c>
      <c r="AH139" s="23">
        <f t="shared" si="50"/>
        <v>80</v>
      </c>
      <c r="AI139" s="14">
        <f t="shared" si="51"/>
        <v>0.93</v>
      </c>
      <c r="AJ139" s="13"/>
      <c r="AK139" s="12">
        <v>0.01</v>
      </c>
      <c r="AL139" s="11">
        <f t="shared" si="52"/>
        <v>1.01</v>
      </c>
      <c r="AM139" s="10">
        <f t="shared" si="53"/>
        <v>9025296000</v>
      </c>
      <c r="AN139" s="9"/>
      <c r="AO139" s="8"/>
      <c r="AP139" s="8"/>
      <c r="AQ139" s="8"/>
      <c r="AR139" s="8"/>
      <c r="AS139" s="7"/>
      <c r="AT139" s="6">
        <f t="shared" si="54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44"/>
        <v>1</v>
      </c>
      <c r="O140" s="25">
        <v>15</v>
      </c>
      <c r="P140" s="23">
        <v>15</v>
      </c>
      <c r="Q140" s="24"/>
      <c r="R140" s="24"/>
      <c r="S140" s="23"/>
      <c r="T140" s="20">
        <f t="shared" si="45"/>
        <v>15</v>
      </c>
      <c r="U140" s="19">
        <f t="shared" si="46"/>
        <v>15</v>
      </c>
      <c r="V140" s="22"/>
      <c r="W140" s="22"/>
      <c r="X140" s="22"/>
      <c r="Y140" s="22"/>
      <c r="Z140" s="21"/>
      <c r="AA140" s="20">
        <f t="shared" si="47"/>
        <v>0</v>
      </c>
      <c r="AB140" s="19">
        <f t="shared" si="48"/>
        <v>0</v>
      </c>
      <c r="AC140" s="16">
        <v>20</v>
      </c>
      <c r="AD140" s="18"/>
      <c r="AE140" s="17"/>
      <c r="AF140" s="15">
        <f t="shared" si="49"/>
        <v>15</v>
      </c>
      <c r="AG140" s="16">
        <v>45</v>
      </c>
      <c r="AH140" s="15">
        <f t="shared" si="50"/>
        <v>80</v>
      </c>
      <c r="AI140" s="14">
        <f t="shared" si="51"/>
        <v>0.93</v>
      </c>
      <c r="AJ140" s="13"/>
      <c r="AK140" s="12">
        <v>0.01</v>
      </c>
      <c r="AL140" s="11">
        <f t="shared" si="52"/>
        <v>1.01</v>
      </c>
      <c r="AM140" s="10">
        <f t="shared" si="53"/>
        <v>9025296000</v>
      </c>
      <c r="AN140" s="9"/>
      <c r="AO140" s="8"/>
      <c r="AP140" s="8"/>
      <c r="AQ140" s="8"/>
      <c r="AR140" s="8"/>
      <c r="AS140" s="7"/>
      <c r="AT140" s="6">
        <f t="shared" si="54"/>
        <v>0</v>
      </c>
    </row>
  </sheetData>
  <mergeCells count="27">
    <mergeCell ref="D1:E1"/>
    <mergeCell ref="I1:J1"/>
    <mergeCell ref="M1:AF1"/>
    <mergeCell ref="AH1:AK1"/>
    <mergeCell ref="D2:E2"/>
    <mergeCell ref="F2:G2"/>
    <mergeCell ref="I2:J2"/>
    <mergeCell ref="O2:T2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AT3:AT4"/>
    <mergeCell ref="AN3:AN4"/>
    <mergeCell ref="AO3:AO4"/>
    <mergeCell ref="AP3:AP4"/>
    <mergeCell ref="AQ3:AQ4"/>
    <mergeCell ref="AR3:AR4"/>
    <mergeCell ref="AS3:AS4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40"/>
  <sheetViews>
    <sheetView showZeros="0" view="pageBreakPreview" zoomScale="80" zoomScaleSheetLayoutView="80" workbookViewId="0">
      <selection activeCell="I5" sqref="I5:AH10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270</v>
      </c>
      <c r="D1" s="179">
        <v>6402040000</v>
      </c>
      <c r="E1" s="179"/>
      <c r="F1" s="130"/>
      <c r="G1" s="130"/>
      <c r="H1" s="132" t="s">
        <v>269</v>
      </c>
      <c r="I1" s="180"/>
      <c r="J1" s="181"/>
      <c r="K1" s="139"/>
      <c r="L1" s="138"/>
      <c r="M1" s="182" t="s">
        <v>268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267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266</v>
      </c>
      <c r="D2" s="184">
        <v>7042244000</v>
      </c>
      <c r="E2" s="184"/>
      <c r="F2" s="185"/>
      <c r="G2" s="186"/>
      <c r="H2" s="132" t="s">
        <v>265</v>
      </c>
      <c r="I2" s="186">
        <f>D2*2</f>
        <v>14084488000</v>
      </c>
      <c r="J2" s="187"/>
      <c r="K2" s="131" t="s">
        <v>264</v>
      </c>
      <c r="L2" s="130"/>
      <c r="M2" s="130"/>
      <c r="N2" s="129" t="s">
        <v>263</v>
      </c>
      <c r="O2" s="188">
        <v>45880.583333333336</v>
      </c>
      <c r="P2" s="188"/>
      <c r="Q2" s="188"/>
      <c r="R2" s="188"/>
      <c r="S2" s="188"/>
      <c r="T2" s="188"/>
      <c r="U2" s="128"/>
      <c r="V2" s="127" t="s">
        <v>262</v>
      </c>
      <c r="W2" s="126"/>
      <c r="X2" s="126"/>
      <c r="Y2" s="124"/>
      <c r="Z2" s="124"/>
      <c r="AA2" s="124"/>
      <c r="AB2" s="124"/>
      <c r="AC2" s="124"/>
      <c r="AD2" s="125"/>
      <c r="AE2" s="124"/>
      <c r="AF2" s="124"/>
      <c r="AG2" s="124"/>
      <c r="AH2" s="123"/>
      <c r="AJ2" s="123"/>
      <c r="AK2" s="122"/>
      <c r="AL2" s="122"/>
      <c r="AM2" s="121" t="s">
        <v>261</v>
      </c>
      <c r="AO2" s="120" t="s">
        <v>260</v>
      </c>
      <c r="AP2" s="119">
        <v>6402040000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259</v>
      </c>
      <c r="B3" s="166" t="s">
        <v>258</v>
      </c>
      <c r="C3" s="168" t="s">
        <v>257</v>
      </c>
      <c r="D3" s="169"/>
      <c r="E3" s="169"/>
      <c r="F3" s="169"/>
      <c r="G3" s="169"/>
      <c r="H3" s="170"/>
      <c r="I3" s="168" t="s">
        <v>256</v>
      </c>
      <c r="J3" s="169"/>
      <c r="K3" s="169"/>
      <c r="L3" s="169"/>
      <c r="M3" s="170"/>
      <c r="N3" s="171" t="s">
        <v>255</v>
      </c>
      <c r="O3" s="168" t="s">
        <v>254</v>
      </c>
      <c r="P3" s="169"/>
      <c r="Q3" s="169"/>
      <c r="R3" s="169"/>
      <c r="S3" s="169"/>
      <c r="T3" s="170"/>
      <c r="U3" s="113"/>
      <c r="V3" s="168" t="s">
        <v>253</v>
      </c>
      <c r="W3" s="169"/>
      <c r="X3" s="169"/>
      <c r="Y3" s="169"/>
      <c r="Z3" s="169"/>
      <c r="AA3" s="170"/>
      <c r="AB3" s="113"/>
      <c r="AC3" s="113"/>
      <c r="AD3" s="114" t="s">
        <v>252</v>
      </c>
      <c r="AE3" s="113"/>
      <c r="AF3" s="113"/>
      <c r="AG3" s="113"/>
      <c r="AH3" s="112"/>
      <c r="AI3" s="173" t="s">
        <v>251</v>
      </c>
      <c r="AJ3" s="166" t="s">
        <v>250</v>
      </c>
      <c r="AK3" s="175" t="s">
        <v>249</v>
      </c>
      <c r="AL3" s="177" t="s">
        <v>248</v>
      </c>
      <c r="AM3" s="162" t="s">
        <v>247</v>
      </c>
      <c r="AN3" s="157" t="s">
        <v>109</v>
      </c>
      <c r="AO3" s="159" t="s">
        <v>246</v>
      </c>
      <c r="AP3" s="161" t="s">
        <v>245</v>
      </c>
      <c r="AQ3" s="156" t="s">
        <v>244</v>
      </c>
      <c r="AR3" s="156" t="s">
        <v>243</v>
      </c>
      <c r="AS3" s="156" t="s">
        <v>242</v>
      </c>
      <c r="AT3" s="156" t="s">
        <v>241</v>
      </c>
    </row>
    <row r="4" spans="1:46" s="5" customFormat="1" ht="39.75" customHeight="1" thickBot="1" x14ac:dyDescent="0.2">
      <c r="A4" s="165"/>
      <c r="B4" s="167"/>
      <c r="C4" s="109" t="s">
        <v>97</v>
      </c>
      <c r="D4" s="108" t="s">
        <v>235</v>
      </c>
      <c r="E4" s="105" t="s">
        <v>234</v>
      </c>
      <c r="F4" s="105" t="s">
        <v>240</v>
      </c>
      <c r="G4" s="105" t="s">
        <v>232</v>
      </c>
      <c r="H4" s="111" t="s">
        <v>239</v>
      </c>
      <c r="I4" s="109" t="s">
        <v>236</v>
      </c>
      <c r="J4" s="108" t="s">
        <v>235</v>
      </c>
      <c r="K4" s="107" t="s">
        <v>234</v>
      </c>
      <c r="L4" s="106" t="s">
        <v>233</v>
      </c>
      <c r="M4" s="105" t="s">
        <v>232</v>
      </c>
      <c r="N4" s="172"/>
      <c r="O4" s="109" t="s">
        <v>236</v>
      </c>
      <c r="P4" s="108" t="s">
        <v>235</v>
      </c>
      <c r="Q4" s="105" t="s">
        <v>234</v>
      </c>
      <c r="R4" s="107" t="s">
        <v>233</v>
      </c>
      <c r="S4" s="105" t="s">
        <v>232</v>
      </c>
      <c r="T4" s="110" t="s">
        <v>238</v>
      </c>
      <c r="U4" s="103" t="s">
        <v>237</v>
      </c>
      <c r="V4" s="109" t="s">
        <v>236</v>
      </c>
      <c r="W4" s="108" t="s">
        <v>235</v>
      </c>
      <c r="X4" s="107" t="s">
        <v>234</v>
      </c>
      <c r="Y4" s="106" t="s">
        <v>233</v>
      </c>
      <c r="Z4" s="105" t="s">
        <v>232</v>
      </c>
      <c r="AA4" s="104" t="s">
        <v>231</v>
      </c>
      <c r="AB4" s="103" t="s">
        <v>230</v>
      </c>
      <c r="AC4" s="100" t="s">
        <v>229</v>
      </c>
      <c r="AD4" s="102" t="s">
        <v>228</v>
      </c>
      <c r="AE4" s="102" t="s">
        <v>227</v>
      </c>
      <c r="AF4" s="101" t="s">
        <v>226</v>
      </c>
      <c r="AG4" s="100" t="s">
        <v>225</v>
      </c>
      <c r="AH4" s="100" t="s">
        <v>224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>
        <v>1</v>
      </c>
      <c r="B5" s="35" t="s">
        <v>75</v>
      </c>
      <c r="C5" s="70" t="s">
        <v>223</v>
      </c>
      <c r="D5" s="73"/>
      <c r="E5" s="73"/>
      <c r="F5" s="73"/>
      <c r="G5" s="51"/>
      <c r="H5" s="45"/>
      <c r="I5" s="38">
        <v>1</v>
      </c>
      <c r="J5" s="30"/>
      <c r="K5" s="29"/>
      <c r="L5" s="30"/>
      <c r="M5" s="27"/>
      <c r="N5" s="26">
        <f t="shared" ref="N5:N36" si="0">SUM(I5:M5)</f>
        <v>1</v>
      </c>
      <c r="O5" s="65">
        <v>15</v>
      </c>
      <c r="P5" s="23">
        <v>15</v>
      </c>
      <c r="Q5" s="42"/>
      <c r="R5" s="42"/>
      <c r="S5" s="42"/>
      <c r="T5" s="20">
        <f t="shared" ref="T5:T36" si="1">ROUND(((O5*I5)+(P5*J5)+(Q5*K5)+(R5*L5)+(S5*M5)),2)</f>
        <v>15</v>
      </c>
      <c r="U5" s="19">
        <f t="shared" ref="U5:U36" si="2">IF(T5&gt;=15,15,T5)</f>
        <v>15</v>
      </c>
      <c r="V5" s="99">
        <v>59183685000</v>
      </c>
      <c r="W5" s="98"/>
      <c r="X5" s="59"/>
      <c r="Y5" s="22"/>
      <c r="Z5" s="21"/>
      <c r="AA5" s="20">
        <f t="shared" ref="AA5:AA36" si="3">ROUND((((V5*I5)+(W5*J5)+(X5*K5)+(Y5*L5)+(Z5*M5))/$I$2*15),2)</f>
        <v>63.03</v>
      </c>
      <c r="AB5" s="19">
        <f t="shared" ref="AB5:AB36" si="4">IF(AA5&gt;=15,15,AA5)</f>
        <v>15</v>
      </c>
      <c r="AC5" s="16">
        <v>20</v>
      </c>
      <c r="AD5" s="83"/>
      <c r="AE5" s="97"/>
      <c r="AF5" s="23">
        <f t="shared" ref="AF5:AF36" si="5">IF((U5+AB5+AD5)&gt;=30,30,(U5+AB5+AD5))</f>
        <v>30</v>
      </c>
      <c r="AG5" s="16">
        <v>45</v>
      </c>
      <c r="AH5" s="23">
        <f t="shared" ref="AH5:AH36" si="6">AC5+AF5+AG5+AE5</f>
        <v>95</v>
      </c>
      <c r="AI5" s="14">
        <f t="shared" ref="AI5:AI36" si="7">-((50-((176+(45+(30-AF5)))))/200)</f>
        <v>0.85499999999999998</v>
      </c>
      <c r="AJ5" s="13"/>
      <c r="AK5" s="12">
        <v>0.01</v>
      </c>
      <c r="AL5" s="11">
        <f t="shared" ref="AL5:AL36" si="8">100%+AK5</f>
        <v>1.01</v>
      </c>
      <c r="AM5" s="10">
        <f t="shared" ref="AM5:AM36" si="9">ROUNDUP($D$2*AI5*AL5,-3)</f>
        <v>6081330000</v>
      </c>
      <c r="AN5" s="9"/>
      <c r="AO5" s="16"/>
      <c r="AP5" s="81"/>
      <c r="AQ5" s="81"/>
      <c r="AR5" s="8"/>
      <c r="AS5" s="7"/>
      <c r="AT5" s="6">
        <f t="shared" ref="AT5:AT36" si="10">(AO5*J5)+(AP5*K5)+(AQ5*L5)+(AR5*M5)+(AS5*N5)</f>
        <v>0</v>
      </c>
    </row>
    <row r="6" spans="1:46" s="37" customFormat="1" ht="45.75" customHeight="1" thickBot="1" x14ac:dyDescent="0.2">
      <c r="A6" s="35">
        <v>2</v>
      </c>
      <c r="B6" s="35" t="s">
        <v>75</v>
      </c>
      <c r="C6" s="96" t="s">
        <v>222</v>
      </c>
      <c r="D6" s="73"/>
      <c r="E6" s="73"/>
      <c r="F6" s="73"/>
      <c r="G6" s="51"/>
      <c r="H6" s="45"/>
      <c r="I6" s="38">
        <v>1</v>
      </c>
      <c r="J6" s="30"/>
      <c r="K6" s="29"/>
      <c r="L6" s="30"/>
      <c r="M6" s="27"/>
      <c r="N6" s="26">
        <f t="shared" si="0"/>
        <v>1</v>
      </c>
      <c r="O6" s="65">
        <v>15</v>
      </c>
      <c r="P6" s="23">
        <v>15</v>
      </c>
      <c r="Q6" s="42"/>
      <c r="R6" s="42"/>
      <c r="S6" s="42"/>
      <c r="T6" s="20">
        <f t="shared" si="1"/>
        <v>15</v>
      </c>
      <c r="U6" s="19">
        <f t="shared" si="2"/>
        <v>15</v>
      </c>
      <c r="V6" s="52">
        <v>39361754000</v>
      </c>
      <c r="W6" s="59"/>
      <c r="X6" s="59"/>
      <c r="Y6" s="41"/>
      <c r="Z6" s="21"/>
      <c r="AA6" s="20">
        <f t="shared" si="3"/>
        <v>41.92</v>
      </c>
      <c r="AB6" s="19">
        <f t="shared" si="4"/>
        <v>15</v>
      </c>
      <c r="AC6" s="16">
        <v>20</v>
      </c>
      <c r="AD6" s="18"/>
      <c r="AE6" s="17"/>
      <c r="AF6" s="23">
        <f t="shared" si="5"/>
        <v>30</v>
      </c>
      <c r="AG6" s="16">
        <v>45</v>
      </c>
      <c r="AH6" s="23">
        <f t="shared" si="6"/>
        <v>95</v>
      </c>
      <c r="AI6" s="14">
        <f t="shared" si="7"/>
        <v>0.85499999999999998</v>
      </c>
      <c r="AJ6" s="13"/>
      <c r="AK6" s="12">
        <v>0.01</v>
      </c>
      <c r="AL6" s="11">
        <f t="shared" si="8"/>
        <v>1.01</v>
      </c>
      <c r="AM6" s="10">
        <f t="shared" si="9"/>
        <v>6081330000</v>
      </c>
      <c r="AN6" s="9"/>
      <c r="AO6" s="16"/>
      <c r="AP6" s="81"/>
      <c r="AQ6" s="81"/>
      <c r="AR6" s="8"/>
      <c r="AS6" s="7"/>
      <c r="AT6" s="6">
        <f t="shared" si="10"/>
        <v>0</v>
      </c>
    </row>
    <row r="7" spans="1:46" s="37" customFormat="1" ht="45.75" customHeight="1" thickBot="1" x14ac:dyDescent="0.2">
      <c r="A7" s="35">
        <v>3</v>
      </c>
      <c r="B7" s="35" t="s">
        <v>75</v>
      </c>
      <c r="C7" s="96" t="s">
        <v>221</v>
      </c>
      <c r="D7" s="73"/>
      <c r="E7" s="73"/>
      <c r="F7" s="73"/>
      <c r="G7" s="51"/>
      <c r="H7" s="45"/>
      <c r="I7" s="38">
        <v>1</v>
      </c>
      <c r="J7" s="30"/>
      <c r="K7" s="29"/>
      <c r="L7" s="30"/>
      <c r="M7" s="27"/>
      <c r="N7" s="26">
        <f t="shared" si="0"/>
        <v>1</v>
      </c>
      <c r="O7" s="65">
        <v>15</v>
      </c>
      <c r="P7" s="23">
        <v>15</v>
      </c>
      <c r="Q7" s="42"/>
      <c r="R7" s="42"/>
      <c r="S7" s="42"/>
      <c r="T7" s="20">
        <f t="shared" si="1"/>
        <v>15</v>
      </c>
      <c r="U7" s="19">
        <f t="shared" si="2"/>
        <v>15</v>
      </c>
      <c r="V7" s="52">
        <v>34748832000</v>
      </c>
      <c r="W7" s="59"/>
      <c r="X7" s="59"/>
      <c r="Y7" s="48"/>
      <c r="Z7" s="21"/>
      <c r="AA7" s="20">
        <f t="shared" si="3"/>
        <v>37.01</v>
      </c>
      <c r="AB7" s="19">
        <f t="shared" si="4"/>
        <v>15</v>
      </c>
      <c r="AC7" s="16">
        <v>20</v>
      </c>
      <c r="AD7" s="18"/>
      <c r="AE7" s="17"/>
      <c r="AF7" s="23">
        <f t="shared" si="5"/>
        <v>30</v>
      </c>
      <c r="AG7" s="16">
        <v>45</v>
      </c>
      <c r="AH7" s="23">
        <f t="shared" si="6"/>
        <v>95</v>
      </c>
      <c r="AI7" s="14">
        <f t="shared" si="7"/>
        <v>0.85499999999999998</v>
      </c>
      <c r="AJ7" s="13"/>
      <c r="AK7" s="12">
        <v>0.01</v>
      </c>
      <c r="AL7" s="11">
        <f t="shared" si="8"/>
        <v>1.01</v>
      </c>
      <c r="AM7" s="10">
        <f t="shared" si="9"/>
        <v>6081330000</v>
      </c>
      <c r="AN7" s="9"/>
      <c r="AO7" s="16"/>
      <c r="AP7" s="81"/>
      <c r="AQ7" s="81"/>
      <c r="AR7" s="8"/>
      <c r="AS7" s="7"/>
      <c r="AT7" s="6">
        <f t="shared" si="10"/>
        <v>0</v>
      </c>
    </row>
    <row r="8" spans="1:46" s="37" customFormat="1" ht="45.75" customHeight="1" thickBot="1" x14ac:dyDescent="0.2">
      <c r="A8" s="35">
        <v>4</v>
      </c>
      <c r="B8" s="35" t="s">
        <v>75</v>
      </c>
      <c r="C8" s="70" t="s">
        <v>220</v>
      </c>
      <c r="D8" s="73"/>
      <c r="E8" s="73"/>
      <c r="F8" s="73"/>
      <c r="G8" s="51"/>
      <c r="H8" s="45"/>
      <c r="I8" s="38">
        <v>1</v>
      </c>
      <c r="J8" s="30"/>
      <c r="K8" s="29"/>
      <c r="L8" s="28"/>
      <c r="M8" s="27"/>
      <c r="N8" s="26">
        <f t="shared" si="0"/>
        <v>1</v>
      </c>
      <c r="O8" s="65">
        <v>15</v>
      </c>
      <c r="P8" s="23">
        <v>15</v>
      </c>
      <c r="Q8" s="42"/>
      <c r="R8" s="42"/>
      <c r="S8" s="42"/>
      <c r="T8" s="20">
        <f t="shared" si="1"/>
        <v>15</v>
      </c>
      <c r="U8" s="19">
        <f t="shared" si="2"/>
        <v>15</v>
      </c>
      <c r="V8" s="41">
        <v>57539030000</v>
      </c>
      <c r="W8" s="59"/>
      <c r="X8" s="59"/>
      <c r="Y8" s="22"/>
      <c r="Z8" s="21"/>
      <c r="AA8" s="20">
        <f t="shared" si="3"/>
        <v>61.28</v>
      </c>
      <c r="AB8" s="19">
        <f t="shared" si="4"/>
        <v>15</v>
      </c>
      <c r="AC8" s="16">
        <v>20</v>
      </c>
      <c r="AD8" s="18"/>
      <c r="AE8" s="17"/>
      <c r="AF8" s="23">
        <f t="shared" si="5"/>
        <v>30</v>
      </c>
      <c r="AG8" s="16">
        <v>45</v>
      </c>
      <c r="AH8" s="23">
        <f t="shared" si="6"/>
        <v>95</v>
      </c>
      <c r="AI8" s="14">
        <f t="shared" si="7"/>
        <v>0.85499999999999998</v>
      </c>
      <c r="AJ8" s="13"/>
      <c r="AK8" s="12">
        <v>0.01</v>
      </c>
      <c r="AL8" s="11">
        <f t="shared" si="8"/>
        <v>1.01</v>
      </c>
      <c r="AM8" s="10">
        <f t="shared" si="9"/>
        <v>6081330000</v>
      </c>
      <c r="AN8" s="9"/>
      <c r="AO8" s="16"/>
      <c r="AP8" s="81"/>
      <c r="AQ8" s="81"/>
      <c r="AR8" s="8"/>
      <c r="AS8" s="7"/>
      <c r="AT8" s="6">
        <f t="shared" si="10"/>
        <v>0</v>
      </c>
    </row>
    <row r="9" spans="1:46" s="37" customFormat="1" ht="45.75" customHeight="1" thickBot="1" x14ac:dyDescent="0.2">
      <c r="A9" s="35">
        <v>5</v>
      </c>
      <c r="B9" s="35" t="s">
        <v>75</v>
      </c>
      <c r="C9" s="96" t="s">
        <v>80</v>
      </c>
      <c r="D9" s="73"/>
      <c r="E9" s="73"/>
      <c r="F9" s="73"/>
      <c r="G9" s="51"/>
      <c r="H9" s="45"/>
      <c r="I9" s="38">
        <v>1</v>
      </c>
      <c r="J9" s="30"/>
      <c r="K9" s="29"/>
      <c r="L9" s="28"/>
      <c r="M9" s="27"/>
      <c r="N9" s="26">
        <f t="shared" si="0"/>
        <v>1</v>
      </c>
      <c r="O9" s="65">
        <v>15</v>
      </c>
      <c r="P9" s="23">
        <v>15</v>
      </c>
      <c r="Q9" s="42"/>
      <c r="R9" s="42"/>
      <c r="S9" s="23"/>
      <c r="T9" s="20">
        <f t="shared" si="1"/>
        <v>15</v>
      </c>
      <c r="U9" s="19">
        <f t="shared" si="2"/>
        <v>15</v>
      </c>
      <c r="V9" s="52">
        <v>14977246000</v>
      </c>
      <c r="W9" s="59"/>
      <c r="X9" s="59"/>
      <c r="Y9" s="57"/>
      <c r="Z9" s="21"/>
      <c r="AA9" s="20">
        <f t="shared" si="3"/>
        <v>15.95</v>
      </c>
      <c r="AB9" s="19">
        <f t="shared" si="4"/>
        <v>15</v>
      </c>
      <c r="AC9" s="16">
        <v>20</v>
      </c>
      <c r="AD9" s="18"/>
      <c r="AE9" s="17"/>
      <c r="AF9" s="23">
        <f t="shared" si="5"/>
        <v>30</v>
      </c>
      <c r="AG9" s="16">
        <v>45</v>
      </c>
      <c r="AH9" s="23">
        <f t="shared" si="6"/>
        <v>95</v>
      </c>
      <c r="AI9" s="14">
        <f t="shared" si="7"/>
        <v>0.85499999999999998</v>
      </c>
      <c r="AJ9" s="13"/>
      <c r="AK9" s="12">
        <v>0.01</v>
      </c>
      <c r="AL9" s="11">
        <f t="shared" si="8"/>
        <v>1.01</v>
      </c>
      <c r="AM9" s="10">
        <f t="shared" si="9"/>
        <v>6081330000</v>
      </c>
      <c r="AN9" s="9"/>
      <c r="AO9" s="16"/>
      <c r="AP9" s="87"/>
      <c r="AQ9" s="81"/>
      <c r="AR9" s="8"/>
      <c r="AS9" s="7"/>
      <c r="AT9" s="6">
        <f t="shared" si="10"/>
        <v>0</v>
      </c>
    </row>
    <row r="10" spans="1:46" s="37" customFormat="1" ht="45.75" customHeight="1" thickBot="1" x14ac:dyDescent="0.2">
      <c r="A10" s="35">
        <v>6</v>
      </c>
      <c r="B10" s="35" t="s">
        <v>75</v>
      </c>
      <c r="C10" s="80" t="s">
        <v>219</v>
      </c>
      <c r="D10" s="70" t="s">
        <v>218</v>
      </c>
      <c r="E10" s="80" t="s">
        <v>217</v>
      </c>
      <c r="F10" s="73"/>
      <c r="G10" s="51"/>
      <c r="H10" s="45"/>
      <c r="I10" s="38">
        <v>0.4</v>
      </c>
      <c r="J10" s="30">
        <v>0.3</v>
      </c>
      <c r="K10" s="29">
        <v>0.3</v>
      </c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52">
        <v>8216820000</v>
      </c>
      <c r="W10" s="92">
        <v>1346655000</v>
      </c>
      <c r="X10" s="41">
        <v>328448752000</v>
      </c>
      <c r="Y10" s="41"/>
      <c r="Z10" s="21"/>
      <c r="AA10" s="20">
        <f t="shared" si="3"/>
        <v>108.87</v>
      </c>
      <c r="AB10" s="19">
        <f t="shared" si="4"/>
        <v>15</v>
      </c>
      <c r="AC10" s="16">
        <v>20</v>
      </c>
      <c r="AD10" s="18"/>
      <c r="AE10" s="17"/>
      <c r="AF10" s="93">
        <f t="shared" si="5"/>
        <v>30</v>
      </c>
      <c r="AG10" s="74">
        <v>45</v>
      </c>
      <c r="AH10" s="93">
        <f t="shared" si="6"/>
        <v>95</v>
      </c>
      <c r="AI10" s="14">
        <f t="shared" si="7"/>
        <v>0.85499999999999998</v>
      </c>
      <c r="AJ10" s="13"/>
      <c r="AK10" s="12">
        <v>0.01</v>
      </c>
      <c r="AL10" s="11">
        <f t="shared" si="8"/>
        <v>1.01</v>
      </c>
      <c r="AM10" s="10">
        <f t="shared" si="9"/>
        <v>6081330000</v>
      </c>
      <c r="AN10" s="9"/>
      <c r="AO10" s="16"/>
      <c r="AP10" s="71"/>
      <c r="AQ10" s="81"/>
      <c r="AR10" s="8"/>
      <c r="AS10" s="7"/>
      <c r="AT10" s="6">
        <f t="shared" si="10"/>
        <v>0</v>
      </c>
    </row>
    <row r="11" spans="1:46" s="37" customFormat="1" ht="45.75" customHeight="1" thickBot="1" x14ac:dyDescent="0.2">
      <c r="A11" s="35">
        <v>7</v>
      </c>
      <c r="B11" s="35" t="s">
        <v>216</v>
      </c>
      <c r="C11" s="39" t="s">
        <v>215</v>
      </c>
      <c r="D11" s="70" t="s">
        <v>214</v>
      </c>
      <c r="E11" s="80" t="s">
        <v>213</v>
      </c>
      <c r="F11" s="73"/>
      <c r="G11" s="51"/>
      <c r="H11" s="45" t="s">
        <v>212</v>
      </c>
      <c r="I11" s="38">
        <v>0.4</v>
      </c>
      <c r="J11" s="30">
        <v>0.3</v>
      </c>
      <c r="K11" s="29">
        <v>0.3</v>
      </c>
      <c r="L11" s="28"/>
      <c r="M11" s="27"/>
      <c r="N11" s="26">
        <f t="shared" si="0"/>
        <v>1</v>
      </c>
      <c r="O11" s="65">
        <v>15</v>
      </c>
      <c r="P11" s="23">
        <v>15</v>
      </c>
      <c r="Q11" s="42">
        <v>15</v>
      </c>
      <c r="R11" s="42"/>
      <c r="S11" s="23"/>
      <c r="T11" s="20">
        <f t="shared" si="1"/>
        <v>15</v>
      </c>
      <c r="U11" s="19">
        <f t="shared" si="2"/>
        <v>15</v>
      </c>
      <c r="V11" s="84">
        <v>3664456000</v>
      </c>
      <c r="W11" s="89"/>
      <c r="X11" s="41">
        <v>130509297000</v>
      </c>
      <c r="Y11" s="91"/>
      <c r="Z11" s="21"/>
      <c r="AA11" s="20">
        <f t="shared" si="3"/>
        <v>43.26</v>
      </c>
      <c r="AB11" s="19">
        <f t="shared" si="4"/>
        <v>15</v>
      </c>
      <c r="AC11" s="16">
        <v>20</v>
      </c>
      <c r="AD11" s="18"/>
      <c r="AE11" s="17"/>
      <c r="AF11" s="23">
        <f t="shared" si="5"/>
        <v>30</v>
      </c>
      <c r="AG11" s="16">
        <v>45</v>
      </c>
      <c r="AH11" s="23">
        <f t="shared" si="6"/>
        <v>95</v>
      </c>
      <c r="AI11" s="14">
        <f t="shared" si="7"/>
        <v>0.85499999999999998</v>
      </c>
      <c r="AJ11" s="13"/>
      <c r="AK11" s="12">
        <v>0.01</v>
      </c>
      <c r="AL11" s="11">
        <f t="shared" si="8"/>
        <v>1.01</v>
      </c>
      <c r="AM11" s="10">
        <f t="shared" si="9"/>
        <v>6081330000</v>
      </c>
      <c r="AN11" s="9"/>
      <c r="AO11" s="16"/>
      <c r="AP11" s="71"/>
      <c r="AQ11" s="71"/>
      <c r="AR11" s="8"/>
      <c r="AS11" s="7"/>
      <c r="AT11" s="6">
        <f t="shared" si="10"/>
        <v>0</v>
      </c>
    </row>
    <row r="12" spans="1:46" s="37" customFormat="1" ht="45.75" customHeight="1" thickBot="1" x14ac:dyDescent="0.2">
      <c r="A12" s="35">
        <v>8</v>
      </c>
      <c r="B12" s="35" t="s">
        <v>75</v>
      </c>
      <c r="C12" s="70" t="s">
        <v>211</v>
      </c>
      <c r="D12" s="73" t="s">
        <v>210</v>
      </c>
      <c r="E12" s="73"/>
      <c r="F12" s="73"/>
      <c r="G12" s="51"/>
      <c r="H12" s="45"/>
      <c r="I12" s="38">
        <v>0.6</v>
      </c>
      <c r="J12" s="30">
        <v>0.4</v>
      </c>
      <c r="K12" s="29"/>
      <c r="L12" s="28"/>
      <c r="M12" s="27"/>
      <c r="N12" s="26">
        <f t="shared" si="0"/>
        <v>1</v>
      </c>
      <c r="O12" s="65">
        <v>15</v>
      </c>
      <c r="P12" s="23">
        <v>15</v>
      </c>
      <c r="Q12" s="42"/>
      <c r="R12" s="42"/>
      <c r="S12" s="23"/>
      <c r="T12" s="20">
        <f t="shared" si="1"/>
        <v>15</v>
      </c>
      <c r="U12" s="19">
        <f t="shared" si="2"/>
        <v>15</v>
      </c>
      <c r="V12" s="22">
        <v>8139504000</v>
      </c>
      <c r="W12" s="59">
        <v>58909982000</v>
      </c>
      <c r="X12" s="59"/>
      <c r="Y12" s="92"/>
      <c r="Z12" s="68"/>
      <c r="AA12" s="20">
        <f t="shared" si="3"/>
        <v>30.3</v>
      </c>
      <c r="AB12" s="19">
        <f t="shared" si="4"/>
        <v>15</v>
      </c>
      <c r="AC12" s="16">
        <v>20</v>
      </c>
      <c r="AD12" s="18"/>
      <c r="AE12" s="17"/>
      <c r="AF12" s="23">
        <f t="shared" si="5"/>
        <v>30</v>
      </c>
      <c r="AG12" s="16">
        <v>45</v>
      </c>
      <c r="AH12" s="23">
        <f t="shared" si="6"/>
        <v>95</v>
      </c>
      <c r="AI12" s="14">
        <f t="shared" si="7"/>
        <v>0.85499999999999998</v>
      </c>
      <c r="AJ12" s="13"/>
      <c r="AK12" s="12">
        <v>0.01</v>
      </c>
      <c r="AL12" s="11">
        <f t="shared" si="8"/>
        <v>1.01</v>
      </c>
      <c r="AM12" s="10">
        <f t="shared" si="9"/>
        <v>6081330000</v>
      </c>
      <c r="AN12" s="9"/>
      <c r="AO12" s="16"/>
      <c r="AP12" s="72"/>
      <c r="AQ12" s="71"/>
      <c r="AR12" s="8"/>
      <c r="AS12" s="7"/>
      <c r="AT12" s="6">
        <f t="shared" si="10"/>
        <v>0</v>
      </c>
    </row>
    <row r="13" spans="1:46" s="37" customFormat="1" ht="45.75" customHeight="1" thickBot="1" x14ac:dyDescent="0.2">
      <c r="A13" s="35">
        <v>9</v>
      </c>
      <c r="B13" s="35" t="s">
        <v>75</v>
      </c>
      <c r="C13" s="70" t="s">
        <v>209</v>
      </c>
      <c r="D13" s="73" t="s">
        <v>208</v>
      </c>
      <c r="E13" s="73"/>
      <c r="F13" s="73"/>
      <c r="G13" s="51"/>
      <c r="H13" s="45"/>
      <c r="I13" s="38">
        <v>0.51</v>
      </c>
      <c r="J13" s="30">
        <v>0.49</v>
      </c>
      <c r="K13" s="29"/>
      <c r="L13" s="28"/>
      <c r="M13" s="29"/>
      <c r="N13" s="26">
        <f t="shared" si="0"/>
        <v>1</v>
      </c>
      <c r="O13" s="23">
        <v>15</v>
      </c>
      <c r="P13" s="23">
        <v>15</v>
      </c>
      <c r="Q13" s="42"/>
      <c r="R13" s="42"/>
      <c r="S13" s="24"/>
      <c r="T13" s="20">
        <f t="shared" si="1"/>
        <v>15</v>
      </c>
      <c r="U13" s="19">
        <f t="shared" si="2"/>
        <v>15</v>
      </c>
      <c r="V13" s="78">
        <v>13914818000</v>
      </c>
      <c r="W13" s="78">
        <v>14778554000</v>
      </c>
      <c r="X13" s="22"/>
      <c r="Y13" s="22"/>
      <c r="Z13" s="22"/>
      <c r="AA13" s="20">
        <f t="shared" si="3"/>
        <v>15.27</v>
      </c>
      <c r="AB13" s="19">
        <f t="shared" si="4"/>
        <v>15</v>
      </c>
      <c r="AC13" s="16">
        <v>20</v>
      </c>
      <c r="AD13" s="18"/>
      <c r="AE13" s="17"/>
      <c r="AF13" s="23">
        <f t="shared" si="5"/>
        <v>30</v>
      </c>
      <c r="AG13" s="16">
        <v>45</v>
      </c>
      <c r="AH13" s="23">
        <f t="shared" si="6"/>
        <v>95</v>
      </c>
      <c r="AI13" s="14">
        <f t="shared" si="7"/>
        <v>0.85499999999999998</v>
      </c>
      <c r="AJ13" s="13"/>
      <c r="AK13" s="12">
        <v>0.01</v>
      </c>
      <c r="AL13" s="11">
        <f t="shared" si="8"/>
        <v>1.01</v>
      </c>
      <c r="AM13" s="10">
        <f t="shared" si="9"/>
        <v>6081330000</v>
      </c>
      <c r="AN13" s="9"/>
      <c r="AO13" s="8"/>
      <c r="AP13" s="8"/>
      <c r="AQ13" s="8"/>
      <c r="AR13" s="8"/>
      <c r="AS13" s="7"/>
      <c r="AT13" s="6">
        <f t="shared" si="10"/>
        <v>0</v>
      </c>
    </row>
    <row r="14" spans="1:46" s="37" customFormat="1" ht="45.75" customHeight="1" thickBot="1" x14ac:dyDescent="0.2">
      <c r="A14" s="35">
        <v>10</v>
      </c>
      <c r="B14" s="35" t="s">
        <v>75</v>
      </c>
      <c r="C14" s="70" t="s">
        <v>207</v>
      </c>
      <c r="D14" s="73" t="s">
        <v>206</v>
      </c>
      <c r="E14" s="73"/>
      <c r="F14" s="73"/>
      <c r="G14" s="51"/>
      <c r="H14" s="45"/>
      <c r="I14" s="38">
        <v>0.51</v>
      </c>
      <c r="J14" s="30">
        <v>0.49</v>
      </c>
      <c r="K14" s="29"/>
      <c r="L14" s="30"/>
      <c r="M14" s="27"/>
      <c r="N14" s="26">
        <f t="shared" si="0"/>
        <v>1</v>
      </c>
      <c r="O14" s="65">
        <v>15</v>
      </c>
      <c r="P14" s="23">
        <v>15</v>
      </c>
      <c r="Q14" s="42"/>
      <c r="R14" s="42"/>
      <c r="S14" s="42"/>
      <c r="T14" s="20">
        <f t="shared" si="1"/>
        <v>15</v>
      </c>
      <c r="U14" s="19">
        <f t="shared" si="2"/>
        <v>15</v>
      </c>
      <c r="V14" s="79">
        <v>7702371000</v>
      </c>
      <c r="W14" s="22">
        <v>78106522000</v>
      </c>
      <c r="X14" s="92"/>
      <c r="Y14" s="91"/>
      <c r="Z14" s="21"/>
      <c r="AA14" s="20">
        <f t="shared" si="3"/>
        <v>44.94</v>
      </c>
      <c r="AB14" s="19">
        <f t="shared" si="4"/>
        <v>15</v>
      </c>
      <c r="AC14" s="16">
        <v>20</v>
      </c>
      <c r="AD14" s="18"/>
      <c r="AE14" s="17"/>
      <c r="AF14" s="23">
        <f t="shared" si="5"/>
        <v>30</v>
      </c>
      <c r="AG14" s="16">
        <v>45</v>
      </c>
      <c r="AH14" s="23">
        <f t="shared" si="6"/>
        <v>95</v>
      </c>
      <c r="AI14" s="14">
        <f t="shared" si="7"/>
        <v>0.85499999999999998</v>
      </c>
      <c r="AJ14" s="13"/>
      <c r="AK14" s="12">
        <v>0.01</v>
      </c>
      <c r="AL14" s="11">
        <f t="shared" si="8"/>
        <v>1.01</v>
      </c>
      <c r="AM14" s="10">
        <f t="shared" si="9"/>
        <v>6081330000</v>
      </c>
      <c r="AN14" s="9"/>
      <c r="AO14" s="72"/>
      <c r="AP14" s="16"/>
      <c r="AQ14" s="16"/>
      <c r="AR14" s="8"/>
      <c r="AS14" s="7"/>
      <c r="AT14" s="6">
        <f t="shared" si="10"/>
        <v>0</v>
      </c>
    </row>
    <row r="15" spans="1:46" s="37" customFormat="1" ht="45.75" customHeight="1" thickBot="1" x14ac:dyDescent="0.2">
      <c r="A15" s="35">
        <v>11</v>
      </c>
      <c r="B15" s="35" t="s">
        <v>75</v>
      </c>
      <c r="C15" s="73" t="s">
        <v>205</v>
      </c>
      <c r="D15" s="70" t="s">
        <v>204</v>
      </c>
      <c r="E15" s="73" t="s">
        <v>203</v>
      </c>
      <c r="F15" s="73"/>
      <c r="G15" s="51"/>
      <c r="H15" s="77"/>
      <c r="I15" s="38">
        <v>0.4</v>
      </c>
      <c r="J15" s="30">
        <v>0.3</v>
      </c>
      <c r="K15" s="29">
        <v>0.3</v>
      </c>
      <c r="L15" s="28"/>
      <c r="M15" s="27"/>
      <c r="N15" s="26">
        <f t="shared" si="0"/>
        <v>1</v>
      </c>
      <c r="O15" s="65">
        <v>15</v>
      </c>
      <c r="P15" s="23">
        <v>15</v>
      </c>
      <c r="Q15" s="23">
        <v>15</v>
      </c>
      <c r="R15" s="42"/>
      <c r="S15" s="23"/>
      <c r="T15" s="20">
        <f t="shared" si="1"/>
        <v>15</v>
      </c>
      <c r="U15" s="19">
        <f t="shared" si="2"/>
        <v>15</v>
      </c>
      <c r="V15" s="59">
        <v>3815383000</v>
      </c>
      <c r="W15" s="68">
        <v>1803756000</v>
      </c>
      <c r="X15" s="89">
        <v>99999999999</v>
      </c>
      <c r="Y15" s="22"/>
      <c r="Z15" s="68"/>
      <c r="AA15" s="20">
        <f t="shared" si="3"/>
        <v>34.15</v>
      </c>
      <c r="AB15" s="19">
        <f t="shared" si="4"/>
        <v>15</v>
      </c>
      <c r="AC15" s="16">
        <v>20</v>
      </c>
      <c r="AD15" s="18"/>
      <c r="AE15" s="17"/>
      <c r="AF15" s="23">
        <f t="shared" si="5"/>
        <v>30</v>
      </c>
      <c r="AG15" s="16">
        <v>45</v>
      </c>
      <c r="AH15" s="23">
        <f t="shared" si="6"/>
        <v>95</v>
      </c>
      <c r="AI15" s="14">
        <f t="shared" si="7"/>
        <v>0.85499999999999998</v>
      </c>
      <c r="AJ15" s="13"/>
      <c r="AK15" s="12">
        <v>0.01</v>
      </c>
      <c r="AL15" s="11">
        <f t="shared" si="8"/>
        <v>1.01</v>
      </c>
      <c r="AM15" s="10">
        <f t="shared" si="9"/>
        <v>6081330000</v>
      </c>
      <c r="AN15" s="9"/>
      <c r="AO15" s="16"/>
      <c r="AP15" s="71"/>
      <c r="AQ15" s="16"/>
      <c r="AR15" s="8"/>
      <c r="AS15" s="7"/>
      <c r="AT15" s="6">
        <f t="shared" si="10"/>
        <v>0</v>
      </c>
    </row>
    <row r="16" spans="1:46" s="37" customFormat="1" ht="45.75" customHeight="1" thickBot="1" x14ac:dyDescent="0.2">
      <c r="A16" s="35">
        <v>12</v>
      </c>
      <c r="B16" s="35" t="s">
        <v>75</v>
      </c>
      <c r="C16" s="80" t="s">
        <v>202</v>
      </c>
      <c r="D16" s="70" t="s">
        <v>29</v>
      </c>
      <c r="E16" s="73"/>
      <c r="F16" s="73"/>
      <c r="G16" s="51"/>
      <c r="H16" s="45"/>
      <c r="I16" s="38">
        <v>0.7</v>
      </c>
      <c r="J16" s="30">
        <v>0.3</v>
      </c>
      <c r="K16" s="29"/>
      <c r="L16" s="28"/>
      <c r="M16" s="27"/>
      <c r="N16" s="26">
        <f t="shared" si="0"/>
        <v>1</v>
      </c>
      <c r="O16" s="65">
        <v>15</v>
      </c>
      <c r="P16" s="23">
        <v>15</v>
      </c>
      <c r="Q16" s="42"/>
      <c r="R16" s="42"/>
      <c r="S16" s="23"/>
      <c r="T16" s="20">
        <f t="shared" si="1"/>
        <v>15</v>
      </c>
      <c r="U16" s="19">
        <f t="shared" si="2"/>
        <v>15</v>
      </c>
      <c r="V16" s="52">
        <v>229675529000</v>
      </c>
      <c r="W16" s="59">
        <v>4319931000</v>
      </c>
      <c r="X16" s="61"/>
      <c r="Y16" s="22"/>
      <c r="Z16" s="21"/>
      <c r="AA16" s="20">
        <f t="shared" si="3"/>
        <v>172.6</v>
      </c>
      <c r="AB16" s="19">
        <f t="shared" si="4"/>
        <v>15</v>
      </c>
      <c r="AC16" s="16">
        <v>20</v>
      </c>
      <c r="AD16" s="18"/>
      <c r="AE16" s="17"/>
      <c r="AF16" s="23">
        <f t="shared" si="5"/>
        <v>30</v>
      </c>
      <c r="AG16" s="16">
        <v>45</v>
      </c>
      <c r="AH16" s="23">
        <f t="shared" si="6"/>
        <v>95</v>
      </c>
      <c r="AI16" s="14">
        <f t="shared" si="7"/>
        <v>0.85499999999999998</v>
      </c>
      <c r="AJ16" s="13"/>
      <c r="AK16" s="12">
        <v>0.01</v>
      </c>
      <c r="AL16" s="11">
        <f t="shared" si="8"/>
        <v>1.01</v>
      </c>
      <c r="AM16" s="10">
        <f t="shared" si="9"/>
        <v>6081330000</v>
      </c>
      <c r="AN16" s="9"/>
      <c r="AO16" s="74"/>
      <c r="AP16" s="71"/>
      <c r="AQ16" s="71"/>
      <c r="AR16" s="8"/>
      <c r="AS16" s="7"/>
      <c r="AT16" s="6">
        <f t="shared" si="10"/>
        <v>0</v>
      </c>
    </row>
    <row r="17" spans="1:46" s="37" customFormat="1" ht="45.75" customHeight="1" thickBot="1" x14ac:dyDescent="0.2">
      <c r="A17" s="35">
        <v>13</v>
      </c>
      <c r="B17" s="35" t="s">
        <v>75</v>
      </c>
      <c r="C17" s="73" t="s">
        <v>201</v>
      </c>
      <c r="D17" s="70" t="s">
        <v>200</v>
      </c>
      <c r="E17" s="73"/>
      <c r="F17" s="73"/>
      <c r="G17" s="51"/>
      <c r="H17" s="45"/>
      <c r="I17" s="38">
        <v>0.7</v>
      </c>
      <c r="J17" s="30">
        <v>0.3</v>
      </c>
      <c r="K17" s="29"/>
      <c r="L17" s="28"/>
      <c r="M17" s="27"/>
      <c r="N17" s="26">
        <f t="shared" si="0"/>
        <v>1</v>
      </c>
      <c r="O17" s="65">
        <v>15</v>
      </c>
      <c r="P17" s="23">
        <v>15</v>
      </c>
      <c r="Q17" s="42"/>
      <c r="R17" s="42"/>
      <c r="S17" s="23"/>
      <c r="T17" s="20">
        <f t="shared" si="1"/>
        <v>15</v>
      </c>
      <c r="U17" s="19">
        <f t="shared" si="2"/>
        <v>15</v>
      </c>
      <c r="V17" s="59">
        <v>233566701000</v>
      </c>
      <c r="W17" s="59">
        <v>2661422000</v>
      </c>
      <c r="X17" s="76"/>
      <c r="Y17" s="59"/>
      <c r="Z17" s="68"/>
      <c r="AA17" s="20">
        <f t="shared" si="3"/>
        <v>174.97</v>
      </c>
      <c r="AB17" s="19">
        <f t="shared" si="4"/>
        <v>15</v>
      </c>
      <c r="AC17" s="16">
        <v>20</v>
      </c>
      <c r="AD17" s="18"/>
      <c r="AE17" s="17"/>
      <c r="AF17" s="23">
        <f t="shared" si="5"/>
        <v>30</v>
      </c>
      <c r="AG17" s="16">
        <v>45</v>
      </c>
      <c r="AH17" s="23">
        <f t="shared" si="6"/>
        <v>95</v>
      </c>
      <c r="AI17" s="14">
        <f t="shared" si="7"/>
        <v>0.85499999999999998</v>
      </c>
      <c r="AJ17" s="13"/>
      <c r="AK17" s="12">
        <v>0.01</v>
      </c>
      <c r="AL17" s="11">
        <f t="shared" si="8"/>
        <v>1.01</v>
      </c>
      <c r="AM17" s="10">
        <f t="shared" si="9"/>
        <v>6081330000</v>
      </c>
      <c r="AN17" s="9"/>
      <c r="AO17" s="72"/>
      <c r="AP17" s="71"/>
      <c r="AQ17" s="72"/>
      <c r="AR17" s="8"/>
      <c r="AS17" s="7"/>
      <c r="AT17" s="6">
        <f t="shared" si="10"/>
        <v>0</v>
      </c>
    </row>
    <row r="18" spans="1:46" s="37" customFormat="1" ht="45.75" customHeight="1" thickBot="1" x14ac:dyDescent="0.2">
      <c r="A18" s="35">
        <v>14</v>
      </c>
      <c r="B18" s="35" t="s">
        <v>75</v>
      </c>
      <c r="C18" s="73" t="s">
        <v>199</v>
      </c>
      <c r="D18" s="70" t="s">
        <v>198</v>
      </c>
      <c r="E18" s="39" t="s">
        <v>197</v>
      </c>
      <c r="F18" s="73"/>
      <c r="G18" s="51"/>
      <c r="H18" s="45"/>
      <c r="I18" s="38">
        <v>0.5</v>
      </c>
      <c r="J18" s="30">
        <v>0.3</v>
      </c>
      <c r="K18" s="29">
        <v>0.2</v>
      </c>
      <c r="L18" s="30"/>
      <c r="M18" s="27"/>
      <c r="N18" s="26">
        <f t="shared" si="0"/>
        <v>1</v>
      </c>
      <c r="O18" s="65">
        <v>15</v>
      </c>
      <c r="P18" s="23">
        <v>15</v>
      </c>
      <c r="Q18" s="42">
        <v>15</v>
      </c>
      <c r="R18" s="42"/>
      <c r="S18" s="42"/>
      <c r="T18" s="20">
        <f t="shared" si="1"/>
        <v>15</v>
      </c>
      <c r="U18" s="19">
        <f t="shared" si="2"/>
        <v>15</v>
      </c>
      <c r="V18" s="90">
        <v>180536694000</v>
      </c>
      <c r="W18" s="89"/>
      <c r="X18" s="61">
        <v>5383000000</v>
      </c>
      <c r="Y18" s="22"/>
      <c r="Z18" s="21"/>
      <c r="AA18" s="20">
        <f t="shared" si="3"/>
        <v>97.28</v>
      </c>
      <c r="AB18" s="19">
        <f t="shared" si="4"/>
        <v>15</v>
      </c>
      <c r="AC18" s="16">
        <v>20</v>
      </c>
      <c r="AD18" s="83"/>
      <c r="AE18" s="17"/>
      <c r="AF18" s="23">
        <f t="shared" si="5"/>
        <v>30</v>
      </c>
      <c r="AG18" s="16">
        <v>45</v>
      </c>
      <c r="AH18" s="23">
        <f t="shared" si="6"/>
        <v>95</v>
      </c>
      <c r="AI18" s="14">
        <f t="shared" si="7"/>
        <v>0.85499999999999998</v>
      </c>
      <c r="AJ18" s="13"/>
      <c r="AK18" s="12">
        <v>0.01</v>
      </c>
      <c r="AL18" s="11">
        <f t="shared" si="8"/>
        <v>1.01</v>
      </c>
      <c r="AM18" s="10">
        <f t="shared" si="9"/>
        <v>6081330000</v>
      </c>
      <c r="AN18" s="9"/>
      <c r="AO18" s="16"/>
      <c r="AP18" s="87"/>
      <c r="AQ18" s="81"/>
      <c r="AR18" s="8"/>
      <c r="AS18" s="7"/>
      <c r="AT18" s="6">
        <f t="shared" si="10"/>
        <v>0</v>
      </c>
    </row>
    <row r="19" spans="1:46" s="37" customFormat="1" ht="45.75" customHeight="1" thickBot="1" x14ac:dyDescent="0.2">
      <c r="A19" s="35">
        <v>15</v>
      </c>
      <c r="B19" s="35" t="s">
        <v>75</v>
      </c>
      <c r="C19" s="73" t="s">
        <v>196</v>
      </c>
      <c r="D19" s="70" t="s">
        <v>195</v>
      </c>
      <c r="E19" s="73"/>
      <c r="F19" s="73"/>
      <c r="G19" s="51"/>
      <c r="H19" s="45"/>
      <c r="I19" s="38">
        <v>0.6</v>
      </c>
      <c r="J19" s="30">
        <v>0.4</v>
      </c>
      <c r="K19" s="29"/>
      <c r="L19" s="28"/>
      <c r="M19" s="27"/>
      <c r="N19" s="26">
        <f t="shared" si="0"/>
        <v>1</v>
      </c>
      <c r="O19" s="65">
        <v>15</v>
      </c>
      <c r="P19" s="23">
        <v>15</v>
      </c>
      <c r="Q19" s="42"/>
      <c r="R19" s="42"/>
      <c r="S19" s="23"/>
      <c r="T19" s="20">
        <f t="shared" si="1"/>
        <v>15</v>
      </c>
      <c r="U19" s="19">
        <f t="shared" si="2"/>
        <v>15</v>
      </c>
      <c r="V19" s="62">
        <v>618668065000</v>
      </c>
      <c r="W19" s="59">
        <v>3846392000</v>
      </c>
      <c r="X19" s="59"/>
      <c r="Y19" s="59"/>
      <c r="Z19" s="21"/>
      <c r="AA19" s="20">
        <f t="shared" si="3"/>
        <v>396.97</v>
      </c>
      <c r="AB19" s="19">
        <f t="shared" si="4"/>
        <v>15</v>
      </c>
      <c r="AC19" s="16">
        <v>20</v>
      </c>
      <c r="AD19" s="18"/>
      <c r="AE19" s="17"/>
      <c r="AF19" s="23">
        <f t="shared" si="5"/>
        <v>30</v>
      </c>
      <c r="AG19" s="16">
        <v>45</v>
      </c>
      <c r="AH19" s="23">
        <f t="shared" si="6"/>
        <v>95</v>
      </c>
      <c r="AI19" s="14">
        <f t="shared" si="7"/>
        <v>0.85499999999999998</v>
      </c>
      <c r="AJ19" s="13"/>
      <c r="AK19" s="12">
        <v>0.01</v>
      </c>
      <c r="AL19" s="11">
        <f t="shared" si="8"/>
        <v>1.01</v>
      </c>
      <c r="AM19" s="10">
        <f t="shared" si="9"/>
        <v>6081330000</v>
      </c>
      <c r="AN19" s="9"/>
      <c r="AO19" s="16"/>
      <c r="AP19" s="81"/>
      <c r="AQ19" s="87"/>
      <c r="AR19" s="8"/>
      <c r="AS19" s="7"/>
      <c r="AT19" s="6">
        <f t="shared" si="10"/>
        <v>0</v>
      </c>
    </row>
    <row r="20" spans="1:46" s="37" customFormat="1" ht="45.75" customHeight="1" thickBot="1" x14ac:dyDescent="0.2">
      <c r="A20" s="35">
        <v>16</v>
      </c>
      <c r="B20" s="35" t="s">
        <v>75</v>
      </c>
      <c r="C20" s="73" t="s">
        <v>194</v>
      </c>
      <c r="D20" s="75" t="s">
        <v>193</v>
      </c>
      <c r="E20" s="73"/>
      <c r="F20" s="73"/>
      <c r="G20" s="51"/>
      <c r="H20" s="45"/>
      <c r="I20" s="38">
        <v>0.6</v>
      </c>
      <c r="J20" s="30">
        <v>0.4</v>
      </c>
      <c r="K20" s="29"/>
      <c r="L20" s="28"/>
      <c r="M20" s="27"/>
      <c r="N20" s="26">
        <f t="shared" si="0"/>
        <v>1</v>
      </c>
      <c r="O20" s="65">
        <v>15</v>
      </c>
      <c r="P20" s="23">
        <v>15</v>
      </c>
      <c r="Q20" s="23"/>
      <c r="R20" s="42"/>
      <c r="S20" s="23"/>
      <c r="T20" s="20">
        <f t="shared" si="1"/>
        <v>15</v>
      </c>
      <c r="U20" s="19">
        <f t="shared" si="2"/>
        <v>15</v>
      </c>
      <c r="V20" s="62">
        <v>227887155000</v>
      </c>
      <c r="W20" s="68">
        <v>4356569000</v>
      </c>
      <c r="X20" s="59"/>
      <c r="Y20" s="22"/>
      <c r="Z20" s="21"/>
      <c r="AA20" s="20">
        <f t="shared" si="3"/>
        <v>147.47999999999999</v>
      </c>
      <c r="AB20" s="19">
        <f t="shared" si="4"/>
        <v>15</v>
      </c>
      <c r="AC20" s="16">
        <v>20</v>
      </c>
      <c r="AD20" s="18"/>
      <c r="AE20" s="17"/>
      <c r="AF20" s="23">
        <f t="shared" si="5"/>
        <v>30</v>
      </c>
      <c r="AG20" s="16">
        <v>45</v>
      </c>
      <c r="AH20" s="23">
        <f t="shared" si="6"/>
        <v>95</v>
      </c>
      <c r="AI20" s="14">
        <f t="shared" si="7"/>
        <v>0.85499999999999998</v>
      </c>
      <c r="AJ20" s="13"/>
      <c r="AK20" s="12">
        <v>0.01</v>
      </c>
      <c r="AL20" s="11">
        <f t="shared" si="8"/>
        <v>1.01</v>
      </c>
      <c r="AM20" s="10">
        <f t="shared" si="9"/>
        <v>6081330000</v>
      </c>
      <c r="AN20" s="9"/>
      <c r="AO20" s="16"/>
      <c r="AP20" s="81"/>
      <c r="AQ20" s="88"/>
      <c r="AR20" s="8"/>
      <c r="AS20" s="7"/>
      <c r="AT20" s="6">
        <f t="shared" si="10"/>
        <v>0</v>
      </c>
    </row>
    <row r="21" spans="1:46" s="37" customFormat="1" ht="45.75" customHeight="1" thickBot="1" x14ac:dyDescent="0.2">
      <c r="A21" s="35">
        <v>17</v>
      </c>
      <c r="B21" s="35" t="s">
        <v>75</v>
      </c>
      <c r="C21" s="39" t="s">
        <v>192</v>
      </c>
      <c r="D21" s="70" t="s">
        <v>191</v>
      </c>
      <c r="E21" s="73"/>
      <c r="F21" s="63"/>
      <c r="G21" s="51"/>
      <c r="H21" s="45"/>
      <c r="I21" s="38">
        <v>0.6</v>
      </c>
      <c r="J21" s="30">
        <v>0.4</v>
      </c>
      <c r="K21" s="29"/>
      <c r="L21" s="28"/>
      <c r="M21" s="27"/>
      <c r="N21" s="26">
        <f t="shared" si="0"/>
        <v>1</v>
      </c>
      <c r="O21" s="65">
        <v>15</v>
      </c>
      <c r="P21" s="23">
        <v>15</v>
      </c>
      <c r="Q21" s="42"/>
      <c r="R21" s="42"/>
      <c r="S21" s="42"/>
      <c r="T21" s="20">
        <f t="shared" si="1"/>
        <v>15</v>
      </c>
      <c r="U21" s="19">
        <f t="shared" si="2"/>
        <v>15</v>
      </c>
      <c r="V21" s="61">
        <v>75890281000</v>
      </c>
      <c r="W21" s="22">
        <v>1880242000</v>
      </c>
      <c r="X21" s="59"/>
      <c r="Y21" s="48"/>
      <c r="Z21" s="21"/>
      <c r="AA21" s="20">
        <f t="shared" si="3"/>
        <v>49.29</v>
      </c>
      <c r="AB21" s="19">
        <f t="shared" si="4"/>
        <v>15</v>
      </c>
      <c r="AC21" s="16">
        <v>20</v>
      </c>
      <c r="AD21" s="18"/>
      <c r="AE21" s="17"/>
      <c r="AF21" s="23">
        <f t="shared" si="5"/>
        <v>30</v>
      </c>
      <c r="AG21" s="16">
        <v>45</v>
      </c>
      <c r="AH21" s="23">
        <f t="shared" si="6"/>
        <v>95</v>
      </c>
      <c r="AI21" s="14">
        <f t="shared" si="7"/>
        <v>0.85499999999999998</v>
      </c>
      <c r="AJ21" s="13"/>
      <c r="AK21" s="12">
        <v>0.01</v>
      </c>
      <c r="AL21" s="11">
        <f t="shared" si="8"/>
        <v>1.01</v>
      </c>
      <c r="AM21" s="10">
        <f t="shared" si="9"/>
        <v>6081330000</v>
      </c>
      <c r="AN21" s="9"/>
      <c r="AO21" s="8"/>
      <c r="AP21" s="8"/>
      <c r="AQ21" s="8"/>
      <c r="AR21" s="8"/>
      <c r="AS21" s="7"/>
      <c r="AT21" s="6">
        <f t="shared" si="10"/>
        <v>0</v>
      </c>
    </row>
    <row r="22" spans="1:46" s="37" customFormat="1" ht="45.75" customHeight="1" thickBot="1" x14ac:dyDescent="0.2">
      <c r="A22" s="35">
        <v>18</v>
      </c>
      <c r="B22" s="35" t="s">
        <v>75</v>
      </c>
      <c r="C22" s="73" t="s">
        <v>190</v>
      </c>
      <c r="D22" s="96" t="s">
        <v>189</v>
      </c>
      <c r="E22" s="73"/>
      <c r="F22" s="73"/>
      <c r="G22" s="51"/>
      <c r="H22" s="45"/>
      <c r="I22" s="38">
        <v>0.51</v>
      </c>
      <c r="J22" s="30">
        <v>0.49</v>
      </c>
      <c r="K22" s="29"/>
      <c r="L22" s="28"/>
      <c r="M22" s="27"/>
      <c r="N22" s="26">
        <f t="shared" si="0"/>
        <v>1</v>
      </c>
      <c r="O22" s="65">
        <v>15</v>
      </c>
      <c r="P22" s="23">
        <v>15</v>
      </c>
      <c r="Q22" s="42"/>
      <c r="R22" s="42"/>
      <c r="S22" s="23"/>
      <c r="T22" s="20">
        <f t="shared" si="1"/>
        <v>15</v>
      </c>
      <c r="U22" s="19">
        <f t="shared" si="2"/>
        <v>15</v>
      </c>
      <c r="V22" s="59">
        <v>32826052000</v>
      </c>
      <c r="W22" s="48">
        <v>2636399000</v>
      </c>
      <c r="X22" s="59"/>
      <c r="Y22" s="22"/>
      <c r="Z22" s="21"/>
      <c r="AA22" s="20">
        <f t="shared" si="3"/>
        <v>19.21</v>
      </c>
      <c r="AB22" s="19">
        <f t="shared" si="4"/>
        <v>15</v>
      </c>
      <c r="AC22" s="16">
        <v>20</v>
      </c>
      <c r="AD22" s="18"/>
      <c r="AE22" s="17"/>
      <c r="AF22" s="23">
        <f t="shared" si="5"/>
        <v>30</v>
      </c>
      <c r="AG22" s="16">
        <v>45</v>
      </c>
      <c r="AH22" s="23">
        <f t="shared" si="6"/>
        <v>95</v>
      </c>
      <c r="AI22" s="14">
        <f t="shared" si="7"/>
        <v>0.85499999999999998</v>
      </c>
      <c r="AJ22" s="13"/>
      <c r="AK22" s="12">
        <v>0.01</v>
      </c>
      <c r="AL22" s="11">
        <f t="shared" si="8"/>
        <v>1.01</v>
      </c>
      <c r="AM22" s="10">
        <f t="shared" si="9"/>
        <v>6081330000</v>
      </c>
      <c r="AN22" s="9"/>
      <c r="AO22" s="81"/>
      <c r="AP22" s="87"/>
      <c r="AQ22" s="81"/>
      <c r="AR22" s="8"/>
      <c r="AS22" s="7"/>
      <c r="AT22" s="6">
        <f t="shared" si="10"/>
        <v>0</v>
      </c>
    </row>
    <row r="23" spans="1:46" s="37" customFormat="1" ht="45.75" customHeight="1" thickBot="1" x14ac:dyDescent="0.2">
      <c r="A23" s="35">
        <v>19</v>
      </c>
      <c r="B23" s="35" t="s">
        <v>75</v>
      </c>
      <c r="C23" s="73" t="s">
        <v>188</v>
      </c>
      <c r="D23" s="70" t="s">
        <v>187</v>
      </c>
      <c r="E23" s="73"/>
      <c r="F23" s="73"/>
      <c r="G23" s="86"/>
      <c r="H23" s="77"/>
      <c r="I23" s="38">
        <v>0.51</v>
      </c>
      <c r="J23" s="29">
        <v>0.49</v>
      </c>
      <c r="K23" s="29"/>
      <c r="L23" s="28"/>
      <c r="M23" s="27"/>
      <c r="N23" s="26">
        <f t="shared" si="0"/>
        <v>1</v>
      </c>
      <c r="O23" s="65">
        <v>15</v>
      </c>
      <c r="P23" s="23">
        <v>15</v>
      </c>
      <c r="Q23" s="23"/>
      <c r="R23" s="42"/>
      <c r="S23" s="42"/>
      <c r="T23" s="20">
        <f t="shared" si="1"/>
        <v>15</v>
      </c>
      <c r="U23" s="19">
        <f t="shared" si="2"/>
        <v>15</v>
      </c>
      <c r="V23" s="61">
        <v>172249167000</v>
      </c>
      <c r="W23" s="22">
        <v>3097329000</v>
      </c>
      <c r="X23" s="22"/>
      <c r="Y23" s="48"/>
      <c r="Z23" s="22"/>
      <c r="AA23" s="20">
        <f t="shared" si="3"/>
        <v>95.17</v>
      </c>
      <c r="AB23" s="19">
        <f t="shared" si="4"/>
        <v>15</v>
      </c>
      <c r="AC23" s="16">
        <v>20</v>
      </c>
      <c r="AD23" s="18"/>
      <c r="AE23" s="17"/>
      <c r="AF23" s="23">
        <f t="shared" si="5"/>
        <v>30</v>
      </c>
      <c r="AG23" s="16">
        <v>45</v>
      </c>
      <c r="AH23" s="23">
        <f t="shared" si="6"/>
        <v>95</v>
      </c>
      <c r="AI23" s="14">
        <f t="shared" si="7"/>
        <v>0.85499999999999998</v>
      </c>
      <c r="AJ23" s="13"/>
      <c r="AK23" s="12">
        <v>0.01</v>
      </c>
      <c r="AL23" s="11">
        <f t="shared" si="8"/>
        <v>1.01</v>
      </c>
      <c r="AM23" s="10">
        <f t="shared" si="9"/>
        <v>6081330000</v>
      </c>
      <c r="AN23" s="9"/>
      <c r="AO23" s="74"/>
      <c r="AP23" s="71"/>
      <c r="AQ23" s="71"/>
      <c r="AR23" s="8"/>
      <c r="AS23" s="7"/>
      <c r="AT23" s="6">
        <f t="shared" si="10"/>
        <v>0</v>
      </c>
    </row>
    <row r="24" spans="1:46" s="37" customFormat="1" ht="45.75" customHeight="1" thickBot="1" x14ac:dyDescent="0.2">
      <c r="A24" s="35">
        <v>20</v>
      </c>
      <c r="B24" s="140" t="s">
        <v>273</v>
      </c>
      <c r="C24" s="73" t="s">
        <v>186</v>
      </c>
      <c r="D24" s="70" t="s">
        <v>141</v>
      </c>
      <c r="E24" s="73"/>
      <c r="F24" s="73"/>
      <c r="G24" s="51"/>
      <c r="H24" s="45"/>
      <c r="I24" s="38">
        <v>0.51</v>
      </c>
      <c r="J24" s="30">
        <v>0.49</v>
      </c>
      <c r="K24" s="29"/>
      <c r="L24" s="28"/>
      <c r="M24" s="27"/>
      <c r="N24" s="26">
        <f t="shared" si="0"/>
        <v>1</v>
      </c>
      <c r="O24" s="65">
        <v>15</v>
      </c>
      <c r="P24" s="23">
        <v>15</v>
      </c>
      <c r="Q24" s="42"/>
      <c r="R24" s="42"/>
      <c r="S24" s="23"/>
      <c r="T24" s="20">
        <f t="shared" si="1"/>
        <v>15</v>
      </c>
      <c r="U24" s="19">
        <f t="shared" si="2"/>
        <v>15</v>
      </c>
      <c r="V24" s="61">
        <v>816103333000</v>
      </c>
      <c r="W24" s="22">
        <v>1364132000</v>
      </c>
      <c r="X24" s="59"/>
      <c r="Y24" s="22"/>
      <c r="Z24" s="21"/>
      <c r="AA24" s="20">
        <f t="shared" si="3"/>
        <v>443.98</v>
      </c>
      <c r="AB24" s="19">
        <f t="shared" si="4"/>
        <v>15</v>
      </c>
      <c r="AC24" s="16">
        <v>20</v>
      </c>
      <c r="AD24" s="18"/>
      <c r="AE24" s="17"/>
      <c r="AF24" s="23">
        <f t="shared" si="5"/>
        <v>30</v>
      </c>
      <c r="AG24" s="16">
        <v>45</v>
      </c>
      <c r="AH24" s="23">
        <f t="shared" si="6"/>
        <v>95</v>
      </c>
      <c r="AI24" s="14">
        <f t="shared" si="7"/>
        <v>0.85499999999999998</v>
      </c>
      <c r="AJ24" s="13"/>
      <c r="AK24" s="12">
        <v>0.01</v>
      </c>
      <c r="AL24" s="11">
        <f t="shared" si="8"/>
        <v>1.01</v>
      </c>
      <c r="AM24" s="10">
        <f t="shared" si="9"/>
        <v>6081330000</v>
      </c>
      <c r="AN24" s="9"/>
      <c r="AO24" s="74"/>
      <c r="AP24" s="71"/>
      <c r="AQ24" s="81"/>
      <c r="AR24" s="8"/>
      <c r="AS24" s="7"/>
      <c r="AT24" s="6">
        <f t="shared" si="10"/>
        <v>0</v>
      </c>
    </row>
    <row r="25" spans="1:46" s="37" customFormat="1" ht="45.75" customHeight="1" thickBot="1" x14ac:dyDescent="0.2">
      <c r="A25" s="35">
        <v>21</v>
      </c>
      <c r="B25" s="35" t="s">
        <v>75</v>
      </c>
      <c r="C25" s="73" t="s">
        <v>185</v>
      </c>
      <c r="D25" s="70" t="s">
        <v>184</v>
      </c>
      <c r="E25" s="73"/>
      <c r="F25" s="73"/>
      <c r="G25" s="51"/>
      <c r="H25" s="45"/>
      <c r="I25" s="38">
        <v>0.51</v>
      </c>
      <c r="J25" s="30">
        <v>0.49</v>
      </c>
      <c r="K25" s="29"/>
      <c r="L25" s="28"/>
      <c r="M25" s="27"/>
      <c r="N25" s="26">
        <f t="shared" si="0"/>
        <v>1</v>
      </c>
      <c r="O25" s="65">
        <v>15</v>
      </c>
      <c r="P25" s="23">
        <v>15</v>
      </c>
      <c r="Q25" s="42"/>
      <c r="R25" s="42"/>
      <c r="S25" s="23"/>
      <c r="T25" s="20">
        <f t="shared" si="1"/>
        <v>15</v>
      </c>
      <c r="U25" s="19">
        <f t="shared" si="2"/>
        <v>15</v>
      </c>
      <c r="V25" s="61">
        <v>29846687000</v>
      </c>
      <c r="W25" s="59">
        <v>7692652000</v>
      </c>
      <c r="X25" s="59"/>
      <c r="Y25" s="22"/>
      <c r="Z25" s="21"/>
      <c r="AA25" s="20">
        <f t="shared" si="3"/>
        <v>20.23</v>
      </c>
      <c r="AB25" s="19">
        <f t="shared" si="4"/>
        <v>15</v>
      </c>
      <c r="AC25" s="16">
        <v>20</v>
      </c>
      <c r="AD25" s="18"/>
      <c r="AE25" s="17"/>
      <c r="AF25" s="23">
        <f t="shared" si="5"/>
        <v>30</v>
      </c>
      <c r="AG25" s="16">
        <v>45</v>
      </c>
      <c r="AH25" s="23">
        <f t="shared" si="6"/>
        <v>95</v>
      </c>
      <c r="AI25" s="14">
        <f t="shared" si="7"/>
        <v>0.85499999999999998</v>
      </c>
      <c r="AJ25" s="13"/>
      <c r="AK25" s="12">
        <v>0.01</v>
      </c>
      <c r="AL25" s="11">
        <f t="shared" si="8"/>
        <v>1.01</v>
      </c>
      <c r="AM25" s="10">
        <f t="shared" si="9"/>
        <v>6081330000</v>
      </c>
      <c r="AN25" s="9"/>
      <c r="AO25" s="74"/>
      <c r="AP25" s="81"/>
      <c r="AQ25" s="71"/>
      <c r="AR25" s="8"/>
      <c r="AS25" s="7"/>
      <c r="AT25" s="6">
        <f t="shared" si="10"/>
        <v>0</v>
      </c>
    </row>
    <row r="26" spans="1:46" s="37" customFormat="1" ht="45.75" customHeight="1" thickBot="1" x14ac:dyDescent="0.2">
      <c r="A26" s="35">
        <v>22</v>
      </c>
      <c r="B26" s="35" t="s">
        <v>75</v>
      </c>
      <c r="C26" s="39" t="s">
        <v>183</v>
      </c>
      <c r="D26" s="70" t="s">
        <v>182</v>
      </c>
      <c r="E26" s="53"/>
      <c r="F26" s="63"/>
      <c r="G26" s="51"/>
      <c r="H26" s="45"/>
      <c r="I26" s="38">
        <v>0.51</v>
      </c>
      <c r="J26" s="30">
        <v>0.49</v>
      </c>
      <c r="K26" s="29"/>
      <c r="L26" s="28"/>
      <c r="M26" s="27"/>
      <c r="N26" s="26">
        <f t="shared" si="0"/>
        <v>1</v>
      </c>
      <c r="O26" s="65">
        <v>15</v>
      </c>
      <c r="P26" s="42">
        <v>15</v>
      </c>
      <c r="Q26" s="42"/>
      <c r="R26" s="42"/>
      <c r="S26" s="23"/>
      <c r="T26" s="20">
        <f t="shared" si="1"/>
        <v>15</v>
      </c>
      <c r="U26" s="19">
        <f t="shared" si="2"/>
        <v>15</v>
      </c>
      <c r="V26" s="61">
        <v>39814172000</v>
      </c>
      <c r="W26" s="59">
        <v>1956642000</v>
      </c>
      <c r="X26" s="59"/>
      <c r="Y26" s="22"/>
      <c r="Z26" s="21"/>
      <c r="AA26" s="20">
        <f t="shared" si="3"/>
        <v>22.65</v>
      </c>
      <c r="AB26" s="19">
        <f t="shared" si="4"/>
        <v>15</v>
      </c>
      <c r="AC26" s="16">
        <v>20</v>
      </c>
      <c r="AD26" s="18"/>
      <c r="AE26" s="17"/>
      <c r="AF26" s="23">
        <f t="shared" si="5"/>
        <v>30</v>
      </c>
      <c r="AG26" s="16">
        <v>45</v>
      </c>
      <c r="AH26" s="23">
        <f t="shared" si="6"/>
        <v>95</v>
      </c>
      <c r="AI26" s="14">
        <f t="shared" si="7"/>
        <v>0.85499999999999998</v>
      </c>
      <c r="AJ26" s="13"/>
      <c r="AK26" s="12">
        <v>0.01</v>
      </c>
      <c r="AL26" s="11">
        <f t="shared" si="8"/>
        <v>1.01</v>
      </c>
      <c r="AM26" s="10">
        <f t="shared" si="9"/>
        <v>6081330000</v>
      </c>
      <c r="AN26" s="9"/>
      <c r="AO26" s="8"/>
      <c r="AP26" s="8"/>
      <c r="AQ26" s="8"/>
      <c r="AR26" s="8"/>
      <c r="AS26" s="7"/>
      <c r="AT26" s="6">
        <f t="shared" si="10"/>
        <v>0</v>
      </c>
    </row>
    <row r="27" spans="1:46" s="37" customFormat="1" ht="45.75" customHeight="1" thickBot="1" x14ac:dyDescent="0.2">
      <c r="A27" s="35">
        <v>23</v>
      </c>
      <c r="B27" s="35" t="s">
        <v>75</v>
      </c>
      <c r="C27" s="73" t="s">
        <v>181</v>
      </c>
      <c r="D27" s="70" t="s">
        <v>180</v>
      </c>
      <c r="E27" s="73"/>
      <c r="F27" s="73"/>
      <c r="G27" s="53"/>
      <c r="H27" s="45"/>
      <c r="I27" s="38">
        <v>0.51</v>
      </c>
      <c r="J27" s="30">
        <v>0.49</v>
      </c>
      <c r="K27" s="29"/>
      <c r="L27" s="30"/>
      <c r="M27" s="27"/>
      <c r="N27" s="26">
        <f t="shared" si="0"/>
        <v>1</v>
      </c>
      <c r="O27" s="65">
        <v>15</v>
      </c>
      <c r="P27" s="23">
        <v>15</v>
      </c>
      <c r="Q27" s="42"/>
      <c r="R27" s="42"/>
      <c r="S27" s="42"/>
      <c r="T27" s="20">
        <f t="shared" si="1"/>
        <v>15</v>
      </c>
      <c r="U27" s="19">
        <f t="shared" si="2"/>
        <v>15</v>
      </c>
      <c r="V27" s="62">
        <v>41028772000</v>
      </c>
      <c r="W27" s="59">
        <v>1281708000</v>
      </c>
      <c r="X27" s="59"/>
      <c r="Y27" s="48"/>
      <c r="Z27" s="21"/>
      <c r="AA27" s="20">
        <f t="shared" si="3"/>
        <v>22.95</v>
      </c>
      <c r="AB27" s="19">
        <f t="shared" si="4"/>
        <v>15</v>
      </c>
      <c r="AC27" s="16">
        <v>20</v>
      </c>
      <c r="AD27" s="18"/>
      <c r="AE27" s="17"/>
      <c r="AF27" s="23">
        <f t="shared" si="5"/>
        <v>30</v>
      </c>
      <c r="AG27" s="16">
        <v>45</v>
      </c>
      <c r="AH27" s="23">
        <f t="shared" si="6"/>
        <v>95</v>
      </c>
      <c r="AI27" s="14">
        <f t="shared" si="7"/>
        <v>0.85499999999999998</v>
      </c>
      <c r="AJ27" s="13"/>
      <c r="AK27" s="12">
        <v>0.01</v>
      </c>
      <c r="AL27" s="11">
        <f t="shared" si="8"/>
        <v>1.01</v>
      </c>
      <c r="AM27" s="10">
        <f t="shared" si="9"/>
        <v>6081330000</v>
      </c>
      <c r="AN27" s="9"/>
      <c r="AO27" s="74"/>
      <c r="AP27" s="71"/>
      <c r="AQ27" s="71"/>
      <c r="AR27" s="8"/>
      <c r="AS27" s="7"/>
      <c r="AT27" s="6">
        <f t="shared" si="10"/>
        <v>0</v>
      </c>
    </row>
    <row r="28" spans="1:46" s="37" customFormat="1" ht="45.75" customHeight="1" thickBot="1" x14ac:dyDescent="0.2">
      <c r="A28" s="35">
        <v>24</v>
      </c>
      <c r="B28" s="35" t="s">
        <v>75</v>
      </c>
      <c r="C28" s="67" t="s">
        <v>179</v>
      </c>
      <c r="D28" s="70" t="s">
        <v>178</v>
      </c>
      <c r="E28" s="39"/>
      <c r="F28" s="39"/>
      <c r="G28" s="53"/>
      <c r="H28" s="45"/>
      <c r="I28" s="38">
        <v>0.51</v>
      </c>
      <c r="J28" s="30">
        <v>0.49</v>
      </c>
      <c r="K28" s="29"/>
      <c r="L28" s="28"/>
      <c r="M28" s="27"/>
      <c r="N28" s="26">
        <f t="shared" si="0"/>
        <v>1</v>
      </c>
      <c r="O28" s="65">
        <v>15</v>
      </c>
      <c r="P28" s="23">
        <v>15</v>
      </c>
      <c r="Q28" s="42"/>
      <c r="R28" s="42"/>
      <c r="S28" s="23"/>
      <c r="T28" s="20">
        <f t="shared" si="1"/>
        <v>15</v>
      </c>
      <c r="U28" s="19">
        <f t="shared" si="2"/>
        <v>15</v>
      </c>
      <c r="V28" s="84">
        <v>19760143000</v>
      </c>
      <c r="W28" s="41">
        <v>13574466000</v>
      </c>
      <c r="X28" s="22"/>
      <c r="Y28" s="22"/>
      <c r="Z28" s="21"/>
      <c r="AA28" s="20">
        <f t="shared" si="3"/>
        <v>17.82</v>
      </c>
      <c r="AB28" s="19">
        <f t="shared" si="4"/>
        <v>15</v>
      </c>
      <c r="AC28" s="16">
        <v>20</v>
      </c>
      <c r="AD28" s="18"/>
      <c r="AE28" s="17"/>
      <c r="AF28" s="23">
        <f t="shared" si="5"/>
        <v>30</v>
      </c>
      <c r="AG28" s="16">
        <v>45</v>
      </c>
      <c r="AH28" s="23">
        <f t="shared" si="6"/>
        <v>95</v>
      </c>
      <c r="AI28" s="14">
        <f t="shared" si="7"/>
        <v>0.85499999999999998</v>
      </c>
      <c r="AJ28" s="13"/>
      <c r="AK28" s="12">
        <v>0.01</v>
      </c>
      <c r="AL28" s="11">
        <f t="shared" si="8"/>
        <v>1.01</v>
      </c>
      <c r="AM28" s="10">
        <f t="shared" si="9"/>
        <v>6081330000</v>
      </c>
      <c r="AN28" s="9"/>
      <c r="AO28" s="8"/>
      <c r="AP28" s="8"/>
      <c r="AQ28" s="8"/>
      <c r="AR28" s="8"/>
      <c r="AS28" s="7"/>
      <c r="AT28" s="6">
        <f t="shared" si="10"/>
        <v>0</v>
      </c>
    </row>
    <row r="29" spans="1:46" s="37" customFormat="1" ht="45.75" customHeight="1" thickBot="1" x14ac:dyDescent="0.2">
      <c r="A29" s="35">
        <v>25</v>
      </c>
      <c r="B29" s="35" t="s">
        <v>75</v>
      </c>
      <c r="C29" s="73" t="s">
        <v>177</v>
      </c>
      <c r="D29" s="70" t="s">
        <v>176</v>
      </c>
      <c r="E29" s="73"/>
      <c r="F29" s="73"/>
      <c r="G29" s="51"/>
      <c r="H29" s="45"/>
      <c r="I29" s="38">
        <v>0.51</v>
      </c>
      <c r="J29" s="30">
        <v>0.49</v>
      </c>
      <c r="K29" s="29"/>
      <c r="L29" s="30"/>
      <c r="M29" s="27"/>
      <c r="N29" s="26">
        <f t="shared" si="0"/>
        <v>1</v>
      </c>
      <c r="O29" s="65">
        <v>15</v>
      </c>
      <c r="P29" s="23">
        <v>15</v>
      </c>
      <c r="Q29" s="42"/>
      <c r="R29" s="42"/>
      <c r="S29" s="42"/>
      <c r="T29" s="20">
        <f t="shared" si="1"/>
        <v>15</v>
      </c>
      <c r="U29" s="19">
        <f t="shared" si="2"/>
        <v>15</v>
      </c>
      <c r="V29" s="61">
        <v>21781049000</v>
      </c>
      <c r="W29" s="22">
        <v>7622761000</v>
      </c>
      <c r="X29" s="59"/>
      <c r="Y29" s="41"/>
      <c r="Z29" s="21"/>
      <c r="AA29" s="20">
        <f t="shared" si="3"/>
        <v>15.81</v>
      </c>
      <c r="AB29" s="19">
        <f t="shared" si="4"/>
        <v>15</v>
      </c>
      <c r="AC29" s="16">
        <v>20</v>
      </c>
      <c r="AD29" s="83"/>
      <c r="AE29" s="17"/>
      <c r="AF29" s="23">
        <f t="shared" si="5"/>
        <v>30</v>
      </c>
      <c r="AG29" s="16">
        <v>45</v>
      </c>
      <c r="AH29" s="23">
        <f t="shared" si="6"/>
        <v>95</v>
      </c>
      <c r="AI29" s="14">
        <f t="shared" si="7"/>
        <v>0.85499999999999998</v>
      </c>
      <c r="AJ29" s="13"/>
      <c r="AK29" s="12">
        <v>0.01</v>
      </c>
      <c r="AL29" s="11">
        <f t="shared" si="8"/>
        <v>1.01</v>
      </c>
      <c r="AM29" s="10">
        <f t="shared" si="9"/>
        <v>6081330000</v>
      </c>
      <c r="AN29" s="9"/>
      <c r="AO29" s="16"/>
      <c r="AP29" s="82"/>
      <c r="AQ29" s="16"/>
      <c r="AR29" s="8"/>
      <c r="AS29" s="7"/>
      <c r="AT29" s="6">
        <f t="shared" si="10"/>
        <v>0</v>
      </c>
    </row>
    <row r="30" spans="1:46" s="37" customFormat="1" ht="45.75" customHeight="1" thickBot="1" x14ac:dyDescent="0.2">
      <c r="A30" s="35">
        <v>26</v>
      </c>
      <c r="B30" s="35" t="s">
        <v>75</v>
      </c>
      <c r="C30" s="73" t="s">
        <v>175</v>
      </c>
      <c r="D30" s="70" t="s">
        <v>174</v>
      </c>
      <c r="E30" s="73"/>
      <c r="F30" s="73"/>
      <c r="G30" s="53"/>
      <c r="H30" s="45"/>
      <c r="I30" s="38">
        <v>0.51</v>
      </c>
      <c r="J30" s="30">
        <v>0.49</v>
      </c>
      <c r="K30" s="29"/>
      <c r="L30" s="28"/>
      <c r="M30" s="27"/>
      <c r="N30" s="26">
        <f t="shared" si="0"/>
        <v>1</v>
      </c>
      <c r="O30" s="65">
        <v>15</v>
      </c>
      <c r="P30" s="23">
        <v>15</v>
      </c>
      <c r="Q30" s="42"/>
      <c r="R30" s="42"/>
      <c r="S30" s="42"/>
      <c r="T30" s="20">
        <f t="shared" si="1"/>
        <v>15</v>
      </c>
      <c r="U30" s="19">
        <f t="shared" si="2"/>
        <v>15</v>
      </c>
      <c r="V30" s="61">
        <v>25680345000</v>
      </c>
      <c r="W30" s="22">
        <v>9901200000</v>
      </c>
      <c r="X30" s="22"/>
      <c r="Y30" s="54"/>
      <c r="Z30" s="21"/>
      <c r="AA30" s="20">
        <f t="shared" si="3"/>
        <v>19.12</v>
      </c>
      <c r="AB30" s="19">
        <f t="shared" si="4"/>
        <v>15</v>
      </c>
      <c r="AC30" s="16">
        <v>20</v>
      </c>
      <c r="AD30" s="18"/>
      <c r="AE30" s="17"/>
      <c r="AF30" s="23">
        <f t="shared" si="5"/>
        <v>30</v>
      </c>
      <c r="AG30" s="16">
        <v>45</v>
      </c>
      <c r="AH30" s="23">
        <f t="shared" si="6"/>
        <v>95</v>
      </c>
      <c r="AI30" s="14">
        <f t="shared" si="7"/>
        <v>0.85499999999999998</v>
      </c>
      <c r="AJ30" s="13"/>
      <c r="AK30" s="12">
        <v>0.01</v>
      </c>
      <c r="AL30" s="11">
        <f t="shared" si="8"/>
        <v>1.01</v>
      </c>
      <c r="AM30" s="10">
        <f t="shared" si="9"/>
        <v>6081330000</v>
      </c>
      <c r="AN30" s="9"/>
      <c r="AO30" s="74"/>
      <c r="AP30" s="72"/>
      <c r="AQ30" s="72"/>
      <c r="AR30" s="8"/>
      <c r="AS30" s="7"/>
      <c r="AT30" s="6">
        <f t="shared" si="10"/>
        <v>0</v>
      </c>
    </row>
    <row r="31" spans="1:46" s="37" customFormat="1" ht="45.75" customHeight="1" thickBot="1" x14ac:dyDescent="0.2">
      <c r="A31" s="35">
        <v>27</v>
      </c>
      <c r="B31" s="35" t="s">
        <v>75</v>
      </c>
      <c r="C31" s="73" t="s">
        <v>173</v>
      </c>
      <c r="D31" s="70" t="s">
        <v>172</v>
      </c>
      <c r="E31" s="73"/>
      <c r="F31" s="73"/>
      <c r="G31" s="51"/>
      <c r="H31" s="45"/>
      <c r="I31" s="38">
        <v>0.51</v>
      </c>
      <c r="J31" s="30">
        <v>0.49</v>
      </c>
      <c r="K31" s="29"/>
      <c r="L31" s="28"/>
      <c r="M31" s="27"/>
      <c r="N31" s="26">
        <f t="shared" si="0"/>
        <v>1</v>
      </c>
      <c r="O31" s="65">
        <v>15</v>
      </c>
      <c r="P31" s="23">
        <v>15</v>
      </c>
      <c r="Q31" s="42"/>
      <c r="R31" s="42"/>
      <c r="S31" s="23"/>
      <c r="T31" s="20">
        <f t="shared" si="1"/>
        <v>15</v>
      </c>
      <c r="U31" s="19">
        <f t="shared" si="2"/>
        <v>15</v>
      </c>
      <c r="V31" s="61">
        <v>23278347000</v>
      </c>
      <c r="W31" s="48">
        <v>7979611000</v>
      </c>
      <c r="X31" s="59"/>
      <c r="Y31" s="59"/>
      <c r="Z31" s="21"/>
      <c r="AA31" s="20">
        <f t="shared" si="3"/>
        <v>16.809999999999999</v>
      </c>
      <c r="AB31" s="19">
        <f t="shared" si="4"/>
        <v>15</v>
      </c>
      <c r="AC31" s="16">
        <v>20</v>
      </c>
      <c r="AD31" s="18"/>
      <c r="AE31" s="17"/>
      <c r="AF31" s="23">
        <f t="shared" si="5"/>
        <v>30</v>
      </c>
      <c r="AG31" s="16">
        <v>45</v>
      </c>
      <c r="AH31" s="23">
        <f t="shared" si="6"/>
        <v>95</v>
      </c>
      <c r="AI31" s="14">
        <f t="shared" si="7"/>
        <v>0.85499999999999998</v>
      </c>
      <c r="AJ31" s="13"/>
      <c r="AK31" s="12">
        <v>0.01</v>
      </c>
      <c r="AL31" s="11">
        <f t="shared" si="8"/>
        <v>1.01</v>
      </c>
      <c r="AM31" s="10">
        <f t="shared" si="9"/>
        <v>6081330000</v>
      </c>
      <c r="AN31" s="9"/>
      <c r="AO31" s="16"/>
      <c r="AP31" s="81"/>
      <c r="AQ31" s="81"/>
      <c r="AR31" s="8"/>
      <c r="AS31" s="7"/>
      <c r="AT31" s="6">
        <f t="shared" si="10"/>
        <v>0</v>
      </c>
    </row>
    <row r="32" spans="1:46" s="37" customFormat="1" ht="45.75" customHeight="1" thickBot="1" x14ac:dyDescent="0.2">
      <c r="A32" s="35">
        <v>28</v>
      </c>
      <c r="B32" s="140" t="s">
        <v>274</v>
      </c>
      <c r="C32" s="70" t="s">
        <v>145</v>
      </c>
      <c r="D32" s="73" t="s">
        <v>170</v>
      </c>
      <c r="E32" s="67"/>
      <c r="F32" s="66"/>
      <c r="G32" s="53"/>
      <c r="H32" s="45"/>
      <c r="I32" s="38">
        <v>0.51</v>
      </c>
      <c r="J32" s="30">
        <v>0.49</v>
      </c>
      <c r="K32" s="29"/>
      <c r="L32" s="28"/>
      <c r="M32" s="27"/>
      <c r="N32" s="26">
        <f t="shared" si="0"/>
        <v>1</v>
      </c>
      <c r="O32" s="65">
        <v>15</v>
      </c>
      <c r="P32" s="23">
        <v>15</v>
      </c>
      <c r="Q32" s="42"/>
      <c r="R32" s="42"/>
      <c r="S32" s="42"/>
      <c r="T32" s="20">
        <f t="shared" si="1"/>
        <v>15</v>
      </c>
      <c r="U32" s="19">
        <f t="shared" si="2"/>
        <v>15</v>
      </c>
      <c r="V32" s="85">
        <v>3388596000</v>
      </c>
      <c r="W32" s="59">
        <v>101360213000</v>
      </c>
      <c r="X32" s="54"/>
      <c r="Y32" s="54"/>
      <c r="Z32" s="21"/>
      <c r="AA32" s="20">
        <f t="shared" si="3"/>
        <v>54.74</v>
      </c>
      <c r="AB32" s="19">
        <f t="shared" si="4"/>
        <v>15</v>
      </c>
      <c r="AC32" s="16">
        <v>20</v>
      </c>
      <c r="AD32" s="18"/>
      <c r="AE32" s="17"/>
      <c r="AF32" s="23">
        <f t="shared" si="5"/>
        <v>30</v>
      </c>
      <c r="AG32" s="16">
        <v>45</v>
      </c>
      <c r="AH32" s="23">
        <f t="shared" si="6"/>
        <v>95</v>
      </c>
      <c r="AI32" s="14">
        <f t="shared" si="7"/>
        <v>0.85499999999999998</v>
      </c>
      <c r="AJ32" s="13"/>
      <c r="AK32" s="12">
        <v>0.01</v>
      </c>
      <c r="AL32" s="11">
        <f t="shared" si="8"/>
        <v>1.01</v>
      </c>
      <c r="AM32" s="10">
        <f t="shared" si="9"/>
        <v>6081330000</v>
      </c>
      <c r="AN32" s="9"/>
      <c r="AO32" s="8"/>
      <c r="AP32" s="8"/>
      <c r="AQ32" s="8"/>
      <c r="AR32" s="8"/>
      <c r="AS32" s="7"/>
      <c r="AT32" s="6">
        <f t="shared" si="10"/>
        <v>0</v>
      </c>
    </row>
    <row r="33" spans="1:46" s="37" customFormat="1" ht="45.75" customHeight="1" thickBot="1" x14ac:dyDescent="0.2">
      <c r="A33" s="35">
        <v>29</v>
      </c>
      <c r="B33" s="35" t="s">
        <v>75</v>
      </c>
      <c r="C33" s="70" t="s">
        <v>169</v>
      </c>
      <c r="D33" s="73" t="s">
        <v>168</v>
      </c>
      <c r="E33" s="34"/>
      <c r="F33" s="34"/>
      <c r="G33" s="33"/>
      <c r="H33" s="32"/>
      <c r="I33" s="38">
        <v>0.51</v>
      </c>
      <c r="J33" s="30">
        <v>0.49</v>
      </c>
      <c r="K33" s="29"/>
      <c r="L33" s="28"/>
      <c r="M33" s="27"/>
      <c r="N33" s="26">
        <f t="shared" si="0"/>
        <v>1</v>
      </c>
      <c r="O33" s="25">
        <v>15</v>
      </c>
      <c r="P33" s="23">
        <v>15</v>
      </c>
      <c r="Q33" s="24"/>
      <c r="R33" s="24"/>
      <c r="S33" s="23"/>
      <c r="T33" s="20">
        <f t="shared" si="1"/>
        <v>15</v>
      </c>
      <c r="U33" s="19">
        <f t="shared" si="2"/>
        <v>15</v>
      </c>
      <c r="V33" s="22">
        <v>7882757000</v>
      </c>
      <c r="W33" s="22">
        <v>36061728000</v>
      </c>
      <c r="X33" s="22"/>
      <c r="Y33" s="22"/>
      <c r="Z33" s="21"/>
      <c r="AA33" s="20">
        <f t="shared" si="3"/>
        <v>23.1</v>
      </c>
      <c r="AB33" s="19">
        <f t="shared" si="4"/>
        <v>15</v>
      </c>
      <c r="AC33" s="16">
        <v>20</v>
      </c>
      <c r="AD33" s="18"/>
      <c r="AE33" s="17"/>
      <c r="AF33" s="23">
        <f t="shared" si="5"/>
        <v>30</v>
      </c>
      <c r="AG33" s="16">
        <v>45</v>
      </c>
      <c r="AH33" s="23">
        <f t="shared" si="6"/>
        <v>95</v>
      </c>
      <c r="AI33" s="14">
        <f t="shared" si="7"/>
        <v>0.85499999999999998</v>
      </c>
      <c r="AJ33" s="13"/>
      <c r="AK33" s="12">
        <v>0.01</v>
      </c>
      <c r="AL33" s="11">
        <f t="shared" si="8"/>
        <v>1.01</v>
      </c>
      <c r="AM33" s="10">
        <f t="shared" si="9"/>
        <v>6081330000</v>
      </c>
      <c r="AN33" s="9"/>
      <c r="AO33" s="8"/>
      <c r="AP33" s="8"/>
      <c r="AQ33" s="8"/>
      <c r="AR33" s="8"/>
      <c r="AS33" s="7"/>
      <c r="AT33" s="6">
        <f t="shared" si="10"/>
        <v>0</v>
      </c>
    </row>
    <row r="34" spans="1:46" s="37" customFormat="1" ht="45.75" customHeight="1" thickBot="1" x14ac:dyDescent="0.2">
      <c r="A34" s="35">
        <v>30</v>
      </c>
      <c r="B34" s="35" t="s">
        <v>75</v>
      </c>
      <c r="C34" s="73" t="s">
        <v>167</v>
      </c>
      <c r="D34" s="70" t="s">
        <v>166</v>
      </c>
      <c r="E34" s="34"/>
      <c r="F34" s="63"/>
      <c r="G34" s="33" t="s">
        <v>165</v>
      </c>
      <c r="H34" s="32"/>
      <c r="I34" s="38">
        <v>0.51</v>
      </c>
      <c r="J34" s="30">
        <v>0.49</v>
      </c>
      <c r="K34" s="29"/>
      <c r="L34" s="28"/>
      <c r="M34" s="27"/>
      <c r="N34" s="26">
        <f t="shared" si="0"/>
        <v>1</v>
      </c>
      <c r="O34" s="25">
        <v>15</v>
      </c>
      <c r="P34" s="23">
        <v>15</v>
      </c>
      <c r="Q34" s="24"/>
      <c r="R34" s="24"/>
      <c r="S34" s="23"/>
      <c r="T34" s="20">
        <f t="shared" si="1"/>
        <v>15</v>
      </c>
      <c r="U34" s="19">
        <f t="shared" si="2"/>
        <v>15</v>
      </c>
      <c r="V34" s="59">
        <v>11882803000</v>
      </c>
      <c r="W34" s="59">
        <v>18685183000</v>
      </c>
      <c r="X34" s="22"/>
      <c r="Y34" s="22"/>
      <c r="Z34" s="21"/>
      <c r="AA34" s="20">
        <f t="shared" si="3"/>
        <v>16.21</v>
      </c>
      <c r="AB34" s="19">
        <f t="shared" si="4"/>
        <v>15</v>
      </c>
      <c r="AC34" s="16">
        <v>20</v>
      </c>
      <c r="AD34" s="18"/>
      <c r="AE34" s="17"/>
      <c r="AF34" s="23">
        <f t="shared" si="5"/>
        <v>30</v>
      </c>
      <c r="AG34" s="16">
        <v>45</v>
      </c>
      <c r="AH34" s="23">
        <f t="shared" si="6"/>
        <v>95</v>
      </c>
      <c r="AI34" s="14">
        <f t="shared" si="7"/>
        <v>0.85499999999999998</v>
      </c>
      <c r="AJ34" s="13"/>
      <c r="AK34" s="12">
        <v>0.01</v>
      </c>
      <c r="AL34" s="11">
        <f t="shared" si="8"/>
        <v>1.01</v>
      </c>
      <c r="AM34" s="10">
        <f t="shared" si="9"/>
        <v>6081330000</v>
      </c>
      <c r="AN34" s="9"/>
      <c r="AO34" s="8"/>
      <c r="AP34" s="8"/>
      <c r="AQ34" s="8"/>
      <c r="AR34" s="8"/>
      <c r="AS34" s="7"/>
      <c r="AT34" s="6">
        <f t="shared" si="10"/>
        <v>0</v>
      </c>
    </row>
    <row r="35" spans="1:46" s="37" customFormat="1" ht="45.75" customHeight="1" thickBot="1" x14ac:dyDescent="0.2">
      <c r="A35" s="35">
        <v>31</v>
      </c>
      <c r="B35" s="35" t="s">
        <v>75</v>
      </c>
      <c r="C35" s="47" t="s">
        <v>164</v>
      </c>
      <c r="D35" s="70" t="s">
        <v>163</v>
      </c>
      <c r="E35" s="73"/>
      <c r="F35" s="80"/>
      <c r="G35" s="51"/>
      <c r="H35" s="45"/>
      <c r="I35" s="38">
        <v>0.51</v>
      </c>
      <c r="J35" s="30">
        <v>0.49</v>
      </c>
      <c r="K35" s="29"/>
      <c r="L35" s="28"/>
      <c r="M35" s="27"/>
      <c r="N35" s="26">
        <f t="shared" si="0"/>
        <v>1</v>
      </c>
      <c r="O35" s="23">
        <v>15</v>
      </c>
      <c r="P35" s="23">
        <v>15</v>
      </c>
      <c r="Q35" s="23"/>
      <c r="R35" s="24"/>
      <c r="S35" s="23"/>
      <c r="T35" s="20">
        <f t="shared" si="1"/>
        <v>15</v>
      </c>
      <c r="U35" s="19">
        <f t="shared" si="2"/>
        <v>15</v>
      </c>
      <c r="V35" s="48">
        <v>15345190000</v>
      </c>
      <c r="W35" s="22">
        <v>13442616000</v>
      </c>
      <c r="X35" s="59"/>
      <c r="Y35" s="41"/>
      <c r="Z35" s="68"/>
      <c r="AA35" s="20">
        <f t="shared" si="3"/>
        <v>15.35</v>
      </c>
      <c r="AB35" s="19">
        <f t="shared" si="4"/>
        <v>15</v>
      </c>
      <c r="AC35" s="16">
        <v>20</v>
      </c>
      <c r="AD35" s="18"/>
      <c r="AE35" s="17"/>
      <c r="AF35" s="23">
        <f t="shared" si="5"/>
        <v>30</v>
      </c>
      <c r="AG35" s="16">
        <v>45</v>
      </c>
      <c r="AH35" s="23">
        <f t="shared" si="6"/>
        <v>95</v>
      </c>
      <c r="AI35" s="14">
        <f t="shared" si="7"/>
        <v>0.85499999999999998</v>
      </c>
      <c r="AJ35" s="13"/>
      <c r="AK35" s="12">
        <v>0.01</v>
      </c>
      <c r="AL35" s="11">
        <f t="shared" si="8"/>
        <v>1.01</v>
      </c>
      <c r="AM35" s="10">
        <f t="shared" si="9"/>
        <v>6081330000</v>
      </c>
      <c r="AN35" s="9"/>
      <c r="AO35" s="8"/>
      <c r="AP35" s="8"/>
      <c r="AQ35" s="8"/>
      <c r="AR35" s="8"/>
      <c r="AS35" s="7"/>
      <c r="AT35" s="6">
        <f t="shared" si="10"/>
        <v>0</v>
      </c>
    </row>
    <row r="36" spans="1:46" s="37" customFormat="1" ht="45.75" customHeight="1" thickBot="1" x14ac:dyDescent="0.2">
      <c r="A36" s="35">
        <v>32</v>
      </c>
      <c r="B36" s="35" t="s">
        <v>75</v>
      </c>
      <c r="C36" s="73" t="s">
        <v>162</v>
      </c>
      <c r="D36" s="70" t="s">
        <v>161</v>
      </c>
      <c r="E36" s="39"/>
      <c r="F36" s="34"/>
      <c r="G36" s="33"/>
      <c r="H36" s="32"/>
      <c r="I36" s="38">
        <v>0.51</v>
      </c>
      <c r="J36" s="30">
        <v>0.49</v>
      </c>
      <c r="K36" s="29"/>
      <c r="L36" s="28"/>
      <c r="M36" s="27"/>
      <c r="N36" s="26">
        <f t="shared" si="0"/>
        <v>1</v>
      </c>
      <c r="O36" s="25">
        <v>15</v>
      </c>
      <c r="P36" s="23">
        <v>15</v>
      </c>
      <c r="Q36" s="24"/>
      <c r="R36" s="24"/>
      <c r="S36" s="23"/>
      <c r="T36" s="20">
        <f t="shared" si="1"/>
        <v>15</v>
      </c>
      <c r="U36" s="19">
        <f t="shared" si="2"/>
        <v>15</v>
      </c>
      <c r="V36" s="61">
        <v>11025340000</v>
      </c>
      <c r="W36" s="79">
        <v>17523143000</v>
      </c>
      <c r="X36" s="22"/>
      <c r="Y36" s="22"/>
      <c r="Z36" s="21"/>
      <c r="AA36" s="20">
        <f t="shared" si="3"/>
        <v>15.13</v>
      </c>
      <c r="AB36" s="19">
        <f t="shared" si="4"/>
        <v>15</v>
      </c>
      <c r="AC36" s="16">
        <v>20</v>
      </c>
      <c r="AD36" s="18"/>
      <c r="AE36" s="17"/>
      <c r="AF36" s="23">
        <f t="shared" si="5"/>
        <v>30</v>
      </c>
      <c r="AG36" s="16">
        <v>45</v>
      </c>
      <c r="AH36" s="23">
        <f t="shared" si="6"/>
        <v>95</v>
      </c>
      <c r="AI36" s="14">
        <f t="shared" si="7"/>
        <v>0.85499999999999998</v>
      </c>
      <c r="AJ36" s="13"/>
      <c r="AK36" s="12">
        <v>0.01</v>
      </c>
      <c r="AL36" s="11">
        <f t="shared" si="8"/>
        <v>1.01</v>
      </c>
      <c r="AM36" s="10">
        <f t="shared" si="9"/>
        <v>6081330000</v>
      </c>
      <c r="AN36" s="9"/>
      <c r="AO36" s="8"/>
      <c r="AP36" s="8"/>
      <c r="AQ36" s="8"/>
      <c r="AR36" s="8"/>
      <c r="AS36" s="7"/>
      <c r="AT36" s="6">
        <f t="shared" si="10"/>
        <v>0</v>
      </c>
    </row>
    <row r="37" spans="1:46" s="37" customFormat="1" ht="45.75" customHeight="1" thickBot="1" x14ac:dyDescent="0.2">
      <c r="A37" s="35">
        <v>33</v>
      </c>
      <c r="B37" s="35" t="s">
        <v>75</v>
      </c>
      <c r="C37" s="47" t="s">
        <v>160</v>
      </c>
      <c r="D37" s="70" t="s">
        <v>159</v>
      </c>
      <c r="E37" s="39"/>
      <c r="F37" s="39"/>
      <c r="G37" s="60"/>
      <c r="H37" s="50"/>
      <c r="I37" s="38">
        <v>0.7</v>
      </c>
      <c r="J37" s="30">
        <v>0.3</v>
      </c>
      <c r="K37" s="29"/>
      <c r="L37" s="28"/>
      <c r="M37" s="27"/>
      <c r="N37" s="26">
        <f t="shared" ref="N37:N68" si="11">SUM(I37:M37)</f>
        <v>1</v>
      </c>
      <c r="O37" s="44">
        <v>15</v>
      </c>
      <c r="P37" s="43">
        <v>15</v>
      </c>
      <c r="Q37" s="24"/>
      <c r="R37" s="42"/>
      <c r="S37" s="42"/>
      <c r="T37" s="20">
        <f t="shared" ref="T37:T68" si="12">ROUND(((O37*I37)+(P37*J37)+(Q37*K37)+(R37*L37)+(S37*M37)),2)</f>
        <v>15</v>
      </c>
      <c r="U37" s="19">
        <f t="shared" ref="U37:U68" si="13">IF(T37&gt;=15,15,T37)</f>
        <v>15</v>
      </c>
      <c r="V37" s="41">
        <v>18715212000</v>
      </c>
      <c r="W37" s="59">
        <v>10918046000</v>
      </c>
      <c r="X37" s="54"/>
      <c r="Y37" s="48"/>
      <c r="Z37" s="21"/>
      <c r="AA37" s="20">
        <f t="shared" ref="AA37:AA68" si="14">ROUND((((V37*I37)+(W37*J37)+(X37*K37)+(Y37*L37)+(Z37*M37))/$I$2*15),2)</f>
        <v>17.440000000000001</v>
      </c>
      <c r="AB37" s="19">
        <f t="shared" ref="AB37:AB68" si="15">IF(AA37&gt;=15,15,AA37)</f>
        <v>15</v>
      </c>
      <c r="AC37" s="16">
        <v>20</v>
      </c>
      <c r="AD37" s="18"/>
      <c r="AE37" s="17"/>
      <c r="AF37" s="23">
        <f t="shared" ref="AF37:AF68" si="16">IF((U37+AB37+AD37)&gt;=30,30,(U37+AB37+AD37))</f>
        <v>30</v>
      </c>
      <c r="AG37" s="16">
        <v>45</v>
      </c>
      <c r="AH37" s="23">
        <f t="shared" ref="AH37:AH68" si="17">AC37+AF37+AG37+AE37</f>
        <v>95</v>
      </c>
      <c r="AI37" s="14">
        <f t="shared" ref="AI37:AI68" si="18">-((50-((176+(45+(30-AF37)))))/200)</f>
        <v>0.85499999999999998</v>
      </c>
      <c r="AJ37" s="13"/>
      <c r="AK37" s="12">
        <v>0.01</v>
      </c>
      <c r="AL37" s="11">
        <f t="shared" ref="AL37:AL68" si="19">100%+AK37</f>
        <v>1.01</v>
      </c>
      <c r="AM37" s="10">
        <f t="shared" ref="AM37:AM68" si="20">ROUNDUP($D$2*AI37*AL37,-3)</f>
        <v>6081330000</v>
      </c>
      <c r="AN37" s="9"/>
      <c r="AO37" s="8"/>
      <c r="AP37" s="8"/>
      <c r="AQ37" s="8"/>
      <c r="AR37" s="8"/>
      <c r="AS37" s="7"/>
      <c r="AT37" s="6">
        <f t="shared" ref="AT37:AT68" si="21">(AO37*J37)+(AP37*K37)+(AQ37*L37)+(AR37*M37)+(AS37*N37)</f>
        <v>0</v>
      </c>
    </row>
    <row r="38" spans="1:46" s="37" customFormat="1" ht="45.75" customHeight="1" thickBot="1" x14ac:dyDescent="0.2">
      <c r="A38" s="35">
        <v>34</v>
      </c>
      <c r="B38" s="35" t="s">
        <v>75</v>
      </c>
      <c r="C38" s="47" t="s">
        <v>158</v>
      </c>
      <c r="D38" s="75" t="s">
        <v>157</v>
      </c>
      <c r="E38" s="47"/>
      <c r="F38" s="47"/>
      <c r="G38" s="51"/>
      <c r="H38" s="50"/>
      <c r="I38" s="38">
        <v>0.51</v>
      </c>
      <c r="J38" s="30">
        <v>0.49</v>
      </c>
      <c r="K38" s="29"/>
      <c r="L38" s="28"/>
      <c r="M38" s="27"/>
      <c r="N38" s="26">
        <f t="shared" si="11"/>
        <v>1</v>
      </c>
      <c r="O38" s="44">
        <v>15</v>
      </c>
      <c r="P38" s="43">
        <v>15</v>
      </c>
      <c r="Q38" s="42"/>
      <c r="R38" s="42"/>
      <c r="S38" s="42"/>
      <c r="T38" s="20">
        <f t="shared" si="12"/>
        <v>15</v>
      </c>
      <c r="U38" s="19">
        <f t="shared" si="13"/>
        <v>15</v>
      </c>
      <c r="V38" s="48">
        <v>13312073000</v>
      </c>
      <c r="W38" s="68">
        <v>15253741000</v>
      </c>
      <c r="X38" s="48"/>
      <c r="Y38" s="48"/>
      <c r="Z38" s="21"/>
      <c r="AA38" s="20">
        <f t="shared" si="14"/>
        <v>15.19</v>
      </c>
      <c r="AB38" s="19">
        <f t="shared" si="15"/>
        <v>15</v>
      </c>
      <c r="AC38" s="16">
        <v>20</v>
      </c>
      <c r="AD38" s="18"/>
      <c r="AE38" s="17"/>
      <c r="AF38" s="23">
        <f t="shared" si="16"/>
        <v>30</v>
      </c>
      <c r="AG38" s="16">
        <v>45</v>
      </c>
      <c r="AH38" s="23">
        <f t="shared" si="17"/>
        <v>95</v>
      </c>
      <c r="AI38" s="14">
        <f t="shared" si="18"/>
        <v>0.85499999999999998</v>
      </c>
      <c r="AJ38" s="13"/>
      <c r="AK38" s="12">
        <v>0.01</v>
      </c>
      <c r="AL38" s="11">
        <f t="shared" si="19"/>
        <v>1.01</v>
      </c>
      <c r="AM38" s="10">
        <f t="shared" si="20"/>
        <v>6081330000</v>
      </c>
      <c r="AN38" s="9"/>
      <c r="AO38" s="8"/>
      <c r="AP38" s="8"/>
      <c r="AQ38" s="8"/>
      <c r="AR38" s="8"/>
      <c r="AS38" s="7"/>
      <c r="AT38" s="6">
        <f t="shared" si="21"/>
        <v>0</v>
      </c>
    </row>
    <row r="39" spans="1:46" s="37" customFormat="1" ht="45.75" customHeight="1" thickBot="1" x14ac:dyDescent="0.2">
      <c r="A39" s="35">
        <v>35</v>
      </c>
      <c r="B39" s="35" t="s">
        <v>75</v>
      </c>
      <c r="C39" s="70" t="s">
        <v>156</v>
      </c>
      <c r="D39" s="47" t="s">
        <v>155</v>
      </c>
      <c r="E39" s="47"/>
      <c r="F39" s="39"/>
      <c r="G39" s="51"/>
      <c r="H39" s="50"/>
      <c r="I39" s="38">
        <v>0.51</v>
      </c>
      <c r="J39" s="30">
        <v>0.49</v>
      </c>
      <c r="K39" s="29"/>
      <c r="L39" s="28"/>
      <c r="M39" s="27"/>
      <c r="N39" s="26">
        <f t="shared" si="11"/>
        <v>1</v>
      </c>
      <c r="O39" s="25">
        <v>15</v>
      </c>
      <c r="P39" s="24">
        <v>15</v>
      </c>
      <c r="Q39" s="42"/>
      <c r="R39" s="42"/>
      <c r="S39" s="42"/>
      <c r="T39" s="20">
        <f t="shared" si="12"/>
        <v>15</v>
      </c>
      <c r="U39" s="19">
        <f t="shared" si="13"/>
        <v>15</v>
      </c>
      <c r="V39" s="22">
        <v>14643377000</v>
      </c>
      <c r="W39" s="22">
        <v>13888695000</v>
      </c>
      <c r="X39" s="22"/>
      <c r="Y39" s="57"/>
      <c r="Z39" s="21"/>
      <c r="AA39" s="20">
        <f t="shared" si="14"/>
        <v>15.2</v>
      </c>
      <c r="AB39" s="19">
        <f t="shared" si="15"/>
        <v>15</v>
      </c>
      <c r="AC39" s="16">
        <v>20</v>
      </c>
      <c r="AD39" s="18"/>
      <c r="AE39" s="17"/>
      <c r="AF39" s="23">
        <f t="shared" si="16"/>
        <v>30</v>
      </c>
      <c r="AG39" s="16">
        <v>45</v>
      </c>
      <c r="AH39" s="23">
        <f t="shared" si="17"/>
        <v>95</v>
      </c>
      <c r="AI39" s="14">
        <f t="shared" si="18"/>
        <v>0.85499999999999998</v>
      </c>
      <c r="AJ39" s="13"/>
      <c r="AK39" s="12">
        <v>0.01</v>
      </c>
      <c r="AL39" s="11">
        <f t="shared" si="19"/>
        <v>1.01</v>
      </c>
      <c r="AM39" s="10">
        <f t="shared" si="20"/>
        <v>6081330000</v>
      </c>
      <c r="AN39" s="9"/>
      <c r="AO39" s="8"/>
      <c r="AP39" s="8"/>
      <c r="AQ39" s="8"/>
      <c r="AR39" s="8"/>
      <c r="AS39" s="7"/>
      <c r="AT39" s="6">
        <f t="shared" si="21"/>
        <v>0</v>
      </c>
    </row>
    <row r="40" spans="1:46" s="37" customFormat="1" ht="45.75" customHeight="1" thickBot="1" x14ac:dyDescent="0.2">
      <c r="A40" s="36"/>
      <c r="B40" s="35"/>
      <c r="C40" s="47"/>
      <c r="D40" s="47"/>
      <c r="E40" s="47"/>
      <c r="F40" s="39"/>
      <c r="G40" s="46"/>
      <c r="H40" s="45"/>
      <c r="I40" s="38">
        <v>0.51</v>
      </c>
      <c r="J40" s="30">
        <v>0.49</v>
      </c>
      <c r="K40" s="29"/>
      <c r="L40" s="28"/>
      <c r="M40" s="27"/>
      <c r="N40" s="26">
        <f t="shared" si="11"/>
        <v>1</v>
      </c>
      <c r="O40" s="44">
        <v>15</v>
      </c>
      <c r="P40" s="43">
        <v>15</v>
      </c>
      <c r="Q40" s="42"/>
      <c r="R40" s="42"/>
      <c r="S40" s="42"/>
      <c r="T40" s="20">
        <f t="shared" si="12"/>
        <v>15</v>
      </c>
      <c r="U40" s="19">
        <f t="shared" si="13"/>
        <v>15</v>
      </c>
      <c r="V40" s="54"/>
      <c r="W40" s="48"/>
      <c r="X40" s="41"/>
      <c r="Y40" s="48"/>
      <c r="Z40" s="21"/>
      <c r="AA40" s="20">
        <f t="shared" si="14"/>
        <v>0</v>
      </c>
      <c r="AB40" s="19">
        <f t="shared" si="15"/>
        <v>0</v>
      </c>
      <c r="AC40" s="16">
        <v>20</v>
      </c>
      <c r="AD40" s="18"/>
      <c r="AE40" s="17"/>
      <c r="AF40" s="23">
        <f t="shared" si="16"/>
        <v>15</v>
      </c>
      <c r="AG40" s="16">
        <v>45</v>
      </c>
      <c r="AH40" s="23">
        <f t="shared" si="17"/>
        <v>80</v>
      </c>
      <c r="AI40" s="14">
        <f t="shared" si="18"/>
        <v>0.93</v>
      </c>
      <c r="AJ40" s="13"/>
      <c r="AK40" s="12">
        <v>0.01</v>
      </c>
      <c r="AL40" s="11">
        <f t="shared" si="19"/>
        <v>1.01</v>
      </c>
      <c r="AM40" s="10">
        <f t="shared" si="20"/>
        <v>6614780000</v>
      </c>
      <c r="AN40" s="9"/>
      <c r="AO40" s="8"/>
      <c r="AP40" s="8"/>
      <c r="AQ40" s="8"/>
      <c r="AR40" s="8"/>
      <c r="AS40" s="7"/>
      <c r="AT40" s="6">
        <f t="shared" si="21"/>
        <v>0</v>
      </c>
    </row>
    <row r="41" spans="1:46" s="37" customFormat="1" ht="45.75" customHeight="1" thickBot="1" x14ac:dyDescent="0.2">
      <c r="A41" s="36"/>
      <c r="B41" s="55"/>
      <c r="C41" s="73" t="s">
        <v>154</v>
      </c>
      <c r="D41" s="53"/>
      <c r="E41" s="39"/>
      <c r="F41" s="39"/>
      <c r="G41" s="33"/>
      <c r="H41" s="32"/>
      <c r="I41" s="38">
        <v>0.51</v>
      </c>
      <c r="J41" s="30">
        <v>0.49</v>
      </c>
      <c r="K41" s="29"/>
      <c r="L41" s="28"/>
      <c r="M41" s="27"/>
      <c r="N41" s="26">
        <f t="shared" si="11"/>
        <v>1</v>
      </c>
      <c r="O41" s="25">
        <v>15</v>
      </c>
      <c r="P41" s="43">
        <v>15</v>
      </c>
      <c r="Q41" s="24"/>
      <c r="R41" s="24"/>
      <c r="S41" s="23"/>
      <c r="T41" s="20">
        <f t="shared" si="12"/>
        <v>15</v>
      </c>
      <c r="U41" s="19">
        <f t="shared" si="13"/>
        <v>15</v>
      </c>
      <c r="V41" s="61">
        <v>12907222000</v>
      </c>
      <c r="W41" s="59"/>
      <c r="X41" s="22"/>
      <c r="Y41" s="22"/>
      <c r="Z41" s="21"/>
      <c r="AA41" s="20">
        <f t="shared" si="14"/>
        <v>7.01</v>
      </c>
      <c r="AB41" s="19">
        <f t="shared" si="15"/>
        <v>7.01</v>
      </c>
      <c r="AC41" s="16">
        <v>20</v>
      </c>
      <c r="AD41" s="18"/>
      <c r="AE41" s="17"/>
      <c r="AF41" s="23">
        <f t="shared" si="16"/>
        <v>22.009999999999998</v>
      </c>
      <c r="AG41" s="16">
        <v>45</v>
      </c>
      <c r="AH41" s="23">
        <f t="shared" si="17"/>
        <v>87.009999999999991</v>
      </c>
      <c r="AI41" s="14">
        <f t="shared" si="18"/>
        <v>0.89495000000000002</v>
      </c>
      <c r="AJ41" s="13"/>
      <c r="AK41" s="12">
        <v>0.01</v>
      </c>
      <c r="AL41" s="11">
        <f t="shared" si="19"/>
        <v>1.01</v>
      </c>
      <c r="AM41" s="10">
        <f t="shared" si="20"/>
        <v>6365481000</v>
      </c>
      <c r="AN41" s="9"/>
      <c r="AO41" s="8"/>
      <c r="AP41" s="8"/>
      <c r="AQ41" s="8"/>
      <c r="AR41" s="8"/>
      <c r="AS41" s="7"/>
      <c r="AT41" s="6">
        <f t="shared" si="21"/>
        <v>0</v>
      </c>
    </row>
    <row r="42" spans="1:46" s="37" customFormat="1" ht="45.75" customHeight="1" thickBot="1" x14ac:dyDescent="0.2">
      <c r="A42" s="35"/>
      <c r="B42" s="35"/>
      <c r="C42" s="80"/>
      <c r="D42" s="70" t="s">
        <v>153</v>
      </c>
      <c r="E42" s="73"/>
      <c r="F42" s="63"/>
      <c r="G42" s="51"/>
      <c r="H42" s="45"/>
      <c r="I42" s="38">
        <v>0.51</v>
      </c>
      <c r="J42" s="30">
        <v>0.49</v>
      </c>
      <c r="K42" s="29"/>
      <c r="L42" s="28"/>
      <c r="M42" s="27"/>
      <c r="N42" s="26">
        <f t="shared" si="11"/>
        <v>1</v>
      </c>
      <c r="O42" s="65">
        <v>15</v>
      </c>
      <c r="P42" s="23">
        <v>15</v>
      </c>
      <c r="Q42" s="42"/>
      <c r="R42" s="42"/>
      <c r="S42" s="23"/>
      <c r="T42" s="20">
        <f t="shared" si="12"/>
        <v>15</v>
      </c>
      <c r="U42" s="19">
        <f t="shared" si="13"/>
        <v>15</v>
      </c>
      <c r="V42" s="52"/>
      <c r="W42" s="59"/>
      <c r="X42" s="59"/>
      <c r="Y42" s="79"/>
      <c r="Z42" s="21"/>
      <c r="AA42" s="20">
        <f t="shared" si="14"/>
        <v>0</v>
      </c>
      <c r="AB42" s="19">
        <f t="shared" si="15"/>
        <v>0</v>
      </c>
      <c r="AC42" s="16">
        <v>20</v>
      </c>
      <c r="AD42" s="18"/>
      <c r="AE42" s="17"/>
      <c r="AF42" s="23">
        <f t="shared" si="16"/>
        <v>15</v>
      </c>
      <c r="AG42" s="16">
        <v>45</v>
      </c>
      <c r="AH42" s="23">
        <f t="shared" si="17"/>
        <v>80</v>
      </c>
      <c r="AI42" s="14">
        <f t="shared" si="18"/>
        <v>0.93</v>
      </c>
      <c r="AJ42" s="13"/>
      <c r="AK42" s="12">
        <v>0.01</v>
      </c>
      <c r="AL42" s="11">
        <f t="shared" si="19"/>
        <v>1.01</v>
      </c>
      <c r="AM42" s="10">
        <f t="shared" si="20"/>
        <v>6614780000</v>
      </c>
      <c r="AN42" s="9"/>
      <c r="AO42" s="16"/>
      <c r="AP42" s="72"/>
      <c r="AQ42" s="72"/>
      <c r="AR42" s="8"/>
      <c r="AS42" s="7"/>
      <c r="AT42" s="6">
        <f t="shared" si="21"/>
        <v>0</v>
      </c>
    </row>
    <row r="43" spans="1:46" s="37" customFormat="1" ht="45.75" customHeight="1" thickBot="1" x14ac:dyDescent="0.2">
      <c r="A43" s="35"/>
      <c r="B43" s="35"/>
      <c r="C43" s="73"/>
      <c r="D43" s="73"/>
      <c r="E43" s="73"/>
      <c r="F43" s="63"/>
      <c r="G43" s="51"/>
      <c r="H43" s="45"/>
      <c r="I43" s="38">
        <v>0.51</v>
      </c>
      <c r="J43" s="30">
        <v>0.49</v>
      </c>
      <c r="K43" s="29"/>
      <c r="L43" s="28"/>
      <c r="M43" s="27"/>
      <c r="N43" s="26">
        <f t="shared" si="11"/>
        <v>1</v>
      </c>
      <c r="O43" s="65">
        <v>15</v>
      </c>
      <c r="P43" s="23">
        <v>15</v>
      </c>
      <c r="Q43" s="42"/>
      <c r="R43" s="42"/>
      <c r="S43" s="23"/>
      <c r="T43" s="20">
        <f t="shared" si="12"/>
        <v>15</v>
      </c>
      <c r="U43" s="19">
        <f t="shared" si="13"/>
        <v>15</v>
      </c>
      <c r="V43" s="61"/>
      <c r="W43" s="59"/>
      <c r="X43" s="59"/>
      <c r="Y43" s="22"/>
      <c r="Z43" s="68"/>
      <c r="AA43" s="20">
        <f t="shared" si="14"/>
        <v>0</v>
      </c>
      <c r="AB43" s="19">
        <f t="shared" si="15"/>
        <v>0</v>
      </c>
      <c r="AC43" s="16">
        <v>20</v>
      </c>
      <c r="AD43" s="18"/>
      <c r="AE43" s="17"/>
      <c r="AF43" s="23">
        <f t="shared" si="16"/>
        <v>15</v>
      </c>
      <c r="AG43" s="16">
        <v>45</v>
      </c>
      <c r="AH43" s="23">
        <f t="shared" si="17"/>
        <v>80</v>
      </c>
      <c r="AI43" s="14">
        <f t="shared" si="18"/>
        <v>0.93</v>
      </c>
      <c r="AJ43" s="13"/>
      <c r="AK43" s="12">
        <v>0.01</v>
      </c>
      <c r="AL43" s="11">
        <f t="shared" si="19"/>
        <v>1.01</v>
      </c>
      <c r="AM43" s="10">
        <f t="shared" si="20"/>
        <v>6614780000</v>
      </c>
      <c r="AN43" s="9"/>
      <c r="AO43" s="16"/>
      <c r="AP43" s="71"/>
      <c r="AQ43" s="71"/>
      <c r="AR43" s="8"/>
      <c r="AS43" s="7"/>
      <c r="AT43" s="6">
        <f t="shared" si="21"/>
        <v>0</v>
      </c>
    </row>
    <row r="44" spans="1:46" s="37" customFormat="1" ht="45.75" customHeight="1" thickBot="1" x14ac:dyDescent="0.2">
      <c r="A44" s="35"/>
      <c r="B44" s="35"/>
      <c r="C44" s="73"/>
      <c r="D44" s="75" t="s">
        <v>152</v>
      </c>
      <c r="E44" s="70" t="s">
        <v>151</v>
      </c>
      <c r="F44" s="63"/>
      <c r="G44" s="51"/>
      <c r="H44" s="45"/>
      <c r="I44" s="38">
        <v>0.51</v>
      </c>
      <c r="J44" s="30">
        <v>0.49</v>
      </c>
      <c r="K44" s="29"/>
      <c r="L44" s="30"/>
      <c r="M44" s="27"/>
      <c r="N44" s="26">
        <f t="shared" si="11"/>
        <v>1</v>
      </c>
      <c r="O44" s="65">
        <v>15</v>
      </c>
      <c r="P44" s="23">
        <v>15</v>
      </c>
      <c r="Q44" s="42"/>
      <c r="R44" s="42"/>
      <c r="S44" s="42"/>
      <c r="T44" s="20">
        <f t="shared" si="12"/>
        <v>15</v>
      </c>
      <c r="U44" s="19">
        <f t="shared" si="13"/>
        <v>15</v>
      </c>
      <c r="V44" s="68"/>
      <c r="W44" s="68">
        <v>1966034000</v>
      </c>
      <c r="X44" s="59">
        <v>3324955000</v>
      </c>
      <c r="Y44" s="68"/>
      <c r="Z44" s="59"/>
      <c r="AA44" s="20">
        <f t="shared" si="14"/>
        <v>1.03</v>
      </c>
      <c r="AB44" s="19">
        <f t="shared" si="15"/>
        <v>1.03</v>
      </c>
      <c r="AC44" s="16">
        <v>20</v>
      </c>
      <c r="AD44" s="18"/>
      <c r="AE44" s="17"/>
      <c r="AF44" s="23">
        <f t="shared" si="16"/>
        <v>16.03</v>
      </c>
      <c r="AG44" s="16">
        <v>45</v>
      </c>
      <c r="AH44" s="23">
        <f t="shared" si="17"/>
        <v>81.03</v>
      </c>
      <c r="AI44" s="14">
        <f t="shared" si="18"/>
        <v>0.92484999999999995</v>
      </c>
      <c r="AJ44" s="13"/>
      <c r="AK44" s="12">
        <v>0.01</v>
      </c>
      <c r="AL44" s="11">
        <f t="shared" si="19"/>
        <v>1.01</v>
      </c>
      <c r="AM44" s="10">
        <f t="shared" si="20"/>
        <v>6578150000</v>
      </c>
      <c r="AN44" s="9"/>
      <c r="AO44" s="71"/>
      <c r="AP44" s="71"/>
      <c r="AQ44" s="71"/>
      <c r="AR44" s="8"/>
      <c r="AS44" s="7"/>
      <c r="AT44" s="6">
        <f t="shared" si="21"/>
        <v>0</v>
      </c>
    </row>
    <row r="45" spans="1:46" s="37" customFormat="1" ht="45.75" customHeight="1" thickBot="1" x14ac:dyDescent="0.2">
      <c r="A45" s="35"/>
      <c r="B45" s="35"/>
      <c r="C45" s="73"/>
      <c r="D45" s="73" t="s">
        <v>150</v>
      </c>
      <c r="E45" s="39"/>
      <c r="F45" s="63"/>
      <c r="G45" s="51"/>
      <c r="H45" s="45"/>
      <c r="I45" s="38">
        <v>0.51</v>
      </c>
      <c r="J45" s="30">
        <v>0.49</v>
      </c>
      <c r="K45" s="29"/>
      <c r="L45" s="28"/>
      <c r="M45" s="27"/>
      <c r="N45" s="26">
        <f t="shared" si="11"/>
        <v>1</v>
      </c>
      <c r="O45" s="65">
        <v>15</v>
      </c>
      <c r="P45" s="23">
        <v>15</v>
      </c>
      <c r="Q45" s="42"/>
      <c r="R45" s="42"/>
      <c r="S45" s="42"/>
      <c r="T45" s="20">
        <f t="shared" si="12"/>
        <v>15</v>
      </c>
      <c r="U45" s="19">
        <f t="shared" si="13"/>
        <v>15</v>
      </c>
      <c r="V45" s="61"/>
      <c r="W45" s="62">
        <v>9345491000</v>
      </c>
      <c r="X45" s="59"/>
      <c r="Y45" s="22"/>
      <c r="Z45" s="68"/>
      <c r="AA45" s="20">
        <f t="shared" si="14"/>
        <v>4.88</v>
      </c>
      <c r="AB45" s="19">
        <f t="shared" si="15"/>
        <v>4.88</v>
      </c>
      <c r="AC45" s="16">
        <v>20</v>
      </c>
      <c r="AD45" s="18"/>
      <c r="AE45" s="17"/>
      <c r="AF45" s="23">
        <f t="shared" si="16"/>
        <v>19.88</v>
      </c>
      <c r="AG45" s="16">
        <v>45</v>
      </c>
      <c r="AH45" s="23">
        <f t="shared" si="17"/>
        <v>84.88</v>
      </c>
      <c r="AI45" s="14">
        <f t="shared" si="18"/>
        <v>0.90560000000000007</v>
      </c>
      <c r="AJ45" s="13"/>
      <c r="AK45" s="12">
        <v>0.01</v>
      </c>
      <c r="AL45" s="11">
        <f t="shared" si="19"/>
        <v>1.01</v>
      </c>
      <c r="AM45" s="10">
        <f t="shared" si="20"/>
        <v>6441231000</v>
      </c>
      <c r="AN45" s="9"/>
      <c r="AO45" s="8"/>
      <c r="AP45" s="8"/>
      <c r="AQ45" s="8"/>
      <c r="AR45" s="8"/>
      <c r="AS45" s="7"/>
      <c r="AT45" s="6">
        <f t="shared" si="21"/>
        <v>0</v>
      </c>
    </row>
    <row r="46" spans="1:46" s="37" customFormat="1" ht="45.75" customHeight="1" thickBot="1" x14ac:dyDescent="0.2">
      <c r="A46" s="35"/>
      <c r="B46" s="35"/>
      <c r="C46" s="73"/>
      <c r="D46" s="73"/>
      <c r="E46" s="73"/>
      <c r="F46" s="73"/>
      <c r="G46" s="73"/>
      <c r="H46" s="45"/>
      <c r="I46" s="38">
        <v>0.51</v>
      </c>
      <c r="J46" s="30">
        <v>0.49</v>
      </c>
      <c r="K46" s="29"/>
      <c r="L46" s="28"/>
      <c r="M46" s="27"/>
      <c r="N46" s="26">
        <f t="shared" si="11"/>
        <v>1</v>
      </c>
      <c r="O46" s="65">
        <v>15</v>
      </c>
      <c r="P46" s="23">
        <v>15</v>
      </c>
      <c r="Q46" s="42"/>
      <c r="R46" s="42"/>
      <c r="S46" s="23"/>
      <c r="T46" s="20">
        <f t="shared" si="12"/>
        <v>15</v>
      </c>
      <c r="U46" s="19">
        <f t="shared" si="13"/>
        <v>15</v>
      </c>
      <c r="V46" s="68"/>
      <c r="W46" s="62"/>
      <c r="X46" s="78"/>
      <c r="Y46" s="22"/>
      <c r="Z46" s="68"/>
      <c r="AA46" s="20">
        <f t="shared" si="14"/>
        <v>0</v>
      </c>
      <c r="AB46" s="19">
        <f t="shared" si="15"/>
        <v>0</v>
      </c>
      <c r="AC46" s="16">
        <v>20</v>
      </c>
      <c r="AD46" s="18"/>
      <c r="AE46" s="17"/>
      <c r="AF46" s="23">
        <f t="shared" si="16"/>
        <v>15</v>
      </c>
      <c r="AG46" s="16">
        <v>45</v>
      </c>
      <c r="AH46" s="23">
        <f t="shared" si="17"/>
        <v>80</v>
      </c>
      <c r="AI46" s="14">
        <f t="shared" si="18"/>
        <v>0.93</v>
      </c>
      <c r="AJ46" s="13"/>
      <c r="AK46" s="12">
        <v>0.01</v>
      </c>
      <c r="AL46" s="11">
        <f t="shared" si="19"/>
        <v>1.01</v>
      </c>
      <c r="AM46" s="10">
        <f t="shared" si="20"/>
        <v>6614780000</v>
      </c>
      <c r="AN46" s="9"/>
      <c r="AO46" s="71"/>
      <c r="AP46" s="71"/>
      <c r="AQ46" s="71"/>
      <c r="AR46" s="8"/>
      <c r="AS46" s="7"/>
      <c r="AT46" s="6">
        <f t="shared" si="21"/>
        <v>0</v>
      </c>
    </row>
    <row r="47" spans="1:46" s="37" customFormat="1" ht="45.75" customHeight="1" thickBot="1" x14ac:dyDescent="0.2">
      <c r="A47" s="35"/>
      <c r="B47" s="35"/>
      <c r="C47" s="73"/>
      <c r="D47" s="70" t="s">
        <v>149</v>
      </c>
      <c r="E47" s="70" t="s">
        <v>148</v>
      </c>
      <c r="F47" s="70" t="s">
        <v>147</v>
      </c>
      <c r="G47" s="73"/>
      <c r="H47" s="77"/>
      <c r="I47" s="38">
        <v>0.51</v>
      </c>
      <c r="J47" s="30">
        <v>0.49</v>
      </c>
      <c r="K47" s="29"/>
      <c r="L47" s="28"/>
      <c r="M47" s="27"/>
      <c r="N47" s="26">
        <f t="shared" si="11"/>
        <v>1</v>
      </c>
      <c r="O47" s="65">
        <v>15</v>
      </c>
      <c r="P47" s="23">
        <v>15</v>
      </c>
      <c r="Q47" s="42"/>
      <c r="R47" s="42"/>
      <c r="S47" s="42"/>
      <c r="T47" s="20">
        <f t="shared" si="12"/>
        <v>15</v>
      </c>
      <c r="U47" s="19">
        <f t="shared" si="13"/>
        <v>15</v>
      </c>
      <c r="V47" s="22"/>
      <c r="W47" s="68"/>
      <c r="X47" s="59"/>
      <c r="Y47" s="22"/>
      <c r="Z47" s="68"/>
      <c r="AA47" s="20">
        <f t="shared" si="14"/>
        <v>0</v>
      </c>
      <c r="AB47" s="19">
        <f t="shared" si="15"/>
        <v>0</v>
      </c>
      <c r="AC47" s="16">
        <v>20</v>
      </c>
      <c r="AD47" s="18"/>
      <c r="AE47" s="17"/>
      <c r="AF47" s="23">
        <f t="shared" si="16"/>
        <v>15</v>
      </c>
      <c r="AG47" s="16">
        <v>45</v>
      </c>
      <c r="AH47" s="23">
        <f t="shared" si="17"/>
        <v>80</v>
      </c>
      <c r="AI47" s="14">
        <f t="shared" si="18"/>
        <v>0.93</v>
      </c>
      <c r="AJ47" s="13"/>
      <c r="AK47" s="12">
        <v>0.01</v>
      </c>
      <c r="AL47" s="11">
        <f t="shared" si="19"/>
        <v>1.01</v>
      </c>
      <c r="AM47" s="10">
        <f t="shared" si="20"/>
        <v>6614780000</v>
      </c>
      <c r="AN47" s="9"/>
      <c r="AO47" s="16"/>
      <c r="AP47" s="71"/>
      <c r="AQ47" s="71"/>
      <c r="AR47" s="8"/>
      <c r="AS47" s="7"/>
      <c r="AT47" s="6">
        <f t="shared" si="21"/>
        <v>0</v>
      </c>
    </row>
    <row r="48" spans="1:46" s="37" customFormat="1" ht="45.75" customHeight="1" thickBot="1" x14ac:dyDescent="0.2">
      <c r="A48" s="35"/>
      <c r="B48" s="35"/>
      <c r="C48" s="70" t="s">
        <v>171</v>
      </c>
      <c r="D48" s="75" t="s">
        <v>146</v>
      </c>
      <c r="E48" s="70" t="s">
        <v>144</v>
      </c>
      <c r="F48" s="73"/>
      <c r="G48" s="73"/>
      <c r="H48" s="45"/>
      <c r="I48" s="38">
        <v>0.4</v>
      </c>
      <c r="J48" s="30">
        <v>0.3</v>
      </c>
      <c r="K48" s="29">
        <v>0.3</v>
      </c>
      <c r="L48" s="30"/>
      <c r="M48" s="27"/>
      <c r="N48" s="26">
        <f t="shared" si="11"/>
        <v>1</v>
      </c>
      <c r="O48" s="65">
        <v>15</v>
      </c>
      <c r="P48" s="23">
        <v>15</v>
      </c>
      <c r="Q48" s="23">
        <v>15</v>
      </c>
      <c r="R48" s="42"/>
      <c r="S48" s="42"/>
      <c r="T48" s="20">
        <f t="shared" si="12"/>
        <v>15</v>
      </c>
      <c r="U48" s="19">
        <f t="shared" si="13"/>
        <v>15</v>
      </c>
      <c r="V48" s="85">
        <v>3425675000</v>
      </c>
      <c r="W48" s="22"/>
      <c r="X48" s="76"/>
      <c r="Y48" s="22"/>
      <c r="Z48" s="68"/>
      <c r="AA48" s="20">
        <f t="shared" si="14"/>
        <v>1.46</v>
      </c>
      <c r="AB48" s="19">
        <f t="shared" si="15"/>
        <v>1.46</v>
      </c>
      <c r="AC48" s="16">
        <v>20</v>
      </c>
      <c r="AD48" s="18"/>
      <c r="AE48" s="17"/>
      <c r="AF48" s="23">
        <f t="shared" si="16"/>
        <v>16.46</v>
      </c>
      <c r="AG48" s="16">
        <v>45</v>
      </c>
      <c r="AH48" s="23">
        <f t="shared" si="17"/>
        <v>81.460000000000008</v>
      </c>
      <c r="AI48" s="14">
        <f t="shared" si="18"/>
        <v>0.92269999999999996</v>
      </c>
      <c r="AJ48" s="13"/>
      <c r="AK48" s="12">
        <v>0.01</v>
      </c>
      <c r="AL48" s="11">
        <f t="shared" si="19"/>
        <v>1.01</v>
      </c>
      <c r="AM48" s="10">
        <f t="shared" si="20"/>
        <v>6562858000</v>
      </c>
      <c r="AN48" s="9"/>
      <c r="AO48" s="71"/>
      <c r="AP48" s="71"/>
      <c r="AQ48" s="71"/>
      <c r="AR48" s="8"/>
      <c r="AS48" s="7"/>
      <c r="AT48" s="6">
        <f t="shared" si="21"/>
        <v>0</v>
      </c>
    </row>
    <row r="49" spans="1:46" s="37" customFormat="1" ht="45.75" customHeight="1" thickBot="1" x14ac:dyDescent="0.2">
      <c r="A49" s="35"/>
      <c r="B49" s="35"/>
      <c r="C49" s="73"/>
      <c r="D49" s="73" t="s">
        <v>143</v>
      </c>
      <c r="E49" s="73" t="s">
        <v>142</v>
      </c>
      <c r="F49" s="73"/>
      <c r="G49" s="51"/>
      <c r="H49" s="45"/>
      <c r="I49" s="38">
        <v>0.51</v>
      </c>
      <c r="J49" s="30">
        <v>0.49</v>
      </c>
      <c r="K49" s="29"/>
      <c r="L49" s="28"/>
      <c r="M49" s="27"/>
      <c r="N49" s="26">
        <f t="shared" si="11"/>
        <v>1</v>
      </c>
      <c r="O49" s="65">
        <v>15</v>
      </c>
      <c r="P49" s="23">
        <v>15</v>
      </c>
      <c r="Q49" s="42"/>
      <c r="R49" s="42"/>
      <c r="S49" s="23"/>
      <c r="T49" s="20">
        <f t="shared" si="12"/>
        <v>15</v>
      </c>
      <c r="U49" s="19">
        <f t="shared" si="13"/>
        <v>15</v>
      </c>
      <c r="V49" s="59"/>
      <c r="W49" s="22">
        <v>7486618000</v>
      </c>
      <c r="X49" s="59"/>
      <c r="Y49" s="22"/>
      <c r="Z49" s="68"/>
      <c r="AA49" s="20">
        <f t="shared" si="14"/>
        <v>3.91</v>
      </c>
      <c r="AB49" s="19">
        <f t="shared" si="15"/>
        <v>3.91</v>
      </c>
      <c r="AC49" s="16">
        <v>20</v>
      </c>
      <c r="AD49" s="18"/>
      <c r="AE49" s="17"/>
      <c r="AF49" s="23">
        <f t="shared" si="16"/>
        <v>18.91</v>
      </c>
      <c r="AG49" s="16">
        <v>45</v>
      </c>
      <c r="AH49" s="23">
        <f t="shared" si="17"/>
        <v>83.91</v>
      </c>
      <c r="AI49" s="14">
        <f t="shared" si="18"/>
        <v>0.91044999999999998</v>
      </c>
      <c r="AJ49" s="13"/>
      <c r="AK49" s="12">
        <v>0.01</v>
      </c>
      <c r="AL49" s="11">
        <f t="shared" si="19"/>
        <v>1.01</v>
      </c>
      <c r="AM49" s="10">
        <f t="shared" si="20"/>
        <v>6475728000</v>
      </c>
      <c r="AN49" s="9"/>
      <c r="AO49" s="74"/>
      <c r="AP49" s="72"/>
      <c r="AQ49" s="72"/>
      <c r="AR49" s="8"/>
      <c r="AS49" s="7"/>
      <c r="AT49" s="6">
        <f t="shared" si="21"/>
        <v>0</v>
      </c>
    </row>
    <row r="50" spans="1:46" s="37" customFormat="1" ht="45.75" customHeight="1" thickBot="1" x14ac:dyDescent="0.2">
      <c r="A50" s="35"/>
      <c r="B50" s="35"/>
      <c r="C50" s="39"/>
      <c r="D50" s="39"/>
      <c r="E50" s="39"/>
      <c r="F50" s="63"/>
      <c r="G50" s="51"/>
      <c r="H50" s="45"/>
      <c r="I50" s="38">
        <v>0.51</v>
      </c>
      <c r="J50" s="30">
        <v>0.49</v>
      </c>
      <c r="K50" s="29"/>
      <c r="L50" s="28"/>
      <c r="M50" s="27"/>
      <c r="N50" s="26">
        <f t="shared" si="11"/>
        <v>1</v>
      </c>
      <c r="O50" s="23">
        <v>15</v>
      </c>
      <c r="P50" s="23">
        <v>15</v>
      </c>
      <c r="Q50" s="42"/>
      <c r="R50" s="42"/>
      <c r="S50" s="42"/>
      <c r="T50" s="20">
        <f t="shared" si="12"/>
        <v>15</v>
      </c>
      <c r="U50" s="19">
        <f t="shared" si="13"/>
        <v>15</v>
      </c>
      <c r="V50" s="61"/>
      <c r="W50" s="59"/>
      <c r="X50" s="61"/>
      <c r="Y50" s="22"/>
      <c r="Z50" s="21"/>
      <c r="AA50" s="20">
        <f t="shared" si="14"/>
        <v>0</v>
      </c>
      <c r="AB50" s="19">
        <f t="shared" si="15"/>
        <v>0</v>
      </c>
      <c r="AC50" s="16">
        <v>20</v>
      </c>
      <c r="AD50" s="18"/>
      <c r="AE50" s="17"/>
      <c r="AF50" s="23">
        <f t="shared" si="16"/>
        <v>15</v>
      </c>
      <c r="AG50" s="16">
        <v>45</v>
      </c>
      <c r="AH50" s="23">
        <f t="shared" si="17"/>
        <v>80</v>
      </c>
      <c r="AI50" s="14">
        <f t="shared" si="18"/>
        <v>0.93</v>
      </c>
      <c r="AJ50" s="13"/>
      <c r="AK50" s="12">
        <v>0.01</v>
      </c>
      <c r="AL50" s="11">
        <f t="shared" si="19"/>
        <v>1.01</v>
      </c>
      <c r="AM50" s="10">
        <f t="shared" si="20"/>
        <v>6614780000</v>
      </c>
      <c r="AN50" s="9"/>
      <c r="AO50" s="8"/>
      <c r="AP50" s="8"/>
      <c r="AQ50" s="8"/>
      <c r="AR50" s="8"/>
      <c r="AS50" s="7"/>
      <c r="AT50" s="6">
        <f t="shared" si="21"/>
        <v>0</v>
      </c>
    </row>
    <row r="51" spans="1:46" s="37" customFormat="1" ht="45.75" customHeight="1" thickBot="1" x14ac:dyDescent="0.2">
      <c r="A51" s="35"/>
      <c r="B51" s="35"/>
      <c r="C51" s="70" t="s">
        <v>141</v>
      </c>
      <c r="D51" s="70" t="s">
        <v>140</v>
      </c>
      <c r="E51" s="75" t="s">
        <v>139</v>
      </c>
      <c r="F51" s="70" t="s">
        <v>138</v>
      </c>
      <c r="G51" s="70" t="s">
        <v>137</v>
      </c>
      <c r="H51" s="45"/>
      <c r="I51" s="38">
        <v>0.5</v>
      </c>
      <c r="J51" s="30">
        <v>0.25</v>
      </c>
      <c r="K51" s="29">
        <v>0.25</v>
      </c>
      <c r="L51" s="28"/>
      <c r="M51" s="27"/>
      <c r="N51" s="26">
        <f t="shared" si="11"/>
        <v>1</v>
      </c>
      <c r="O51" s="65">
        <v>15</v>
      </c>
      <c r="P51" s="23">
        <v>15</v>
      </c>
      <c r="Q51" s="23">
        <v>15</v>
      </c>
      <c r="R51" s="42"/>
      <c r="S51" s="23"/>
      <c r="T51" s="20">
        <f t="shared" si="12"/>
        <v>15</v>
      </c>
      <c r="U51" s="19">
        <f t="shared" si="13"/>
        <v>15</v>
      </c>
      <c r="V51" s="22">
        <v>1364132000</v>
      </c>
      <c r="W51" s="22">
        <v>3231169000</v>
      </c>
      <c r="X51" s="68">
        <v>3586189000</v>
      </c>
      <c r="Y51" s="59">
        <v>1177604000</v>
      </c>
      <c r="Z51" s="22">
        <v>6584044000</v>
      </c>
      <c r="AA51" s="20">
        <f t="shared" si="14"/>
        <v>2.54</v>
      </c>
      <c r="AB51" s="19">
        <f t="shared" si="15"/>
        <v>2.54</v>
      </c>
      <c r="AC51" s="16">
        <v>20</v>
      </c>
      <c r="AD51" s="18"/>
      <c r="AE51" s="17"/>
      <c r="AF51" s="23">
        <f t="shared" si="16"/>
        <v>17.54</v>
      </c>
      <c r="AG51" s="16">
        <v>45</v>
      </c>
      <c r="AH51" s="23">
        <f t="shared" si="17"/>
        <v>82.539999999999992</v>
      </c>
      <c r="AI51" s="14">
        <f t="shared" si="18"/>
        <v>0.9173</v>
      </c>
      <c r="AJ51" s="13"/>
      <c r="AK51" s="12">
        <v>0.01</v>
      </c>
      <c r="AL51" s="11">
        <f t="shared" si="19"/>
        <v>1.01</v>
      </c>
      <c r="AM51" s="10">
        <f t="shared" si="20"/>
        <v>6524449000</v>
      </c>
      <c r="AN51" s="9"/>
      <c r="AO51" s="16"/>
      <c r="AP51" s="71"/>
      <c r="AQ51" s="71"/>
      <c r="AR51" s="8"/>
      <c r="AS51" s="7"/>
      <c r="AT51" s="6">
        <f t="shared" si="21"/>
        <v>0</v>
      </c>
    </row>
    <row r="52" spans="1:46" s="37" customFormat="1" ht="45.75" customHeight="1" thickBot="1" x14ac:dyDescent="0.2">
      <c r="A52" s="35"/>
      <c r="B52" s="35"/>
      <c r="C52" s="73"/>
      <c r="D52" s="73"/>
      <c r="E52" s="73"/>
      <c r="F52" s="73"/>
      <c r="G52" s="51"/>
      <c r="H52" s="45"/>
      <c r="I52" s="38">
        <v>0.51</v>
      </c>
      <c r="J52" s="30">
        <v>0.49</v>
      </c>
      <c r="K52" s="29"/>
      <c r="L52" s="28"/>
      <c r="M52" s="27"/>
      <c r="N52" s="26">
        <f t="shared" si="11"/>
        <v>1</v>
      </c>
      <c r="O52" s="65">
        <v>15</v>
      </c>
      <c r="P52" s="23">
        <v>15</v>
      </c>
      <c r="Q52" s="42"/>
      <c r="R52" s="42"/>
      <c r="S52" s="23"/>
      <c r="T52" s="20">
        <f t="shared" si="12"/>
        <v>15</v>
      </c>
      <c r="U52" s="19">
        <f t="shared" si="13"/>
        <v>15</v>
      </c>
      <c r="V52" s="22"/>
      <c r="W52" s="22"/>
      <c r="X52" s="22"/>
      <c r="Y52" s="22"/>
      <c r="Z52" s="68"/>
      <c r="AA52" s="20">
        <f t="shared" si="14"/>
        <v>0</v>
      </c>
      <c r="AB52" s="19">
        <f t="shared" si="15"/>
        <v>0</v>
      </c>
      <c r="AC52" s="16">
        <v>20</v>
      </c>
      <c r="AD52" s="18"/>
      <c r="AE52" s="17"/>
      <c r="AF52" s="23">
        <f t="shared" si="16"/>
        <v>15</v>
      </c>
      <c r="AG52" s="16">
        <v>45</v>
      </c>
      <c r="AH52" s="23">
        <f t="shared" si="17"/>
        <v>80</v>
      </c>
      <c r="AI52" s="14">
        <f t="shared" si="18"/>
        <v>0.93</v>
      </c>
      <c r="AJ52" s="13"/>
      <c r="AK52" s="12">
        <v>0.01</v>
      </c>
      <c r="AL52" s="11">
        <f t="shared" si="19"/>
        <v>1.01</v>
      </c>
      <c r="AM52" s="10">
        <f t="shared" si="20"/>
        <v>6614780000</v>
      </c>
      <c r="AN52" s="9"/>
      <c r="AO52" s="74"/>
      <c r="AP52" s="16"/>
      <c r="AQ52" s="16"/>
      <c r="AR52" s="8"/>
      <c r="AS52" s="7"/>
      <c r="AT52" s="6">
        <f t="shared" si="21"/>
        <v>0</v>
      </c>
    </row>
    <row r="53" spans="1:46" s="37" customFormat="1" ht="45.75" customHeight="1" thickBot="1" x14ac:dyDescent="0.2">
      <c r="A53" s="35"/>
      <c r="B53" s="35"/>
      <c r="C53" s="73"/>
      <c r="D53" s="73"/>
      <c r="E53" s="73"/>
      <c r="F53" s="73"/>
      <c r="G53" s="73" t="s">
        <v>136</v>
      </c>
      <c r="H53" s="45" t="s">
        <v>135</v>
      </c>
      <c r="I53" s="38">
        <v>0.51</v>
      </c>
      <c r="J53" s="30">
        <v>0.49</v>
      </c>
      <c r="K53" s="29"/>
      <c r="L53" s="28"/>
      <c r="M53" s="27"/>
      <c r="N53" s="26">
        <f t="shared" si="11"/>
        <v>1</v>
      </c>
      <c r="O53" s="65">
        <v>15</v>
      </c>
      <c r="P53" s="23">
        <v>15</v>
      </c>
      <c r="Q53" s="42"/>
      <c r="R53" s="42"/>
      <c r="S53" s="23"/>
      <c r="T53" s="20">
        <f t="shared" si="12"/>
        <v>15</v>
      </c>
      <c r="U53" s="19">
        <f t="shared" si="13"/>
        <v>15</v>
      </c>
      <c r="V53" s="22"/>
      <c r="W53" s="59"/>
      <c r="X53" s="59"/>
      <c r="Y53" s="22"/>
      <c r="Z53" s="21"/>
      <c r="AA53" s="20">
        <f t="shared" si="14"/>
        <v>0</v>
      </c>
      <c r="AB53" s="19">
        <f t="shared" si="15"/>
        <v>0</v>
      </c>
      <c r="AC53" s="16">
        <v>20</v>
      </c>
      <c r="AD53" s="18"/>
      <c r="AE53" s="17"/>
      <c r="AF53" s="23">
        <f t="shared" si="16"/>
        <v>15</v>
      </c>
      <c r="AG53" s="16">
        <v>45</v>
      </c>
      <c r="AH53" s="23">
        <f t="shared" si="17"/>
        <v>80</v>
      </c>
      <c r="AI53" s="14">
        <f t="shared" si="18"/>
        <v>0.93</v>
      </c>
      <c r="AJ53" s="13"/>
      <c r="AK53" s="12">
        <v>0.01</v>
      </c>
      <c r="AL53" s="11">
        <f t="shared" si="19"/>
        <v>1.01</v>
      </c>
      <c r="AM53" s="10">
        <f t="shared" si="20"/>
        <v>6614780000</v>
      </c>
      <c r="AN53" s="9"/>
      <c r="AO53" s="16"/>
      <c r="AP53" s="72"/>
      <c r="AQ53" s="71"/>
      <c r="AR53" s="8"/>
      <c r="AS53" s="7"/>
      <c r="AT53" s="6">
        <f t="shared" si="21"/>
        <v>0</v>
      </c>
    </row>
    <row r="54" spans="1:46" s="37" customFormat="1" ht="45.75" customHeight="1" thickBot="1" x14ac:dyDescent="0.2">
      <c r="A54" s="35"/>
      <c r="B54" s="35"/>
      <c r="C54" s="39"/>
      <c r="D54" s="53"/>
      <c r="E54" s="63"/>
      <c r="F54" s="63"/>
      <c r="G54" s="51"/>
      <c r="H54" s="45"/>
      <c r="I54" s="38">
        <v>0.51</v>
      </c>
      <c r="J54" s="30">
        <v>0.49</v>
      </c>
      <c r="K54" s="29"/>
      <c r="L54" s="28"/>
      <c r="M54" s="27"/>
      <c r="N54" s="26">
        <f t="shared" si="11"/>
        <v>1</v>
      </c>
      <c r="O54" s="23">
        <v>15</v>
      </c>
      <c r="P54" s="23">
        <v>15</v>
      </c>
      <c r="Q54" s="42"/>
      <c r="R54" s="24"/>
      <c r="S54" s="23"/>
      <c r="T54" s="20">
        <f t="shared" si="12"/>
        <v>15</v>
      </c>
      <c r="U54" s="19">
        <f t="shared" si="13"/>
        <v>15</v>
      </c>
      <c r="V54" s="61"/>
      <c r="W54" s="59"/>
      <c r="X54" s="22"/>
      <c r="Y54" s="22"/>
      <c r="Z54" s="68"/>
      <c r="AA54" s="20">
        <f t="shared" si="14"/>
        <v>0</v>
      </c>
      <c r="AB54" s="19">
        <f t="shared" si="15"/>
        <v>0</v>
      </c>
      <c r="AC54" s="16">
        <v>20</v>
      </c>
      <c r="AD54" s="18"/>
      <c r="AE54" s="17"/>
      <c r="AF54" s="23">
        <f t="shared" si="16"/>
        <v>15</v>
      </c>
      <c r="AG54" s="16">
        <v>45</v>
      </c>
      <c r="AH54" s="23">
        <f t="shared" si="17"/>
        <v>80</v>
      </c>
      <c r="AI54" s="14">
        <f t="shared" si="18"/>
        <v>0.93</v>
      </c>
      <c r="AJ54" s="13"/>
      <c r="AK54" s="12">
        <v>0.01</v>
      </c>
      <c r="AL54" s="11">
        <f t="shared" si="19"/>
        <v>1.01</v>
      </c>
      <c r="AM54" s="10">
        <f t="shared" si="20"/>
        <v>6614780000</v>
      </c>
      <c r="AN54" s="9"/>
      <c r="AO54" s="8"/>
      <c r="AP54" s="8"/>
      <c r="AQ54" s="8"/>
      <c r="AR54" s="8"/>
      <c r="AS54" s="7"/>
      <c r="AT54" s="6">
        <f t="shared" si="21"/>
        <v>0</v>
      </c>
    </row>
    <row r="55" spans="1:46" s="37" customFormat="1" ht="45.75" customHeight="1" thickBot="1" x14ac:dyDescent="0.2">
      <c r="A55" s="35"/>
      <c r="B55" s="35"/>
      <c r="C55" s="39"/>
      <c r="D55" s="70" t="s">
        <v>134</v>
      </c>
      <c r="E55" s="39"/>
      <c r="F55" s="63"/>
      <c r="G55" s="51"/>
      <c r="H55" s="45"/>
      <c r="I55" s="38">
        <v>0.51</v>
      </c>
      <c r="J55" s="30">
        <v>0.49</v>
      </c>
      <c r="K55" s="29"/>
      <c r="L55" s="28"/>
      <c r="M55" s="27"/>
      <c r="N55" s="26">
        <f t="shared" si="11"/>
        <v>1</v>
      </c>
      <c r="O55" s="23">
        <v>15</v>
      </c>
      <c r="P55" s="23">
        <v>15</v>
      </c>
      <c r="Q55" s="69"/>
      <c r="R55" s="24"/>
      <c r="S55" s="23"/>
      <c r="T55" s="20">
        <f t="shared" si="12"/>
        <v>15</v>
      </c>
      <c r="U55" s="19">
        <f t="shared" si="13"/>
        <v>15</v>
      </c>
      <c r="V55" s="61"/>
      <c r="W55" s="68">
        <v>20418317000</v>
      </c>
      <c r="X55" s="59"/>
      <c r="Y55" s="22"/>
      <c r="Z55" s="21"/>
      <c r="AA55" s="20">
        <f t="shared" si="14"/>
        <v>10.66</v>
      </c>
      <c r="AB55" s="19">
        <f t="shared" si="15"/>
        <v>10.66</v>
      </c>
      <c r="AC55" s="16">
        <v>20</v>
      </c>
      <c r="AD55" s="18"/>
      <c r="AE55" s="17"/>
      <c r="AF55" s="23">
        <f t="shared" si="16"/>
        <v>25.66</v>
      </c>
      <c r="AG55" s="16">
        <v>45</v>
      </c>
      <c r="AH55" s="23">
        <f t="shared" si="17"/>
        <v>90.66</v>
      </c>
      <c r="AI55" s="14">
        <f t="shared" si="18"/>
        <v>0.87670000000000003</v>
      </c>
      <c r="AJ55" s="13"/>
      <c r="AK55" s="12">
        <v>0.01</v>
      </c>
      <c r="AL55" s="11">
        <f t="shared" si="19"/>
        <v>1.01</v>
      </c>
      <c r="AM55" s="10">
        <f t="shared" si="20"/>
        <v>6235675000</v>
      </c>
      <c r="AN55" s="9"/>
      <c r="AO55" s="8"/>
      <c r="AP55" s="8"/>
      <c r="AQ55" s="8"/>
      <c r="AR55" s="8"/>
      <c r="AS55" s="7"/>
      <c r="AT55" s="6">
        <f t="shared" si="21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11"/>
        <v>1</v>
      </c>
      <c r="O56" s="25">
        <v>15</v>
      </c>
      <c r="P56" s="23">
        <v>15</v>
      </c>
      <c r="Q56" s="24"/>
      <c r="R56" s="24"/>
      <c r="S56" s="23"/>
      <c r="T56" s="20">
        <f t="shared" si="12"/>
        <v>15</v>
      </c>
      <c r="U56" s="19">
        <f t="shared" si="13"/>
        <v>15</v>
      </c>
      <c r="V56" s="48"/>
      <c r="W56" s="22"/>
      <c r="X56" s="22"/>
      <c r="Y56" s="22"/>
      <c r="Z56" s="21"/>
      <c r="AA56" s="20">
        <f t="shared" si="14"/>
        <v>0</v>
      </c>
      <c r="AB56" s="19">
        <f t="shared" si="15"/>
        <v>0</v>
      </c>
      <c r="AC56" s="16">
        <v>20</v>
      </c>
      <c r="AD56" s="18"/>
      <c r="AE56" s="17"/>
      <c r="AF56" s="23">
        <f t="shared" si="16"/>
        <v>15</v>
      </c>
      <c r="AG56" s="16">
        <v>45</v>
      </c>
      <c r="AH56" s="23">
        <f t="shared" si="17"/>
        <v>80</v>
      </c>
      <c r="AI56" s="14">
        <f t="shared" si="18"/>
        <v>0.93</v>
      </c>
      <c r="AJ56" s="13"/>
      <c r="AK56" s="12">
        <v>0.01</v>
      </c>
      <c r="AL56" s="11">
        <f t="shared" si="19"/>
        <v>1.01</v>
      </c>
      <c r="AM56" s="10">
        <f t="shared" si="20"/>
        <v>6614780000</v>
      </c>
      <c r="AN56" s="9"/>
      <c r="AO56" s="8"/>
      <c r="AP56" s="8"/>
      <c r="AQ56" s="8"/>
      <c r="AR56" s="8"/>
      <c r="AS56" s="7"/>
      <c r="AT56" s="6">
        <f t="shared" si="21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11"/>
        <v>1</v>
      </c>
      <c r="O57" s="25">
        <v>15</v>
      </c>
      <c r="P57" s="23">
        <v>15</v>
      </c>
      <c r="Q57" s="24"/>
      <c r="R57" s="24"/>
      <c r="S57" s="23"/>
      <c r="T57" s="20">
        <f t="shared" si="12"/>
        <v>15</v>
      </c>
      <c r="U57" s="19">
        <f t="shared" si="13"/>
        <v>15</v>
      </c>
      <c r="V57" s="48"/>
      <c r="W57" s="22"/>
      <c r="X57" s="22"/>
      <c r="Y57" s="57"/>
      <c r="Z57" s="21"/>
      <c r="AA57" s="20">
        <f t="shared" si="14"/>
        <v>0</v>
      </c>
      <c r="AB57" s="19">
        <f t="shared" si="15"/>
        <v>0</v>
      </c>
      <c r="AC57" s="16">
        <v>20</v>
      </c>
      <c r="AD57" s="18"/>
      <c r="AE57" s="17"/>
      <c r="AF57" s="23">
        <f t="shared" si="16"/>
        <v>15</v>
      </c>
      <c r="AG57" s="16">
        <v>45</v>
      </c>
      <c r="AH57" s="23">
        <f t="shared" si="17"/>
        <v>80</v>
      </c>
      <c r="AI57" s="14">
        <f t="shared" si="18"/>
        <v>0.93</v>
      </c>
      <c r="AJ57" s="13"/>
      <c r="AK57" s="12">
        <v>0.01</v>
      </c>
      <c r="AL57" s="11">
        <f t="shared" si="19"/>
        <v>1.01</v>
      </c>
      <c r="AM57" s="10">
        <f t="shared" si="20"/>
        <v>6614780000</v>
      </c>
      <c r="AN57" s="9"/>
      <c r="AO57" s="8"/>
      <c r="AP57" s="8"/>
      <c r="AQ57" s="8"/>
      <c r="AR57" s="8"/>
      <c r="AS57" s="7"/>
      <c r="AT57" s="6">
        <f t="shared" si="21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11"/>
        <v>1</v>
      </c>
      <c r="O58" s="25">
        <v>15</v>
      </c>
      <c r="P58" s="24">
        <v>15</v>
      </c>
      <c r="Q58" s="42"/>
      <c r="R58" s="42"/>
      <c r="S58" s="23"/>
      <c r="T58" s="20">
        <f t="shared" si="12"/>
        <v>15</v>
      </c>
      <c r="U58" s="19">
        <f t="shared" si="13"/>
        <v>15</v>
      </c>
      <c r="V58" s="22"/>
      <c r="W58" s="41"/>
      <c r="X58" s="54"/>
      <c r="Y58" s="48"/>
      <c r="Z58" s="21"/>
      <c r="AA58" s="20">
        <f t="shared" si="14"/>
        <v>0</v>
      </c>
      <c r="AB58" s="19">
        <f t="shared" si="15"/>
        <v>0</v>
      </c>
      <c r="AC58" s="16">
        <v>20</v>
      </c>
      <c r="AD58" s="18"/>
      <c r="AE58" s="17"/>
      <c r="AF58" s="23">
        <f t="shared" si="16"/>
        <v>15</v>
      </c>
      <c r="AG58" s="16">
        <v>45</v>
      </c>
      <c r="AH58" s="23">
        <f t="shared" si="17"/>
        <v>80</v>
      </c>
      <c r="AI58" s="14">
        <f t="shared" si="18"/>
        <v>0.93</v>
      </c>
      <c r="AJ58" s="13"/>
      <c r="AK58" s="12">
        <v>0.01</v>
      </c>
      <c r="AL58" s="11">
        <f t="shared" si="19"/>
        <v>1.01</v>
      </c>
      <c r="AM58" s="10">
        <f t="shared" si="20"/>
        <v>6614780000</v>
      </c>
      <c r="AN58" s="9"/>
      <c r="AO58" s="8"/>
      <c r="AP58" s="8"/>
      <c r="AQ58" s="8"/>
      <c r="AR58" s="8"/>
      <c r="AS58" s="7"/>
      <c r="AT58" s="6">
        <f t="shared" si="21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11"/>
        <v>1</v>
      </c>
      <c r="O59" s="25">
        <v>15</v>
      </c>
      <c r="P59" s="24">
        <v>15</v>
      </c>
      <c r="Q59" s="42"/>
      <c r="R59" s="42"/>
      <c r="S59" s="23"/>
      <c r="T59" s="20">
        <f t="shared" si="12"/>
        <v>15</v>
      </c>
      <c r="U59" s="19">
        <f t="shared" si="13"/>
        <v>15</v>
      </c>
      <c r="V59" s="48"/>
      <c r="W59" s="41"/>
      <c r="X59" s="54"/>
      <c r="Y59" s="56"/>
      <c r="Z59" s="21"/>
      <c r="AA59" s="20">
        <f t="shared" si="14"/>
        <v>0</v>
      </c>
      <c r="AB59" s="19">
        <f t="shared" si="15"/>
        <v>0</v>
      </c>
      <c r="AC59" s="16">
        <v>20</v>
      </c>
      <c r="AD59" s="18"/>
      <c r="AE59" s="17"/>
      <c r="AF59" s="23">
        <f t="shared" si="16"/>
        <v>15</v>
      </c>
      <c r="AG59" s="16">
        <v>45</v>
      </c>
      <c r="AH59" s="23">
        <f t="shared" si="17"/>
        <v>80</v>
      </c>
      <c r="AI59" s="14">
        <f t="shared" si="18"/>
        <v>0.93</v>
      </c>
      <c r="AJ59" s="13"/>
      <c r="AK59" s="12">
        <v>0.01</v>
      </c>
      <c r="AL59" s="11">
        <f t="shared" si="19"/>
        <v>1.01</v>
      </c>
      <c r="AM59" s="10">
        <f t="shared" si="20"/>
        <v>6614780000</v>
      </c>
      <c r="AN59" s="9"/>
      <c r="AO59" s="8"/>
      <c r="AP59" s="8"/>
      <c r="AQ59" s="8"/>
      <c r="AR59" s="8"/>
      <c r="AS59" s="7"/>
      <c r="AT59" s="6">
        <f t="shared" si="21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11"/>
        <v>1</v>
      </c>
      <c r="O60" s="44">
        <v>15</v>
      </c>
      <c r="P60" s="24">
        <v>15</v>
      </c>
      <c r="Q60" s="24"/>
      <c r="R60" s="42"/>
      <c r="S60" s="42"/>
      <c r="T60" s="20">
        <f t="shared" si="12"/>
        <v>15</v>
      </c>
      <c r="U60" s="19">
        <f t="shared" si="13"/>
        <v>15</v>
      </c>
      <c r="V60" s="48"/>
      <c r="W60" s="48"/>
      <c r="X60" s="48"/>
      <c r="Y60" s="48"/>
      <c r="Z60" s="21"/>
      <c r="AA60" s="20">
        <f t="shared" si="14"/>
        <v>0</v>
      </c>
      <c r="AB60" s="19">
        <f t="shared" si="15"/>
        <v>0</v>
      </c>
      <c r="AC60" s="16">
        <v>20</v>
      </c>
      <c r="AD60" s="18"/>
      <c r="AE60" s="17"/>
      <c r="AF60" s="23">
        <f t="shared" si="16"/>
        <v>15</v>
      </c>
      <c r="AG60" s="16">
        <v>45</v>
      </c>
      <c r="AH60" s="23">
        <f t="shared" si="17"/>
        <v>80</v>
      </c>
      <c r="AI60" s="14">
        <f t="shared" si="18"/>
        <v>0.93</v>
      </c>
      <c r="AJ60" s="13"/>
      <c r="AK60" s="12">
        <v>0.01</v>
      </c>
      <c r="AL60" s="11">
        <f t="shared" si="19"/>
        <v>1.01</v>
      </c>
      <c r="AM60" s="10">
        <f t="shared" si="20"/>
        <v>6614780000</v>
      </c>
      <c r="AN60" s="9"/>
      <c r="AO60" s="8"/>
      <c r="AP60" s="8"/>
      <c r="AQ60" s="8"/>
      <c r="AR60" s="8"/>
      <c r="AS60" s="7"/>
      <c r="AT60" s="6">
        <f t="shared" si="21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11"/>
        <v>1</v>
      </c>
      <c r="O61" s="25">
        <v>15</v>
      </c>
      <c r="P61" s="23">
        <v>15</v>
      </c>
      <c r="Q61" s="24"/>
      <c r="R61" s="24"/>
      <c r="S61" s="23"/>
      <c r="T61" s="20">
        <f t="shared" si="12"/>
        <v>15</v>
      </c>
      <c r="U61" s="19">
        <f t="shared" si="13"/>
        <v>15</v>
      </c>
      <c r="V61" s="22"/>
      <c r="W61" s="22"/>
      <c r="X61" s="22"/>
      <c r="Y61" s="22"/>
      <c r="Z61" s="21"/>
      <c r="AA61" s="20">
        <f t="shared" si="14"/>
        <v>0</v>
      </c>
      <c r="AB61" s="19">
        <f t="shared" si="15"/>
        <v>0</v>
      </c>
      <c r="AC61" s="16">
        <v>20</v>
      </c>
      <c r="AD61" s="18"/>
      <c r="AE61" s="17"/>
      <c r="AF61" s="23">
        <f t="shared" si="16"/>
        <v>15</v>
      </c>
      <c r="AG61" s="16">
        <v>45</v>
      </c>
      <c r="AH61" s="23">
        <f t="shared" si="17"/>
        <v>80</v>
      </c>
      <c r="AI61" s="14">
        <f t="shared" si="18"/>
        <v>0.93</v>
      </c>
      <c r="AJ61" s="13"/>
      <c r="AK61" s="12">
        <v>0.01</v>
      </c>
      <c r="AL61" s="11">
        <f t="shared" si="19"/>
        <v>1.01</v>
      </c>
      <c r="AM61" s="10">
        <f t="shared" si="20"/>
        <v>6614780000</v>
      </c>
      <c r="AN61" s="9"/>
      <c r="AO61" s="8"/>
      <c r="AP61" s="8"/>
      <c r="AQ61" s="8"/>
      <c r="AR61" s="8"/>
      <c r="AS61" s="7"/>
      <c r="AT61" s="6">
        <f t="shared" si="21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11"/>
        <v>1</v>
      </c>
      <c r="O62" s="44">
        <v>15</v>
      </c>
      <c r="P62" s="43">
        <v>15</v>
      </c>
      <c r="Q62" s="42"/>
      <c r="R62" s="42"/>
      <c r="S62" s="42"/>
      <c r="T62" s="20">
        <f t="shared" si="12"/>
        <v>15</v>
      </c>
      <c r="U62" s="19">
        <f t="shared" si="13"/>
        <v>15</v>
      </c>
      <c r="V62" s="22"/>
      <c r="W62" s="22"/>
      <c r="X62" s="22"/>
      <c r="Y62" s="54"/>
      <c r="Z62" s="21"/>
      <c r="AA62" s="20">
        <f t="shared" si="14"/>
        <v>0</v>
      </c>
      <c r="AB62" s="19">
        <f t="shared" si="15"/>
        <v>0</v>
      </c>
      <c r="AC62" s="16">
        <v>20</v>
      </c>
      <c r="AD62" s="18"/>
      <c r="AE62" s="17"/>
      <c r="AF62" s="23">
        <f t="shared" si="16"/>
        <v>15</v>
      </c>
      <c r="AG62" s="16">
        <v>45</v>
      </c>
      <c r="AH62" s="23">
        <f t="shared" si="17"/>
        <v>80</v>
      </c>
      <c r="AI62" s="14">
        <f t="shared" si="18"/>
        <v>0.93</v>
      </c>
      <c r="AJ62" s="13"/>
      <c r="AK62" s="12">
        <v>0.01</v>
      </c>
      <c r="AL62" s="11">
        <f t="shared" si="19"/>
        <v>1.01</v>
      </c>
      <c r="AM62" s="10">
        <f t="shared" si="20"/>
        <v>6614780000</v>
      </c>
      <c r="AN62" s="9"/>
      <c r="AO62" s="8"/>
      <c r="AP62" s="8"/>
      <c r="AQ62" s="8"/>
      <c r="AR62" s="8"/>
      <c r="AS62" s="7"/>
      <c r="AT62" s="6">
        <f t="shared" si="21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11"/>
        <v>1</v>
      </c>
      <c r="O63" s="44">
        <v>15</v>
      </c>
      <c r="P63" s="43">
        <v>15</v>
      </c>
      <c r="Q63" s="42"/>
      <c r="R63" s="42"/>
      <c r="S63" s="42"/>
      <c r="T63" s="20">
        <f t="shared" si="12"/>
        <v>15</v>
      </c>
      <c r="U63" s="19">
        <f t="shared" si="13"/>
        <v>15</v>
      </c>
      <c r="V63" s="52"/>
      <c r="W63" s="48"/>
      <c r="X63" s="41"/>
      <c r="Y63" s="41"/>
      <c r="Z63" s="21"/>
      <c r="AA63" s="20">
        <f t="shared" si="14"/>
        <v>0</v>
      </c>
      <c r="AB63" s="19">
        <f t="shared" si="15"/>
        <v>0</v>
      </c>
      <c r="AC63" s="16">
        <v>20</v>
      </c>
      <c r="AD63" s="18"/>
      <c r="AE63" s="17"/>
      <c r="AF63" s="23">
        <f t="shared" si="16"/>
        <v>15</v>
      </c>
      <c r="AG63" s="16">
        <v>45</v>
      </c>
      <c r="AH63" s="23">
        <f t="shared" si="17"/>
        <v>80</v>
      </c>
      <c r="AI63" s="14">
        <f t="shared" si="18"/>
        <v>0.93</v>
      </c>
      <c r="AJ63" s="13"/>
      <c r="AK63" s="12">
        <v>0.01</v>
      </c>
      <c r="AL63" s="11">
        <f t="shared" si="19"/>
        <v>1.01</v>
      </c>
      <c r="AM63" s="10">
        <f t="shared" si="20"/>
        <v>6614780000</v>
      </c>
      <c r="AN63" s="9"/>
      <c r="AO63" s="8"/>
      <c r="AP63" s="8"/>
      <c r="AQ63" s="8"/>
      <c r="AR63" s="8"/>
      <c r="AS63" s="7"/>
      <c r="AT63" s="6">
        <f t="shared" si="21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11"/>
        <v>1</v>
      </c>
      <c r="O64" s="44">
        <v>15</v>
      </c>
      <c r="P64" s="43">
        <v>15</v>
      </c>
      <c r="Q64" s="42"/>
      <c r="R64" s="42"/>
      <c r="S64" s="42"/>
      <c r="T64" s="20">
        <f t="shared" si="12"/>
        <v>15</v>
      </c>
      <c r="U64" s="19">
        <f t="shared" si="13"/>
        <v>15</v>
      </c>
      <c r="V64" s="52"/>
      <c r="W64" s="41"/>
      <c r="X64" s="48"/>
      <c r="Y64" s="48"/>
      <c r="Z64" s="21"/>
      <c r="AA64" s="20">
        <f t="shared" si="14"/>
        <v>0</v>
      </c>
      <c r="AB64" s="19">
        <f t="shared" si="15"/>
        <v>0</v>
      </c>
      <c r="AC64" s="16">
        <v>20</v>
      </c>
      <c r="AD64" s="18"/>
      <c r="AE64" s="17"/>
      <c r="AF64" s="23">
        <f t="shared" si="16"/>
        <v>15</v>
      </c>
      <c r="AG64" s="16">
        <v>45</v>
      </c>
      <c r="AH64" s="23">
        <f t="shared" si="17"/>
        <v>80</v>
      </c>
      <c r="AI64" s="14">
        <f t="shared" si="18"/>
        <v>0.93</v>
      </c>
      <c r="AJ64" s="13"/>
      <c r="AK64" s="12">
        <v>0.01</v>
      </c>
      <c r="AL64" s="11">
        <f t="shared" si="19"/>
        <v>1.01</v>
      </c>
      <c r="AM64" s="10">
        <f t="shared" si="20"/>
        <v>6614780000</v>
      </c>
      <c r="AN64" s="9"/>
      <c r="AO64" s="8"/>
      <c r="AP64" s="8"/>
      <c r="AQ64" s="8"/>
      <c r="AR64" s="8"/>
      <c r="AS64" s="7"/>
      <c r="AT64" s="6">
        <f t="shared" si="21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11"/>
        <v>1</v>
      </c>
      <c r="O65" s="44">
        <v>15</v>
      </c>
      <c r="P65" s="43">
        <v>15</v>
      </c>
      <c r="Q65" s="42"/>
      <c r="R65" s="42"/>
      <c r="S65" s="42"/>
      <c r="T65" s="20">
        <f t="shared" si="12"/>
        <v>15</v>
      </c>
      <c r="U65" s="19">
        <f t="shared" si="13"/>
        <v>15</v>
      </c>
      <c r="V65" s="22"/>
      <c r="W65" s="48"/>
      <c r="X65" s="41"/>
      <c r="Y65" s="48"/>
      <c r="Z65" s="21"/>
      <c r="AA65" s="20">
        <f t="shared" si="14"/>
        <v>0</v>
      </c>
      <c r="AB65" s="19">
        <f t="shared" si="15"/>
        <v>0</v>
      </c>
      <c r="AC65" s="16">
        <v>20</v>
      </c>
      <c r="AD65" s="18"/>
      <c r="AE65" s="17"/>
      <c r="AF65" s="23">
        <f t="shared" si="16"/>
        <v>15</v>
      </c>
      <c r="AG65" s="16">
        <v>45</v>
      </c>
      <c r="AH65" s="23">
        <f t="shared" si="17"/>
        <v>80</v>
      </c>
      <c r="AI65" s="14">
        <f t="shared" si="18"/>
        <v>0.93</v>
      </c>
      <c r="AJ65" s="13"/>
      <c r="AK65" s="12">
        <v>0.01</v>
      </c>
      <c r="AL65" s="11">
        <f t="shared" si="19"/>
        <v>1.01</v>
      </c>
      <c r="AM65" s="10">
        <f t="shared" si="20"/>
        <v>6614780000</v>
      </c>
      <c r="AN65" s="9"/>
      <c r="AO65" s="8"/>
      <c r="AP65" s="8"/>
      <c r="AQ65" s="8"/>
      <c r="AR65" s="8"/>
      <c r="AS65" s="7"/>
      <c r="AT65" s="6">
        <f t="shared" si="21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11"/>
        <v>1</v>
      </c>
      <c r="O66" s="44">
        <v>15</v>
      </c>
      <c r="P66" s="43">
        <v>15</v>
      </c>
      <c r="Q66" s="42"/>
      <c r="R66" s="42"/>
      <c r="S66" s="42"/>
      <c r="T66" s="20">
        <f t="shared" si="12"/>
        <v>15</v>
      </c>
      <c r="U66" s="19">
        <f t="shared" si="13"/>
        <v>15</v>
      </c>
      <c r="V66" s="22"/>
      <c r="W66" s="41"/>
      <c r="X66" s="22"/>
      <c r="Y66" s="48"/>
      <c r="Z66" s="21"/>
      <c r="AA66" s="20">
        <f t="shared" si="14"/>
        <v>0</v>
      </c>
      <c r="AB66" s="19">
        <f t="shared" si="15"/>
        <v>0</v>
      </c>
      <c r="AC66" s="16">
        <v>20</v>
      </c>
      <c r="AD66" s="18"/>
      <c r="AE66" s="17"/>
      <c r="AF66" s="23">
        <f t="shared" si="16"/>
        <v>15</v>
      </c>
      <c r="AG66" s="16">
        <v>45</v>
      </c>
      <c r="AH66" s="23">
        <f t="shared" si="17"/>
        <v>80</v>
      </c>
      <c r="AI66" s="14">
        <f t="shared" si="18"/>
        <v>0.93</v>
      </c>
      <c r="AJ66" s="13"/>
      <c r="AK66" s="12">
        <v>0.01</v>
      </c>
      <c r="AL66" s="11">
        <f t="shared" si="19"/>
        <v>1.01</v>
      </c>
      <c r="AM66" s="10">
        <f t="shared" si="20"/>
        <v>6614780000</v>
      </c>
      <c r="AN66" s="9"/>
      <c r="AO66" s="8"/>
      <c r="AP66" s="8"/>
      <c r="AQ66" s="8"/>
      <c r="AR66" s="8"/>
      <c r="AS66" s="7"/>
      <c r="AT66" s="6">
        <f t="shared" si="21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11"/>
        <v>1</v>
      </c>
      <c r="O67" s="25">
        <v>15</v>
      </c>
      <c r="P67" s="23">
        <v>15</v>
      </c>
      <c r="Q67" s="24"/>
      <c r="R67" s="24"/>
      <c r="S67" s="23"/>
      <c r="T67" s="20">
        <f t="shared" si="12"/>
        <v>15</v>
      </c>
      <c r="U67" s="19">
        <f t="shared" si="13"/>
        <v>15</v>
      </c>
      <c r="V67" s="22"/>
      <c r="W67" s="22"/>
      <c r="X67" s="22"/>
      <c r="Y67" s="22"/>
      <c r="Z67" s="21"/>
      <c r="AA67" s="20">
        <f t="shared" si="14"/>
        <v>0</v>
      </c>
      <c r="AB67" s="19">
        <f t="shared" si="15"/>
        <v>0</v>
      </c>
      <c r="AC67" s="16">
        <v>20</v>
      </c>
      <c r="AD67" s="18"/>
      <c r="AE67" s="17"/>
      <c r="AF67" s="23">
        <f t="shared" si="16"/>
        <v>15</v>
      </c>
      <c r="AG67" s="16">
        <v>45</v>
      </c>
      <c r="AH67" s="23">
        <f t="shared" si="17"/>
        <v>80</v>
      </c>
      <c r="AI67" s="14">
        <f t="shared" si="18"/>
        <v>0.93</v>
      </c>
      <c r="AJ67" s="13"/>
      <c r="AK67" s="12">
        <v>0.01</v>
      </c>
      <c r="AL67" s="11">
        <f t="shared" si="19"/>
        <v>1.01</v>
      </c>
      <c r="AM67" s="10">
        <f t="shared" si="20"/>
        <v>6614780000</v>
      </c>
      <c r="AN67" s="9"/>
      <c r="AO67" s="8"/>
      <c r="AP67" s="8"/>
      <c r="AQ67" s="8"/>
      <c r="AR67" s="8"/>
      <c r="AS67" s="7"/>
      <c r="AT67" s="6">
        <f t="shared" si="21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11"/>
        <v>1</v>
      </c>
      <c r="O68" s="44">
        <v>15</v>
      </c>
      <c r="P68" s="43">
        <v>15</v>
      </c>
      <c r="Q68" s="42"/>
      <c r="R68" s="42"/>
      <c r="S68" s="42"/>
      <c r="T68" s="20">
        <f t="shared" si="12"/>
        <v>15</v>
      </c>
      <c r="U68" s="19">
        <f t="shared" si="13"/>
        <v>15</v>
      </c>
      <c r="V68" s="22"/>
      <c r="W68" s="41"/>
      <c r="X68" s="41"/>
      <c r="Y68" s="40"/>
      <c r="Z68" s="21"/>
      <c r="AA68" s="20">
        <f t="shared" si="14"/>
        <v>0</v>
      </c>
      <c r="AB68" s="19">
        <f t="shared" si="15"/>
        <v>0</v>
      </c>
      <c r="AC68" s="16">
        <v>20</v>
      </c>
      <c r="AD68" s="18"/>
      <c r="AE68" s="17"/>
      <c r="AF68" s="23">
        <f t="shared" si="16"/>
        <v>15</v>
      </c>
      <c r="AG68" s="16">
        <v>45</v>
      </c>
      <c r="AH68" s="23">
        <f t="shared" si="17"/>
        <v>80</v>
      </c>
      <c r="AI68" s="14">
        <f t="shared" si="18"/>
        <v>0.93</v>
      </c>
      <c r="AJ68" s="13"/>
      <c r="AK68" s="12">
        <v>0.01</v>
      </c>
      <c r="AL68" s="11">
        <f t="shared" si="19"/>
        <v>1.01</v>
      </c>
      <c r="AM68" s="10">
        <f t="shared" si="20"/>
        <v>6614780000</v>
      </c>
      <c r="AN68" s="9"/>
      <c r="AO68" s="8"/>
      <c r="AP68" s="8"/>
      <c r="AQ68" s="8"/>
      <c r="AR68" s="8"/>
      <c r="AS68" s="7"/>
      <c r="AT68" s="6">
        <f t="shared" si="21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00" si="22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00" si="23">ROUND(((O69*I69)+(P69*J69)+(Q69*K69)+(R69*L69)+(S69*M69)),2)</f>
        <v>15</v>
      </c>
      <c r="U69" s="19">
        <f t="shared" ref="U69:U100" si="24">IF(T69&gt;=15,15,T69)</f>
        <v>15</v>
      </c>
      <c r="V69" s="22"/>
      <c r="W69" s="22"/>
      <c r="X69" s="22"/>
      <c r="Y69" s="22"/>
      <c r="Z69" s="21"/>
      <c r="AA69" s="20">
        <f t="shared" ref="AA69:AA100" si="25">ROUND((((V69*I69)+(W69*J69)+(X69*K69)+(Y69*L69)+(Z69*M69))/$I$2*15),2)</f>
        <v>0</v>
      </c>
      <c r="AB69" s="19">
        <f t="shared" ref="AB69:AB100" si="26">IF(AA69&gt;=15,15,AA69)</f>
        <v>0</v>
      </c>
      <c r="AC69" s="16">
        <v>20</v>
      </c>
      <c r="AD69" s="18"/>
      <c r="AE69" s="17"/>
      <c r="AF69" s="23">
        <f t="shared" ref="AF69:AF100" si="27">IF((U69+AB69+AD69)&gt;=30,30,(U69+AB69+AD69))</f>
        <v>15</v>
      </c>
      <c r="AG69" s="16">
        <v>45</v>
      </c>
      <c r="AH69" s="23">
        <f t="shared" ref="AH69:AH100" si="28">AC69+AF69+AG69+AE69</f>
        <v>80</v>
      </c>
      <c r="AI69" s="14">
        <f t="shared" ref="AI69:AI100" si="29">-((50-((176+(45+(30-AF69)))))/200)</f>
        <v>0.93</v>
      </c>
      <c r="AJ69" s="13"/>
      <c r="AK69" s="12">
        <v>0.01</v>
      </c>
      <c r="AL69" s="11">
        <f t="shared" ref="AL69:AL100" si="30">100%+AK69</f>
        <v>1.01</v>
      </c>
      <c r="AM69" s="10">
        <f t="shared" ref="AM69:AM100" si="31">ROUNDUP($D$2*AI69*AL69,-3)</f>
        <v>6614780000</v>
      </c>
      <c r="AN69" s="9"/>
      <c r="AO69" s="8"/>
      <c r="AP69" s="8"/>
      <c r="AQ69" s="8"/>
      <c r="AR69" s="8"/>
      <c r="AS69" s="7"/>
      <c r="AT69" s="6">
        <f t="shared" ref="AT69:AT100" si="32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22"/>
        <v>1</v>
      </c>
      <c r="O70" s="25">
        <v>15</v>
      </c>
      <c r="P70" s="23">
        <v>15</v>
      </c>
      <c r="Q70" s="24"/>
      <c r="R70" s="24"/>
      <c r="S70" s="23"/>
      <c r="T70" s="20">
        <f t="shared" si="23"/>
        <v>15</v>
      </c>
      <c r="U70" s="19">
        <f t="shared" si="24"/>
        <v>15</v>
      </c>
      <c r="V70" s="22"/>
      <c r="W70" s="22"/>
      <c r="X70" s="22"/>
      <c r="Y70" s="22"/>
      <c r="Z70" s="21"/>
      <c r="AA70" s="20">
        <f t="shared" si="25"/>
        <v>0</v>
      </c>
      <c r="AB70" s="19">
        <f t="shared" si="26"/>
        <v>0</v>
      </c>
      <c r="AC70" s="16">
        <v>20</v>
      </c>
      <c r="AD70" s="18"/>
      <c r="AE70" s="17"/>
      <c r="AF70" s="23">
        <f t="shared" si="27"/>
        <v>15</v>
      </c>
      <c r="AG70" s="16">
        <v>45</v>
      </c>
      <c r="AH70" s="23">
        <f t="shared" si="28"/>
        <v>80</v>
      </c>
      <c r="AI70" s="14">
        <f t="shared" si="29"/>
        <v>0.93</v>
      </c>
      <c r="AJ70" s="13"/>
      <c r="AK70" s="12">
        <v>0.01</v>
      </c>
      <c r="AL70" s="11">
        <f t="shared" si="30"/>
        <v>1.01</v>
      </c>
      <c r="AM70" s="10">
        <f t="shared" si="31"/>
        <v>6614780000</v>
      </c>
      <c r="AN70" s="9"/>
      <c r="AO70" s="8"/>
      <c r="AP70" s="8"/>
      <c r="AQ70" s="8"/>
      <c r="AR70" s="8"/>
      <c r="AS70" s="7"/>
      <c r="AT70" s="6">
        <f t="shared" si="32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22"/>
        <v>1</v>
      </c>
      <c r="O71" s="25">
        <v>15</v>
      </c>
      <c r="P71" s="23">
        <v>15</v>
      </c>
      <c r="Q71" s="24"/>
      <c r="R71" s="24"/>
      <c r="S71" s="23"/>
      <c r="T71" s="20">
        <f t="shared" si="23"/>
        <v>15</v>
      </c>
      <c r="U71" s="19">
        <f t="shared" si="24"/>
        <v>15</v>
      </c>
      <c r="V71" s="22"/>
      <c r="W71" s="22"/>
      <c r="X71" s="22"/>
      <c r="Y71" s="22"/>
      <c r="Z71" s="21"/>
      <c r="AA71" s="20">
        <f t="shared" si="25"/>
        <v>0</v>
      </c>
      <c r="AB71" s="19">
        <f t="shared" si="26"/>
        <v>0</v>
      </c>
      <c r="AC71" s="16">
        <v>20</v>
      </c>
      <c r="AD71" s="18"/>
      <c r="AE71" s="17"/>
      <c r="AF71" s="23">
        <f t="shared" si="27"/>
        <v>15</v>
      </c>
      <c r="AG71" s="16">
        <v>45</v>
      </c>
      <c r="AH71" s="23">
        <f t="shared" si="28"/>
        <v>80</v>
      </c>
      <c r="AI71" s="14">
        <f t="shared" si="29"/>
        <v>0.93</v>
      </c>
      <c r="AJ71" s="13"/>
      <c r="AK71" s="12">
        <v>0.01</v>
      </c>
      <c r="AL71" s="11">
        <f t="shared" si="30"/>
        <v>1.01</v>
      </c>
      <c r="AM71" s="10">
        <f t="shared" si="31"/>
        <v>6614780000</v>
      </c>
      <c r="AN71" s="9"/>
      <c r="AO71" s="8"/>
      <c r="AP71" s="8"/>
      <c r="AQ71" s="8"/>
      <c r="AR71" s="8"/>
      <c r="AS71" s="7"/>
      <c r="AT71" s="6">
        <f t="shared" si="32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22"/>
        <v>1</v>
      </c>
      <c r="O72" s="25">
        <v>15</v>
      </c>
      <c r="P72" s="23">
        <v>15</v>
      </c>
      <c r="Q72" s="24"/>
      <c r="R72" s="24"/>
      <c r="S72" s="23"/>
      <c r="T72" s="20">
        <f t="shared" si="23"/>
        <v>15</v>
      </c>
      <c r="U72" s="19">
        <f t="shared" si="24"/>
        <v>15</v>
      </c>
      <c r="V72" s="22"/>
      <c r="W72" s="22"/>
      <c r="X72" s="22"/>
      <c r="Y72" s="22"/>
      <c r="Z72" s="21"/>
      <c r="AA72" s="20">
        <f t="shared" si="25"/>
        <v>0</v>
      </c>
      <c r="AB72" s="19">
        <f t="shared" si="26"/>
        <v>0</v>
      </c>
      <c r="AC72" s="16">
        <v>20</v>
      </c>
      <c r="AD72" s="18"/>
      <c r="AE72" s="17"/>
      <c r="AF72" s="23">
        <f t="shared" si="27"/>
        <v>15</v>
      </c>
      <c r="AG72" s="16">
        <v>45</v>
      </c>
      <c r="AH72" s="23">
        <f t="shared" si="28"/>
        <v>80</v>
      </c>
      <c r="AI72" s="14">
        <f t="shared" si="29"/>
        <v>0.93</v>
      </c>
      <c r="AJ72" s="13"/>
      <c r="AK72" s="12">
        <v>0.01</v>
      </c>
      <c r="AL72" s="11">
        <f t="shared" si="30"/>
        <v>1.01</v>
      </c>
      <c r="AM72" s="10">
        <f t="shared" si="31"/>
        <v>6614780000</v>
      </c>
      <c r="AN72" s="9"/>
      <c r="AO72" s="8"/>
      <c r="AP72" s="8"/>
      <c r="AQ72" s="8"/>
      <c r="AR72" s="8"/>
      <c r="AS72" s="7"/>
      <c r="AT72" s="6">
        <f t="shared" si="32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22"/>
        <v>1</v>
      </c>
      <c r="O73" s="25">
        <v>15</v>
      </c>
      <c r="P73" s="23">
        <v>15</v>
      </c>
      <c r="Q73" s="24"/>
      <c r="R73" s="24"/>
      <c r="S73" s="23"/>
      <c r="T73" s="20">
        <f t="shared" si="23"/>
        <v>15</v>
      </c>
      <c r="U73" s="19">
        <f t="shared" si="24"/>
        <v>15</v>
      </c>
      <c r="V73" s="22"/>
      <c r="W73" s="22"/>
      <c r="X73" s="22"/>
      <c r="Y73" s="22"/>
      <c r="Z73" s="21"/>
      <c r="AA73" s="20">
        <f t="shared" si="25"/>
        <v>0</v>
      </c>
      <c r="AB73" s="19">
        <f t="shared" si="26"/>
        <v>0</v>
      </c>
      <c r="AC73" s="16">
        <v>20</v>
      </c>
      <c r="AD73" s="18"/>
      <c r="AE73" s="17"/>
      <c r="AF73" s="23">
        <f t="shared" si="27"/>
        <v>15</v>
      </c>
      <c r="AG73" s="16">
        <v>45</v>
      </c>
      <c r="AH73" s="23">
        <f t="shared" si="28"/>
        <v>80</v>
      </c>
      <c r="AI73" s="14">
        <f t="shared" si="29"/>
        <v>0.93</v>
      </c>
      <c r="AJ73" s="13"/>
      <c r="AK73" s="12">
        <v>0.01</v>
      </c>
      <c r="AL73" s="11">
        <f t="shared" si="30"/>
        <v>1.01</v>
      </c>
      <c r="AM73" s="10">
        <f t="shared" si="31"/>
        <v>6614780000</v>
      </c>
      <c r="AN73" s="9"/>
      <c r="AO73" s="8"/>
      <c r="AP73" s="8"/>
      <c r="AQ73" s="8"/>
      <c r="AR73" s="8"/>
      <c r="AS73" s="7"/>
      <c r="AT73" s="6">
        <f t="shared" si="32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22"/>
        <v>1</v>
      </c>
      <c r="O74" s="25">
        <v>15</v>
      </c>
      <c r="P74" s="23">
        <v>15</v>
      </c>
      <c r="Q74" s="24"/>
      <c r="R74" s="24"/>
      <c r="S74" s="23"/>
      <c r="T74" s="20">
        <f t="shared" si="23"/>
        <v>15</v>
      </c>
      <c r="U74" s="19">
        <f t="shared" si="24"/>
        <v>15</v>
      </c>
      <c r="V74" s="22"/>
      <c r="W74" s="22"/>
      <c r="X74" s="22"/>
      <c r="Y74" s="22"/>
      <c r="Z74" s="21"/>
      <c r="AA74" s="20">
        <f t="shared" si="25"/>
        <v>0</v>
      </c>
      <c r="AB74" s="19">
        <f t="shared" si="26"/>
        <v>0</v>
      </c>
      <c r="AC74" s="16">
        <v>20</v>
      </c>
      <c r="AD74" s="18"/>
      <c r="AE74" s="17"/>
      <c r="AF74" s="23">
        <f t="shared" si="27"/>
        <v>15</v>
      </c>
      <c r="AG74" s="16">
        <v>45</v>
      </c>
      <c r="AH74" s="23">
        <f t="shared" si="28"/>
        <v>80</v>
      </c>
      <c r="AI74" s="14">
        <f t="shared" si="29"/>
        <v>0.93</v>
      </c>
      <c r="AJ74" s="13"/>
      <c r="AK74" s="12">
        <v>0.01</v>
      </c>
      <c r="AL74" s="11">
        <f t="shared" si="30"/>
        <v>1.01</v>
      </c>
      <c r="AM74" s="10">
        <f t="shared" si="31"/>
        <v>6614780000</v>
      </c>
      <c r="AN74" s="9"/>
      <c r="AO74" s="8"/>
      <c r="AP74" s="8"/>
      <c r="AQ74" s="8"/>
      <c r="AR74" s="8"/>
      <c r="AS74" s="7"/>
      <c r="AT74" s="6">
        <f t="shared" si="32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22"/>
        <v>1</v>
      </c>
      <c r="O75" s="25">
        <v>15</v>
      </c>
      <c r="P75" s="23">
        <v>15</v>
      </c>
      <c r="Q75" s="24"/>
      <c r="R75" s="24"/>
      <c r="S75" s="23"/>
      <c r="T75" s="20">
        <f t="shared" si="23"/>
        <v>15</v>
      </c>
      <c r="U75" s="19">
        <f t="shared" si="24"/>
        <v>15</v>
      </c>
      <c r="V75" s="22"/>
      <c r="W75" s="22"/>
      <c r="X75" s="22"/>
      <c r="Y75" s="22"/>
      <c r="Z75" s="21"/>
      <c r="AA75" s="20">
        <f t="shared" si="25"/>
        <v>0</v>
      </c>
      <c r="AB75" s="19">
        <f t="shared" si="26"/>
        <v>0</v>
      </c>
      <c r="AC75" s="16">
        <v>20</v>
      </c>
      <c r="AD75" s="18"/>
      <c r="AE75" s="17"/>
      <c r="AF75" s="23">
        <f t="shared" si="27"/>
        <v>15</v>
      </c>
      <c r="AG75" s="16">
        <v>45</v>
      </c>
      <c r="AH75" s="23">
        <f t="shared" si="28"/>
        <v>80</v>
      </c>
      <c r="AI75" s="14">
        <f t="shared" si="29"/>
        <v>0.93</v>
      </c>
      <c r="AJ75" s="13"/>
      <c r="AK75" s="12">
        <v>0.01</v>
      </c>
      <c r="AL75" s="11">
        <f t="shared" si="30"/>
        <v>1.01</v>
      </c>
      <c r="AM75" s="10">
        <f t="shared" si="31"/>
        <v>6614780000</v>
      </c>
      <c r="AN75" s="9"/>
      <c r="AO75" s="8"/>
      <c r="AP75" s="8"/>
      <c r="AQ75" s="8"/>
      <c r="AR75" s="8"/>
      <c r="AS75" s="7"/>
      <c r="AT75" s="6">
        <f t="shared" si="32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22"/>
        <v>1</v>
      </c>
      <c r="O76" s="25">
        <v>15</v>
      </c>
      <c r="P76" s="23">
        <v>15</v>
      </c>
      <c r="Q76" s="24"/>
      <c r="R76" s="24"/>
      <c r="S76" s="23"/>
      <c r="T76" s="20">
        <f t="shared" si="23"/>
        <v>15</v>
      </c>
      <c r="U76" s="19">
        <f t="shared" si="24"/>
        <v>15</v>
      </c>
      <c r="V76" s="22"/>
      <c r="W76" s="22"/>
      <c r="X76" s="22"/>
      <c r="Y76" s="22"/>
      <c r="Z76" s="21"/>
      <c r="AA76" s="20">
        <f t="shared" si="25"/>
        <v>0</v>
      </c>
      <c r="AB76" s="19">
        <f t="shared" si="26"/>
        <v>0</v>
      </c>
      <c r="AC76" s="16">
        <v>20</v>
      </c>
      <c r="AD76" s="18"/>
      <c r="AE76" s="17"/>
      <c r="AF76" s="23">
        <f t="shared" si="27"/>
        <v>15</v>
      </c>
      <c r="AG76" s="16">
        <v>45</v>
      </c>
      <c r="AH76" s="23">
        <f t="shared" si="28"/>
        <v>80</v>
      </c>
      <c r="AI76" s="14">
        <f t="shared" si="29"/>
        <v>0.93</v>
      </c>
      <c r="AJ76" s="13"/>
      <c r="AK76" s="12">
        <v>0.01</v>
      </c>
      <c r="AL76" s="11">
        <f t="shared" si="30"/>
        <v>1.01</v>
      </c>
      <c r="AM76" s="10">
        <f t="shared" si="31"/>
        <v>6614780000</v>
      </c>
      <c r="AN76" s="9"/>
      <c r="AO76" s="8"/>
      <c r="AP76" s="8"/>
      <c r="AQ76" s="8"/>
      <c r="AR76" s="8"/>
      <c r="AS76" s="7"/>
      <c r="AT76" s="6">
        <f t="shared" si="32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22"/>
        <v>1</v>
      </c>
      <c r="O77" s="25">
        <v>15</v>
      </c>
      <c r="P77" s="23">
        <v>15</v>
      </c>
      <c r="Q77" s="24"/>
      <c r="R77" s="24"/>
      <c r="S77" s="23"/>
      <c r="T77" s="20">
        <f t="shared" si="23"/>
        <v>15</v>
      </c>
      <c r="U77" s="19">
        <f t="shared" si="24"/>
        <v>15</v>
      </c>
      <c r="V77" s="22"/>
      <c r="W77" s="22"/>
      <c r="X77" s="22"/>
      <c r="Y77" s="22"/>
      <c r="Z77" s="21"/>
      <c r="AA77" s="20">
        <f t="shared" si="25"/>
        <v>0</v>
      </c>
      <c r="AB77" s="19">
        <f t="shared" si="26"/>
        <v>0</v>
      </c>
      <c r="AC77" s="16">
        <v>20</v>
      </c>
      <c r="AD77" s="18"/>
      <c r="AE77" s="17"/>
      <c r="AF77" s="23">
        <f t="shared" si="27"/>
        <v>15</v>
      </c>
      <c r="AG77" s="16">
        <v>45</v>
      </c>
      <c r="AH77" s="23">
        <f t="shared" si="28"/>
        <v>80</v>
      </c>
      <c r="AI77" s="14">
        <f t="shared" si="29"/>
        <v>0.93</v>
      </c>
      <c r="AJ77" s="13"/>
      <c r="AK77" s="12">
        <v>0.01</v>
      </c>
      <c r="AL77" s="11">
        <f t="shared" si="30"/>
        <v>1.01</v>
      </c>
      <c r="AM77" s="10">
        <f t="shared" si="31"/>
        <v>6614780000</v>
      </c>
      <c r="AN77" s="9"/>
      <c r="AO77" s="8"/>
      <c r="AP77" s="8"/>
      <c r="AQ77" s="8"/>
      <c r="AR77" s="8"/>
      <c r="AS77" s="7"/>
      <c r="AT77" s="6">
        <f t="shared" si="32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22"/>
        <v>1</v>
      </c>
      <c r="O78" s="25">
        <v>15</v>
      </c>
      <c r="P78" s="23">
        <v>15</v>
      </c>
      <c r="Q78" s="24"/>
      <c r="R78" s="24"/>
      <c r="S78" s="23"/>
      <c r="T78" s="20">
        <f t="shared" si="23"/>
        <v>15</v>
      </c>
      <c r="U78" s="19">
        <f t="shared" si="24"/>
        <v>15</v>
      </c>
      <c r="V78" s="22"/>
      <c r="W78" s="22"/>
      <c r="X78" s="22"/>
      <c r="Y78" s="22"/>
      <c r="Z78" s="21"/>
      <c r="AA78" s="20">
        <f t="shared" si="25"/>
        <v>0</v>
      </c>
      <c r="AB78" s="19">
        <f t="shared" si="26"/>
        <v>0</v>
      </c>
      <c r="AC78" s="16">
        <v>20</v>
      </c>
      <c r="AD78" s="18"/>
      <c r="AE78" s="17"/>
      <c r="AF78" s="23">
        <f t="shared" si="27"/>
        <v>15</v>
      </c>
      <c r="AG78" s="16">
        <v>45</v>
      </c>
      <c r="AH78" s="23">
        <f t="shared" si="28"/>
        <v>80</v>
      </c>
      <c r="AI78" s="14">
        <f t="shared" si="29"/>
        <v>0.93</v>
      </c>
      <c r="AJ78" s="13"/>
      <c r="AK78" s="12">
        <v>0.01</v>
      </c>
      <c r="AL78" s="11">
        <f t="shared" si="30"/>
        <v>1.01</v>
      </c>
      <c r="AM78" s="10">
        <f t="shared" si="31"/>
        <v>6614780000</v>
      </c>
      <c r="AN78" s="9"/>
      <c r="AO78" s="8"/>
      <c r="AP78" s="8"/>
      <c r="AQ78" s="8"/>
      <c r="AR78" s="8"/>
      <c r="AS78" s="7"/>
      <c r="AT78" s="6">
        <f t="shared" si="32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22"/>
        <v>1</v>
      </c>
      <c r="O79" s="25">
        <v>15</v>
      </c>
      <c r="P79" s="23">
        <v>15</v>
      </c>
      <c r="Q79" s="24"/>
      <c r="R79" s="24"/>
      <c r="S79" s="23"/>
      <c r="T79" s="20">
        <f t="shared" si="23"/>
        <v>15</v>
      </c>
      <c r="U79" s="19">
        <f t="shared" si="24"/>
        <v>15</v>
      </c>
      <c r="V79" s="22"/>
      <c r="W79" s="22"/>
      <c r="X79" s="22"/>
      <c r="Y79" s="22"/>
      <c r="Z79" s="21"/>
      <c r="AA79" s="20">
        <f t="shared" si="25"/>
        <v>0</v>
      </c>
      <c r="AB79" s="19">
        <f t="shared" si="26"/>
        <v>0</v>
      </c>
      <c r="AC79" s="16">
        <v>20</v>
      </c>
      <c r="AD79" s="18"/>
      <c r="AE79" s="17"/>
      <c r="AF79" s="23">
        <f t="shared" si="27"/>
        <v>15</v>
      </c>
      <c r="AG79" s="16">
        <v>45</v>
      </c>
      <c r="AH79" s="23">
        <f t="shared" si="28"/>
        <v>80</v>
      </c>
      <c r="AI79" s="14">
        <f t="shared" si="29"/>
        <v>0.93</v>
      </c>
      <c r="AJ79" s="13"/>
      <c r="AK79" s="12">
        <v>0.01</v>
      </c>
      <c r="AL79" s="11">
        <f t="shared" si="30"/>
        <v>1.01</v>
      </c>
      <c r="AM79" s="10">
        <f t="shared" si="31"/>
        <v>6614780000</v>
      </c>
      <c r="AN79" s="9"/>
      <c r="AO79" s="8"/>
      <c r="AP79" s="8"/>
      <c r="AQ79" s="8"/>
      <c r="AR79" s="8"/>
      <c r="AS79" s="7"/>
      <c r="AT79" s="6">
        <f t="shared" si="32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22"/>
        <v>1</v>
      </c>
      <c r="O80" s="25">
        <v>15</v>
      </c>
      <c r="P80" s="23">
        <v>15</v>
      </c>
      <c r="Q80" s="24"/>
      <c r="R80" s="24"/>
      <c r="S80" s="23"/>
      <c r="T80" s="20">
        <f t="shared" si="23"/>
        <v>15</v>
      </c>
      <c r="U80" s="19">
        <f t="shared" si="24"/>
        <v>15</v>
      </c>
      <c r="V80" s="22"/>
      <c r="W80" s="22"/>
      <c r="X80" s="22"/>
      <c r="Y80" s="22"/>
      <c r="Z80" s="21"/>
      <c r="AA80" s="20">
        <f t="shared" si="25"/>
        <v>0</v>
      </c>
      <c r="AB80" s="19">
        <f t="shared" si="26"/>
        <v>0</v>
      </c>
      <c r="AC80" s="16">
        <v>20</v>
      </c>
      <c r="AD80" s="18"/>
      <c r="AE80" s="17"/>
      <c r="AF80" s="23">
        <f t="shared" si="27"/>
        <v>15</v>
      </c>
      <c r="AG80" s="16">
        <v>45</v>
      </c>
      <c r="AH80" s="23">
        <f t="shared" si="28"/>
        <v>80</v>
      </c>
      <c r="AI80" s="14">
        <f t="shared" si="29"/>
        <v>0.93</v>
      </c>
      <c r="AJ80" s="13"/>
      <c r="AK80" s="12">
        <v>0.01</v>
      </c>
      <c r="AL80" s="11">
        <f t="shared" si="30"/>
        <v>1.01</v>
      </c>
      <c r="AM80" s="10">
        <f t="shared" si="31"/>
        <v>6614780000</v>
      </c>
      <c r="AN80" s="9"/>
      <c r="AO80" s="8"/>
      <c r="AP80" s="8"/>
      <c r="AQ80" s="8"/>
      <c r="AR80" s="8"/>
      <c r="AS80" s="7"/>
      <c r="AT80" s="6">
        <f t="shared" si="32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22"/>
        <v>1</v>
      </c>
      <c r="O81" s="25">
        <v>15</v>
      </c>
      <c r="P81" s="23">
        <v>15</v>
      </c>
      <c r="Q81" s="24"/>
      <c r="R81" s="24"/>
      <c r="S81" s="23"/>
      <c r="T81" s="20">
        <f t="shared" si="23"/>
        <v>15</v>
      </c>
      <c r="U81" s="19">
        <f t="shared" si="24"/>
        <v>15</v>
      </c>
      <c r="V81" s="22"/>
      <c r="W81" s="22"/>
      <c r="X81" s="22"/>
      <c r="Y81" s="22"/>
      <c r="Z81" s="21"/>
      <c r="AA81" s="20">
        <f t="shared" si="25"/>
        <v>0</v>
      </c>
      <c r="AB81" s="19">
        <f t="shared" si="26"/>
        <v>0</v>
      </c>
      <c r="AC81" s="16">
        <v>20</v>
      </c>
      <c r="AD81" s="18"/>
      <c r="AE81" s="17"/>
      <c r="AF81" s="23">
        <f t="shared" si="27"/>
        <v>15</v>
      </c>
      <c r="AG81" s="16">
        <v>45</v>
      </c>
      <c r="AH81" s="23">
        <f t="shared" si="28"/>
        <v>80</v>
      </c>
      <c r="AI81" s="14">
        <f t="shared" si="29"/>
        <v>0.93</v>
      </c>
      <c r="AJ81" s="13"/>
      <c r="AK81" s="12">
        <v>0.01</v>
      </c>
      <c r="AL81" s="11">
        <f t="shared" si="30"/>
        <v>1.01</v>
      </c>
      <c r="AM81" s="10">
        <f t="shared" si="31"/>
        <v>6614780000</v>
      </c>
      <c r="AN81" s="9"/>
      <c r="AO81" s="8"/>
      <c r="AP81" s="8"/>
      <c r="AQ81" s="8"/>
      <c r="AR81" s="8"/>
      <c r="AS81" s="7"/>
      <c r="AT81" s="6">
        <f t="shared" si="32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22"/>
        <v>1</v>
      </c>
      <c r="O82" s="25">
        <v>15</v>
      </c>
      <c r="P82" s="23">
        <v>15</v>
      </c>
      <c r="Q82" s="24"/>
      <c r="R82" s="24"/>
      <c r="S82" s="23"/>
      <c r="T82" s="20">
        <f t="shared" si="23"/>
        <v>15</v>
      </c>
      <c r="U82" s="19">
        <f t="shared" si="24"/>
        <v>15</v>
      </c>
      <c r="V82" s="22"/>
      <c r="W82" s="22"/>
      <c r="X82" s="22"/>
      <c r="Y82" s="22"/>
      <c r="Z82" s="21"/>
      <c r="AA82" s="20">
        <f t="shared" si="25"/>
        <v>0</v>
      </c>
      <c r="AB82" s="19">
        <f t="shared" si="26"/>
        <v>0</v>
      </c>
      <c r="AC82" s="16">
        <v>20</v>
      </c>
      <c r="AD82" s="18"/>
      <c r="AE82" s="17"/>
      <c r="AF82" s="23">
        <f t="shared" si="27"/>
        <v>15</v>
      </c>
      <c r="AG82" s="16">
        <v>45</v>
      </c>
      <c r="AH82" s="23">
        <f t="shared" si="28"/>
        <v>80</v>
      </c>
      <c r="AI82" s="14">
        <f t="shared" si="29"/>
        <v>0.93</v>
      </c>
      <c r="AJ82" s="13"/>
      <c r="AK82" s="12">
        <v>0.01</v>
      </c>
      <c r="AL82" s="11">
        <f t="shared" si="30"/>
        <v>1.01</v>
      </c>
      <c r="AM82" s="10">
        <f t="shared" si="31"/>
        <v>6614780000</v>
      </c>
      <c r="AN82" s="9"/>
      <c r="AO82" s="8"/>
      <c r="AP82" s="8"/>
      <c r="AQ82" s="8"/>
      <c r="AR82" s="8"/>
      <c r="AS82" s="7"/>
      <c r="AT82" s="6">
        <f t="shared" si="32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22"/>
        <v>1</v>
      </c>
      <c r="O83" s="25">
        <v>15</v>
      </c>
      <c r="P83" s="23">
        <v>15</v>
      </c>
      <c r="Q83" s="24"/>
      <c r="R83" s="24"/>
      <c r="S83" s="23"/>
      <c r="T83" s="20">
        <f t="shared" si="23"/>
        <v>15</v>
      </c>
      <c r="U83" s="19">
        <f t="shared" si="24"/>
        <v>15</v>
      </c>
      <c r="V83" s="22"/>
      <c r="W83" s="22"/>
      <c r="X83" s="22"/>
      <c r="Y83" s="22"/>
      <c r="Z83" s="21"/>
      <c r="AA83" s="20">
        <f t="shared" si="25"/>
        <v>0</v>
      </c>
      <c r="AB83" s="19">
        <f t="shared" si="26"/>
        <v>0</v>
      </c>
      <c r="AC83" s="16">
        <v>20</v>
      </c>
      <c r="AD83" s="18"/>
      <c r="AE83" s="17"/>
      <c r="AF83" s="23">
        <f t="shared" si="27"/>
        <v>15</v>
      </c>
      <c r="AG83" s="16">
        <v>45</v>
      </c>
      <c r="AH83" s="23">
        <f t="shared" si="28"/>
        <v>80</v>
      </c>
      <c r="AI83" s="14">
        <f t="shared" si="29"/>
        <v>0.93</v>
      </c>
      <c r="AJ83" s="13"/>
      <c r="AK83" s="12">
        <v>0.01</v>
      </c>
      <c r="AL83" s="11">
        <f t="shared" si="30"/>
        <v>1.01</v>
      </c>
      <c r="AM83" s="10">
        <f t="shared" si="31"/>
        <v>6614780000</v>
      </c>
      <c r="AN83" s="9"/>
      <c r="AO83" s="8"/>
      <c r="AP83" s="8"/>
      <c r="AQ83" s="8"/>
      <c r="AR83" s="8"/>
      <c r="AS83" s="7"/>
      <c r="AT83" s="6">
        <f t="shared" si="32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22"/>
        <v>1</v>
      </c>
      <c r="O84" s="25">
        <v>15</v>
      </c>
      <c r="P84" s="23">
        <v>15</v>
      </c>
      <c r="Q84" s="24"/>
      <c r="R84" s="24"/>
      <c r="S84" s="23"/>
      <c r="T84" s="20">
        <f t="shared" si="23"/>
        <v>15</v>
      </c>
      <c r="U84" s="19">
        <f t="shared" si="24"/>
        <v>15</v>
      </c>
      <c r="V84" s="22"/>
      <c r="W84" s="22"/>
      <c r="X84" s="22"/>
      <c r="Y84" s="22"/>
      <c r="Z84" s="21"/>
      <c r="AA84" s="20">
        <f t="shared" si="25"/>
        <v>0</v>
      </c>
      <c r="AB84" s="19">
        <f t="shared" si="26"/>
        <v>0</v>
      </c>
      <c r="AC84" s="16">
        <v>20</v>
      </c>
      <c r="AD84" s="18"/>
      <c r="AE84" s="17"/>
      <c r="AF84" s="23">
        <f t="shared" si="27"/>
        <v>15</v>
      </c>
      <c r="AG84" s="16">
        <v>45</v>
      </c>
      <c r="AH84" s="23">
        <f t="shared" si="28"/>
        <v>80</v>
      </c>
      <c r="AI84" s="14">
        <f t="shared" si="29"/>
        <v>0.93</v>
      </c>
      <c r="AJ84" s="13"/>
      <c r="AK84" s="12">
        <v>0.01</v>
      </c>
      <c r="AL84" s="11">
        <f t="shared" si="30"/>
        <v>1.01</v>
      </c>
      <c r="AM84" s="10">
        <f t="shared" si="31"/>
        <v>6614780000</v>
      </c>
      <c r="AN84" s="9"/>
      <c r="AO84" s="8"/>
      <c r="AP84" s="8"/>
      <c r="AQ84" s="8"/>
      <c r="AR84" s="8"/>
      <c r="AS84" s="7"/>
      <c r="AT84" s="6">
        <f t="shared" si="32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22"/>
        <v>1</v>
      </c>
      <c r="O85" s="25">
        <v>15</v>
      </c>
      <c r="P85" s="23">
        <v>15</v>
      </c>
      <c r="Q85" s="24"/>
      <c r="R85" s="24"/>
      <c r="S85" s="23"/>
      <c r="T85" s="20">
        <f t="shared" si="23"/>
        <v>15</v>
      </c>
      <c r="U85" s="19">
        <f t="shared" si="24"/>
        <v>15</v>
      </c>
      <c r="V85" s="22"/>
      <c r="W85" s="22"/>
      <c r="X85" s="22"/>
      <c r="Y85" s="22"/>
      <c r="Z85" s="21"/>
      <c r="AA85" s="20">
        <f t="shared" si="25"/>
        <v>0</v>
      </c>
      <c r="AB85" s="19">
        <f t="shared" si="26"/>
        <v>0</v>
      </c>
      <c r="AC85" s="16">
        <v>20</v>
      </c>
      <c r="AD85" s="18"/>
      <c r="AE85" s="17"/>
      <c r="AF85" s="23">
        <f t="shared" si="27"/>
        <v>15</v>
      </c>
      <c r="AG85" s="16">
        <v>45</v>
      </c>
      <c r="AH85" s="23">
        <f t="shared" si="28"/>
        <v>80</v>
      </c>
      <c r="AI85" s="14">
        <f t="shared" si="29"/>
        <v>0.93</v>
      </c>
      <c r="AJ85" s="13"/>
      <c r="AK85" s="12">
        <v>0.01</v>
      </c>
      <c r="AL85" s="11">
        <f t="shared" si="30"/>
        <v>1.01</v>
      </c>
      <c r="AM85" s="10">
        <f t="shared" si="31"/>
        <v>6614780000</v>
      </c>
      <c r="AN85" s="9"/>
      <c r="AO85" s="8"/>
      <c r="AP85" s="8"/>
      <c r="AQ85" s="8"/>
      <c r="AR85" s="8"/>
      <c r="AS85" s="7"/>
      <c r="AT85" s="6">
        <f t="shared" si="32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22"/>
        <v>1</v>
      </c>
      <c r="O86" s="25">
        <v>15</v>
      </c>
      <c r="P86" s="23">
        <v>15</v>
      </c>
      <c r="Q86" s="24"/>
      <c r="R86" s="24"/>
      <c r="S86" s="23"/>
      <c r="T86" s="20">
        <f t="shared" si="23"/>
        <v>15</v>
      </c>
      <c r="U86" s="19">
        <f t="shared" si="24"/>
        <v>15</v>
      </c>
      <c r="V86" s="22"/>
      <c r="W86" s="22"/>
      <c r="X86" s="22"/>
      <c r="Y86" s="22"/>
      <c r="Z86" s="21"/>
      <c r="AA86" s="20">
        <f t="shared" si="25"/>
        <v>0</v>
      </c>
      <c r="AB86" s="19">
        <f t="shared" si="26"/>
        <v>0</v>
      </c>
      <c r="AC86" s="16">
        <v>20</v>
      </c>
      <c r="AD86" s="18"/>
      <c r="AE86" s="17"/>
      <c r="AF86" s="23">
        <f t="shared" si="27"/>
        <v>15</v>
      </c>
      <c r="AG86" s="16">
        <v>45</v>
      </c>
      <c r="AH86" s="23">
        <f t="shared" si="28"/>
        <v>80</v>
      </c>
      <c r="AI86" s="14">
        <f t="shared" si="29"/>
        <v>0.93</v>
      </c>
      <c r="AJ86" s="13"/>
      <c r="AK86" s="12">
        <v>0.01</v>
      </c>
      <c r="AL86" s="11">
        <f t="shared" si="30"/>
        <v>1.01</v>
      </c>
      <c r="AM86" s="10">
        <f t="shared" si="31"/>
        <v>6614780000</v>
      </c>
      <c r="AN86" s="9"/>
      <c r="AO86" s="8"/>
      <c r="AP86" s="8"/>
      <c r="AQ86" s="8"/>
      <c r="AR86" s="8"/>
      <c r="AS86" s="7"/>
      <c r="AT86" s="6">
        <f t="shared" si="32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22"/>
        <v>1</v>
      </c>
      <c r="O87" s="25">
        <v>15</v>
      </c>
      <c r="P87" s="23">
        <v>15</v>
      </c>
      <c r="Q87" s="24"/>
      <c r="R87" s="24"/>
      <c r="S87" s="23"/>
      <c r="T87" s="20">
        <f t="shared" si="23"/>
        <v>15</v>
      </c>
      <c r="U87" s="19">
        <f t="shared" si="24"/>
        <v>15</v>
      </c>
      <c r="V87" s="22"/>
      <c r="W87" s="22"/>
      <c r="X87" s="22"/>
      <c r="Y87" s="22"/>
      <c r="Z87" s="21"/>
      <c r="AA87" s="20">
        <f t="shared" si="25"/>
        <v>0</v>
      </c>
      <c r="AB87" s="19">
        <f t="shared" si="26"/>
        <v>0</v>
      </c>
      <c r="AC87" s="16">
        <v>20</v>
      </c>
      <c r="AD87" s="18"/>
      <c r="AE87" s="17"/>
      <c r="AF87" s="23">
        <f t="shared" si="27"/>
        <v>15</v>
      </c>
      <c r="AG87" s="16">
        <v>45</v>
      </c>
      <c r="AH87" s="23">
        <f t="shared" si="28"/>
        <v>80</v>
      </c>
      <c r="AI87" s="14">
        <f t="shared" si="29"/>
        <v>0.93</v>
      </c>
      <c r="AJ87" s="13"/>
      <c r="AK87" s="12">
        <v>0.01</v>
      </c>
      <c r="AL87" s="11">
        <f t="shared" si="30"/>
        <v>1.01</v>
      </c>
      <c r="AM87" s="10">
        <f t="shared" si="31"/>
        <v>6614780000</v>
      </c>
      <c r="AN87" s="9"/>
      <c r="AO87" s="8"/>
      <c r="AP87" s="8"/>
      <c r="AQ87" s="8"/>
      <c r="AR87" s="8"/>
      <c r="AS87" s="7"/>
      <c r="AT87" s="6">
        <f t="shared" si="32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22"/>
        <v>1</v>
      </c>
      <c r="O88" s="25">
        <v>15</v>
      </c>
      <c r="P88" s="23">
        <v>15</v>
      </c>
      <c r="Q88" s="24"/>
      <c r="R88" s="24"/>
      <c r="S88" s="23"/>
      <c r="T88" s="20">
        <f t="shared" si="23"/>
        <v>15</v>
      </c>
      <c r="U88" s="19">
        <f t="shared" si="24"/>
        <v>15</v>
      </c>
      <c r="V88" s="22"/>
      <c r="W88" s="22"/>
      <c r="X88" s="22"/>
      <c r="Y88" s="22"/>
      <c r="Z88" s="21"/>
      <c r="AA88" s="20">
        <f t="shared" si="25"/>
        <v>0</v>
      </c>
      <c r="AB88" s="19">
        <f t="shared" si="26"/>
        <v>0</v>
      </c>
      <c r="AC88" s="16">
        <v>20</v>
      </c>
      <c r="AD88" s="18"/>
      <c r="AE88" s="17"/>
      <c r="AF88" s="23">
        <f t="shared" si="27"/>
        <v>15</v>
      </c>
      <c r="AG88" s="16">
        <v>45</v>
      </c>
      <c r="AH88" s="23">
        <f t="shared" si="28"/>
        <v>80</v>
      </c>
      <c r="AI88" s="14">
        <f t="shared" si="29"/>
        <v>0.93</v>
      </c>
      <c r="AJ88" s="13"/>
      <c r="AK88" s="12">
        <v>0.01</v>
      </c>
      <c r="AL88" s="11">
        <f t="shared" si="30"/>
        <v>1.01</v>
      </c>
      <c r="AM88" s="10">
        <f t="shared" si="31"/>
        <v>6614780000</v>
      </c>
      <c r="AN88" s="9"/>
      <c r="AO88" s="8"/>
      <c r="AP88" s="8"/>
      <c r="AQ88" s="8"/>
      <c r="AR88" s="8"/>
      <c r="AS88" s="7"/>
      <c r="AT88" s="6">
        <f t="shared" si="32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22"/>
        <v>1</v>
      </c>
      <c r="O89" s="25">
        <v>15</v>
      </c>
      <c r="P89" s="23">
        <v>15</v>
      </c>
      <c r="Q89" s="24"/>
      <c r="R89" s="24"/>
      <c r="S89" s="23"/>
      <c r="T89" s="20">
        <f t="shared" si="23"/>
        <v>15</v>
      </c>
      <c r="U89" s="19">
        <f t="shared" si="24"/>
        <v>15</v>
      </c>
      <c r="V89" s="22"/>
      <c r="W89" s="22"/>
      <c r="X89" s="22"/>
      <c r="Y89" s="22"/>
      <c r="Z89" s="21"/>
      <c r="AA89" s="20">
        <f t="shared" si="25"/>
        <v>0</v>
      </c>
      <c r="AB89" s="19">
        <f t="shared" si="26"/>
        <v>0</v>
      </c>
      <c r="AC89" s="16">
        <v>20</v>
      </c>
      <c r="AD89" s="18"/>
      <c r="AE89" s="17"/>
      <c r="AF89" s="23">
        <f t="shared" si="27"/>
        <v>15</v>
      </c>
      <c r="AG89" s="16">
        <v>45</v>
      </c>
      <c r="AH89" s="23">
        <f t="shared" si="28"/>
        <v>80</v>
      </c>
      <c r="AI89" s="14">
        <f t="shared" si="29"/>
        <v>0.93</v>
      </c>
      <c r="AJ89" s="13"/>
      <c r="AK89" s="12">
        <v>0.01</v>
      </c>
      <c r="AL89" s="11">
        <f t="shared" si="30"/>
        <v>1.01</v>
      </c>
      <c r="AM89" s="10">
        <f t="shared" si="31"/>
        <v>6614780000</v>
      </c>
      <c r="AN89" s="9"/>
      <c r="AO89" s="8"/>
      <c r="AP89" s="8"/>
      <c r="AQ89" s="8"/>
      <c r="AR89" s="8"/>
      <c r="AS89" s="7"/>
      <c r="AT89" s="6">
        <f t="shared" si="32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22"/>
        <v>1</v>
      </c>
      <c r="O90" s="25">
        <v>15</v>
      </c>
      <c r="P90" s="23">
        <v>15</v>
      </c>
      <c r="Q90" s="24"/>
      <c r="R90" s="24"/>
      <c r="S90" s="23"/>
      <c r="T90" s="20">
        <f t="shared" si="23"/>
        <v>15</v>
      </c>
      <c r="U90" s="19">
        <f t="shared" si="24"/>
        <v>15</v>
      </c>
      <c r="V90" s="22"/>
      <c r="W90" s="22"/>
      <c r="X90" s="22"/>
      <c r="Y90" s="22"/>
      <c r="Z90" s="21"/>
      <c r="AA90" s="20">
        <f t="shared" si="25"/>
        <v>0</v>
      </c>
      <c r="AB90" s="19">
        <f t="shared" si="26"/>
        <v>0</v>
      </c>
      <c r="AC90" s="16">
        <v>20</v>
      </c>
      <c r="AD90" s="18"/>
      <c r="AE90" s="17"/>
      <c r="AF90" s="23">
        <f t="shared" si="27"/>
        <v>15</v>
      </c>
      <c r="AG90" s="16">
        <v>45</v>
      </c>
      <c r="AH90" s="23">
        <f t="shared" si="28"/>
        <v>80</v>
      </c>
      <c r="AI90" s="14">
        <f t="shared" si="29"/>
        <v>0.93</v>
      </c>
      <c r="AJ90" s="13"/>
      <c r="AK90" s="12">
        <v>0.01</v>
      </c>
      <c r="AL90" s="11">
        <f t="shared" si="30"/>
        <v>1.01</v>
      </c>
      <c r="AM90" s="10">
        <f t="shared" si="31"/>
        <v>6614780000</v>
      </c>
      <c r="AN90" s="9"/>
      <c r="AO90" s="8"/>
      <c r="AP90" s="8"/>
      <c r="AQ90" s="8"/>
      <c r="AR90" s="8"/>
      <c r="AS90" s="7"/>
      <c r="AT90" s="6">
        <f t="shared" si="32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22"/>
        <v>1</v>
      </c>
      <c r="O91" s="25">
        <v>15</v>
      </c>
      <c r="P91" s="23">
        <v>15</v>
      </c>
      <c r="Q91" s="24"/>
      <c r="R91" s="24"/>
      <c r="S91" s="23"/>
      <c r="T91" s="20">
        <f t="shared" si="23"/>
        <v>15</v>
      </c>
      <c r="U91" s="19">
        <f t="shared" si="24"/>
        <v>15</v>
      </c>
      <c r="V91" s="22"/>
      <c r="W91" s="22"/>
      <c r="X91" s="22"/>
      <c r="Y91" s="22"/>
      <c r="Z91" s="21"/>
      <c r="AA91" s="20">
        <f t="shared" si="25"/>
        <v>0</v>
      </c>
      <c r="AB91" s="19">
        <f t="shared" si="26"/>
        <v>0</v>
      </c>
      <c r="AC91" s="16">
        <v>20</v>
      </c>
      <c r="AD91" s="18"/>
      <c r="AE91" s="17"/>
      <c r="AF91" s="23">
        <f t="shared" si="27"/>
        <v>15</v>
      </c>
      <c r="AG91" s="16">
        <v>45</v>
      </c>
      <c r="AH91" s="23">
        <f t="shared" si="28"/>
        <v>80</v>
      </c>
      <c r="AI91" s="14">
        <f t="shared" si="29"/>
        <v>0.93</v>
      </c>
      <c r="AJ91" s="13"/>
      <c r="AK91" s="12">
        <v>0.01</v>
      </c>
      <c r="AL91" s="11">
        <f t="shared" si="30"/>
        <v>1.01</v>
      </c>
      <c r="AM91" s="10">
        <f t="shared" si="31"/>
        <v>6614780000</v>
      </c>
      <c r="AN91" s="9"/>
      <c r="AO91" s="8"/>
      <c r="AP91" s="8"/>
      <c r="AQ91" s="8"/>
      <c r="AR91" s="8"/>
      <c r="AS91" s="7"/>
      <c r="AT91" s="6">
        <f t="shared" si="32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22"/>
        <v>1</v>
      </c>
      <c r="O92" s="25">
        <v>15</v>
      </c>
      <c r="P92" s="23">
        <v>15</v>
      </c>
      <c r="Q92" s="24"/>
      <c r="R92" s="24"/>
      <c r="S92" s="23"/>
      <c r="T92" s="20">
        <f t="shared" si="23"/>
        <v>15</v>
      </c>
      <c r="U92" s="19">
        <f t="shared" si="24"/>
        <v>15</v>
      </c>
      <c r="V92" s="22"/>
      <c r="W92" s="22"/>
      <c r="X92" s="22"/>
      <c r="Y92" s="22"/>
      <c r="Z92" s="21"/>
      <c r="AA92" s="20">
        <f t="shared" si="25"/>
        <v>0</v>
      </c>
      <c r="AB92" s="19">
        <f t="shared" si="26"/>
        <v>0</v>
      </c>
      <c r="AC92" s="16">
        <v>20</v>
      </c>
      <c r="AD92" s="18"/>
      <c r="AE92" s="17"/>
      <c r="AF92" s="23">
        <f t="shared" si="27"/>
        <v>15</v>
      </c>
      <c r="AG92" s="16">
        <v>45</v>
      </c>
      <c r="AH92" s="23">
        <f t="shared" si="28"/>
        <v>80</v>
      </c>
      <c r="AI92" s="14">
        <f t="shared" si="29"/>
        <v>0.93</v>
      </c>
      <c r="AJ92" s="13"/>
      <c r="AK92" s="12">
        <v>0.01</v>
      </c>
      <c r="AL92" s="11">
        <f t="shared" si="30"/>
        <v>1.01</v>
      </c>
      <c r="AM92" s="10">
        <f t="shared" si="31"/>
        <v>6614780000</v>
      </c>
      <c r="AN92" s="9"/>
      <c r="AO92" s="8"/>
      <c r="AP92" s="8"/>
      <c r="AQ92" s="8"/>
      <c r="AR92" s="8"/>
      <c r="AS92" s="7"/>
      <c r="AT92" s="6">
        <f t="shared" si="32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22"/>
        <v>1</v>
      </c>
      <c r="O93" s="25">
        <v>15</v>
      </c>
      <c r="P93" s="23">
        <v>15</v>
      </c>
      <c r="Q93" s="24"/>
      <c r="R93" s="24"/>
      <c r="S93" s="23"/>
      <c r="T93" s="20">
        <f t="shared" si="23"/>
        <v>15</v>
      </c>
      <c r="U93" s="19">
        <f t="shared" si="24"/>
        <v>15</v>
      </c>
      <c r="V93" s="22"/>
      <c r="W93" s="22"/>
      <c r="X93" s="22"/>
      <c r="Y93" s="22"/>
      <c r="Z93" s="21"/>
      <c r="AA93" s="20">
        <f t="shared" si="25"/>
        <v>0</v>
      </c>
      <c r="AB93" s="19">
        <f t="shared" si="26"/>
        <v>0</v>
      </c>
      <c r="AC93" s="16">
        <v>20</v>
      </c>
      <c r="AD93" s="18"/>
      <c r="AE93" s="17"/>
      <c r="AF93" s="23">
        <f t="shared" si="27"/>
        <v>15</v>
      </c>
      <c r="AG93" s="16">
        <v>45</v>
      </c>
      <c r="AH93" s="23">
        <f t="shared" si="28"/>
        <v>80</v>
      </c>
      <c r="AI93" s="14">
        <f t="shared" si="29"/>
        <v>0.93</v>
      </c>
      <c r="AJ93" s="13"/>
      <c r="AK93" s="12">
        <v>0.01</v>
      </c>
      <c r="AL93" s="11">
        <f t="shared" si="30"/>
        <v>1.01</v>
      </c>
      <c r="AM93" s="10">
        <f t="shared" si="31"/>
        <v>6614780000</v>
      </c>
      <c r="AN93" s="9"/>
      <c r="AO93" s="8"/>
      <c r="AP93" s="8"/>
      <c r="AQ93" s="8"/>
      <c r="AR93" s="8"/>
      <c r="AS93" s="7"/>
      <c r="AT93" s="6">
        <f t="shared" si="32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22"/>
        <v>1</v>
      </c>
      <c r="O94" s="25">
        <v>15</v>
      </c>
      <c r="P94" s="23">
        <v>15</v>
      </c>
      <c r="Q94" s="24"/>
      <c r="R94" s="24"/>
      <c r="S94" s="23"/>
      <c r="T94" s="20">
        <f t="shared" si="23"/>
        <v>15</v>
      </c>
      <c r="U94" s="19">
        <f t="shared" si="24"/>
        <v>15</v>
      </c>
      <c r="V94" s="22"/>
      <c r="W94" s="22"/>
      <c r="X94" s="22"/>
      <c r="Y94" s="22"/>
      <c r="Z94" s="21"/>
      <c r="AA94" s="20">
        <f t="shared" si="25"/>
        <v>0</v>
      </c>
      <c r="AB94" s="19">
        <f t="shared" si="26"/>
        <v>0</v>
      </c>
      <c r="AC94" s="16">
        <v>20</v>
      </c>
      <c r="AD94" s="18"/>
      <c r="AE94" s="17"/>
      <c r="AF94" s="23">
        <f t="shared" si="27"/>
        <v>15</v>
      </c>
      <c r="AG94" s="16">
        <v>45</v>
      </c>
      <c r="AH94" s="23">
        <f t="shared" si="28"/>
        <v>80</v>
      </c>
      <c r="AI94" s="14">
        <f t="shared" si="29"/>
        <v>0.93</v>
      </c>
      <c r="AJ94" s="13"/>
      <c r="AK94" s="12">
        <v>0.01</v>
      </c>
      <c r="AL94" s="11">
        <f t="shared" si="30"/>
        <v>1.01</v>
      </c>
      <c r="AM94" s="10">
        <f t="shared" si="31"/>
        <v>6614780000</v>
      </c>
      <c r="AN94" s="9"/>
      <c r="AO94" s="8"/>
      <c r="AP94" s="8"/>
      <c r="AQ94" s="8"/>
      <c r="AR94" s="8"/>
      <c r="AS94" s="7"/>
      <c r="AT94" s="6">
        <f t="shared" si="32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22"/>
        <v>1</v>
      </c>
      <c r="O95" s="25">
        <v>15</v>
      </c>
      <c r="P95" s="23">
        <v>15</v>
      </c>
      <c r="Q95" s="24"/>
      <c r="R95" s="24"/>
      <c r="S95" s="23"/>
      <c r="T95" s="20">
        <f t="shared" si="23"/>
        <v>15</v>
      </c>
      <c r="U95" s="19">
        <f t="shared" si="24"/>
        <v>15</v>
      </c>
      <c r="V95" s="22"/>
      <c r="W95" s="22"/>
      <c r="X95" s="22"/>
      <c r="Y95" s="22"/>
      <c r="Z95" s="21"/>
      <c r="AA95" s="20">
        <f t="shared" si="25"/>
        <v>0</v>
      </c>
      <c r="AB95" s="19">
        <f t="shared" si="26"/>
        <v>0</v>
      </c>
      <c r="AC95" s="16">
        <v>20</v>
      </c>
      <c r="AD95" s="18"/>
      <c r="AE95" s="17"/>
      <c r="AF95" s="23">
        <f t="shared" si="27"/>
        <v>15</v>
      </c>
      <c r="AG95" s="16">
        <v>45</v>
      </c>
      <c r="AH95" s="23">
        <f t="shared" si="28"/>
        <v>80</v>
      </c>
      <c r="AI95" s="14">
        <f t="shared" si="29"/>
        <v>0.93</v>
      </c>
      <c r="AJ95" s="13"/>
      <c r="AK95" s="12">
        <v>0.01</v>
      </c>
      <c r="AL95" s="11">
        <f t="shared" si="30"/>
        <v>1.01</v>
      </c>
      <c r="AM95" s="10">
        <f t="shared" si="31"/>
        <v>6614780000</v>
      </c>
      <c r="AN95" s="9"/>
      <c r="AO95" s="8"/>
      <c r="AP95" s="8"/>
      <c r="AQ95" s="8"/>
      <c r="AR95" s="8"/>
      <c r="AS95" s="7"/>
      <c r="AT95" s="6">
        <f t="shared" si="32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22"/>
        <v>1</v>
      </c>
      <c r="O96" s="25">
        <v>15</v>
      </c>
      <c r="P96" s="23">
        <v>15</v>
      </c>
      <c r="Q96" s="24"/>
      <c r="R96" s="24"/>
      <c r="S96" s="23"/>
      <c r="T96" s="20">
        <f t="shared" si="23"/>
        <v>15</v>
      </c>
      <c r="U96" s="19">
        <f t="shared" si="24"/>
        <v>15</v>
      </c>
      <c r="V96" s="22"/>
      <c r="W96" s="22"/>
      <c r="X96" s="22"/>
      <c r="Y96" s="22"/>
      <c r="Z96" s="21"/>
      <c r="AA96" s="20">
        <f t="shared" si="25"/>
        <v>0</v>
      </c>
      <c r="AB96" s="19">
        <f t="shared" si="26"/>
        <v>0</v>
      </c>
      <c r="AC96" s="16">
        <v>20</v>
      </c>
      <c r="AD96" s="18"/>
      <c r="AE96" s="17"/>
      <c r="AF96" s="23">
        <f t="shared" si="27"/>
        <v>15</v>
      </c>
      <c r="AG96" s="16">
        <v>45</v>
      </c>
      <c r="AH96" s="23">
        <f t="shared" si="28"/>
        <v>80</v>
      </c>
      <c r="AI96" s="14">
        <f t="shared" si="29"/>
        <v>0.93</v>
      </c>
      <c r="AJ96" s="13"/>
      <c r="AK96" s="12">
        <v>0.01</v>
      </c>
      <c r="AL96" s="11">
        <f t="shared" si="30"/>
        <v>1.01</v>
      </c>
      <c r="AM96" s="10">
        <f t="shared" si="31"/>
        <v>6614780000</v>
      </c>
      <c r="AN96" s="9"/>
      <c r="AO96" s="8"/>
      <c r="AP96" s="8"/>
      <c r="AQ96" s="8"/>
      <c r="AR96" s="8"/>
      <c r="AS96" s="7"/>
      <c r="AT96" s="6">
        <f t="shared" si="32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22"/>
        <v>1</v>
      </c>
      <c r="O97" s="25">
        <v>15</v>
      </c>
      <c r="P97" s="23">
        <v>15</v>
      </c>
      <c r="Q97" s="24"/>
      <c r="R97" s="24"/>
      <c r="S97" s="23"/>
      <c r="T97" s="20">
        <f t="shared" si="23"/>
        <v>15</v>
      </c>
      <c r="U97" s="19">
        <f t="shared" si="24"/>
        <v>15</v>
      </c>
      <c r="V97" s="22"/>
      <c r="W97" s="22"/>
      <c r="X97" s="22"/>
      <c r="Y97" s="22"/>
      <c r="Z97" s="21"/>
      <c r="AA97" s="20">
        <f t="shared" si="25"/>
        <v>0</v>
      </c>
      <c r="AB97" s="19">
        <f t="shared" si="26"/>
        <v>0</v>
      </c>
      <c r="AC97" s="16">
        <v>20</v>
      </c>
      <c r="AD97" s="18"/>
      <c r="AE97" s="17"/>
      <c r="AF97" s="23">
        <f t="shared" si="27"/>
        <v>15</v>
      </c>
      <c r="AG97" s="16">
        <v>45</v>
      </c>
      <c r="AH97" s="23">
        <f t="shared" si="28"/>
        <v>80</v>
      </c>
      <c r="AI97" s="14">
        <f t="shared" si="29"/>
        <v>0.93</v>
      </c>
      <c r="AJ97" s="13"/>
      <c r="AK97" s="12">
        <v>0.01</v>
      </c>
      <c r="AL97" s="11">
        <f t="shared" si="30"/>
        <v>1.01</v>
      </c>
      <c r="AM97" s="10">
        <f t="shared" si="31"/>
        <v>6614780000</v>
      </c>
      <c r="AN97" s="9"/>
      <c r="AO97" s="8"/>
      <c r="AP97" s="8"/>
      <c r="AQ97" s="8"/>
      <c r="AR97" s="8"/>
      <c r="AS97" s="7"/>
      <c r="AT97" s="6">
        <f t="shared" si="32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22"/>
        <v>1</v>
      </c>
      <c r="O98" s="25">
        <v>15</v>
      </c>
      <c r="P98" s="23">
        <v>15</v>
      </c>
      <c r="Q98" s="24"/>
      <c r="R98" s="24"/>
      <c r="S98" s="23"/>
      <c r="T98" s="20">
        <f t="shared" si="23"/>
        <v>15</v>
      </c>
      <c r="U98" s="19">
        <f t="shared" si="24"/>
        <v>15</v>
      </c>
      <c r="V98" s="22"/>
      <c r="W98" s="22"/>
      <c r="X98" s="22"/>
      <c r="Y98" s="22"/>
      <c r="Z98" s="21"/>
      <c r="AA98" s="20">
        <f t="shared" si="25"/>
        <v>0</v>
      </c>
      <c r="AB98" s="19">
        <f t="shared" si="26"/>
        <v>0</v>
      </c>
      <c r="AC98" s="16">
        <v>20</v>
      </c>
      <c r="AD98" s="18"/>
      <c r="AE98" s="17"/>
      <c r="AF98" s="23">
        <f t="shared" si="27"/>
        <v>15</v>
      </c>
      <c r="AG98" s="16">
        <v>45</v>
      </c>
      <c r="AH98" s="23">
        <f t="shared" si="28"/>
        <v>80</v>
      </c>
      <c r="AI98" s="14">
        <f t="shared" si="29"/>
        <v>0.93</v>
      </c>
      <c r="AJ98" s="13"/>
      <c r="AK98" s="12">
        <v>0.01</v>
      </c>
      <c r="AL98" s="11">
        <f t="shared" si="30"/>
        <v>1.01</v>
      </c>
      <c r="AM98" s="10">
        <f t="shared" si="31"/>
        <v>6614780000</v>
      </c>
      <c r="AN98" s="9"/>
      <c r="AO98" s="8"/>
      <c r="AP98" s="8"/>
      <c r="AQ98" s="8"/>
      <c r="AR98" s="8"/>
      <c r="AS98" s="7"/>
      <c r="AT98" s="6">
        <f t="shared" si="32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22"/>
        <v>1</v>
      </c>
      <c r="O99" s="25">
        <v>15</v>
      </c>
      <c r="P99" s="23">
        <v>15</v>
      </c>
      <c r="Q99" s="24"/>
      <c r="R99" s="24"/>
      <c r="S99" s="23"/>
      <c r="T99" s="20">
        <f t="shared" si="23"/>
        <v>15</v>
      </c>
      <c r="U99" s="19">
        <f t="shared" si="24"/>
        <v>15</v>
      </c>
      <c r="V99" s="22"/>
      <c r="W99" s="22"/>
      <c r="X99" s="22"/>
      <c r="Y99" s="22"/>
      <c r="Z99" s="21"/>
      <c r="AA99" s="20">
        <f t="shared" si="25"/>
        <v>0</v>
      </c>
      <c r="AB99" s="19">
        <f t="shared" si="26"/>
        <v>0</v>
      </c>
      <c r="AC99" s="16">
        <v>20</v>
      </c>
      <c r="AD99" s="18"/>
      <c r="AE99" s="17"/>
      <c r="AF99" s="23">
        <f t="shared" si="27"/>
        <v>15</v>
      </c>
      <c r="AG99" s="16">
        <v>45</v>
      </c>
      <c r="AH99" s="23">
        <f t="shared" si="28"/>
        <v>80</v>
      </c>
      <c r="AI99" s="14">
        <f t="shared" si="29"/>
        <v>0.93</v>
      </c>
      <c r="AJ99" s="13"/>
      <c r="AK99" s="12">
        <v>0.01</v>
      </c>
      <c r="AL99" s="11">
        <f t="shared" si="30"/>
        <v>1.01</v>
      </c>
      <c r="AM99" s="10">
        <f t="shared" si="31"/>
        <v>6614780000</v>
      </c>
      <c r="AN99" s="9"/>
      <c r="AO99" s="8"/>
      <c r="AP99" s="8"/>
      <c r="AQ99" s="8"/>
      <c r="AR99" s="8"/>
      <c r="AS99" s="7"/>
      <c r="AT99" s="6">
        <f t="shared" si="32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22"/>
        <v>1</v>
      </c>
      <c r="O100" s="25">
        <v>15</v>
      </c>
      <c r="P100" s="23">
        <v>15</v>
      </c>
      <c r="Q100" s="24"/>
      <c r="R100" s="24"/>
      <c r="S100" s="23"/>
      <c r="T100" s="20">
        <f t="shared" si="23"/>
        <v>15</v>
      </c>
      <c r="U100" s="19">
        <f t="shared" si="24"/>
        <v>15</v>
      </c>
      <c r="V100" s="22"/>
      <c r="W100" s="22"/>
      <c r="X100" s="22"/>
      <c r="Y100" s="22"/>
      <c r="Z100" s="21"/>
      <c r="AA100" s="20">
        <f t="shared" si="25"/>
        <v>0</v>
      </c>
      <c r="AB100" s="19">
        <f t="shared" si="26"/>
        <v>0</v>
      </c>
      <c r="AC100" s="16">
        <v>20</v>
      </c>
      <c r="AD100" s="18"/>
      <c r="AE100" s="17"/>
      <c r="AF100" s="23">
        <f t="shared" si="27"/>
        <v>15</v>
      </c>
      <c r="AG100" s="16">
        <v>45</v>
      </c>
      <c r="AH100" s="23">
        <f t="shared" si="28"/>
        <v>80</v>
      </c>
      <c r="AI100" s="14">
        <f t="shared" si="29"/>
        <v>0.93</v>
      </c>
      <c r="AJ100" s="13"/>
      <c r="AK100" s="12">
        <v>0.01</v>
      </c>
      <c r="AL100" s="11">
        <f t="shared" si="30"/>
        <v>1.01</v>
      </c>
      <c r="AM100" s="10">
        <f t="shared" si="31"/>
        <v>6614780000</v>
      </c>
      <c r="AN100" s="9"/>
      <c r="AO100" s="8"/>
      <c r="AP100" s="8"/>
      <c r="AQ100" s="8"/>
      <c r="AR100" s="8"/>
      <c r="AS100" s="7"/>
      <c r="AT100" s="6">
        <f t="shared" si="32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ref="N101:N132" si="33">SUM(I101:M101)</f>
        <v>1</v>
      </c>
      <c r="O101" s="25">
        <v>15</v>
      </c>
      <c r="P101" s="23">
        <v>15</v>
      </c>
      <c r="Q101" s="24"/>
      <c r="R101" s="24"/>
      <c r="S101" s="23"/>
      <c r="T101" s="20">
        <f t="shared" ref="T101:T132" si="34">ROUND(((O101*I101)+(P101*J101)+(Q101*K101)+(R101*L101)+(S101*M101)),2)</f>
        <v>15</v>
      </c>
      <c r="U101" s="19">
        <f t="shared" ref="U101:U132" si="35">IF(T101&gt;=15,15,T101)</f>
        <v>15</v>
      </c>
      <c r="V101" s="22"/>
      <c r="W101" s="22"/>
      <c r="X101" s="22"/>
      <c r="Y101" s="22"/>
      <c r="Z101" s="21"/>
      <c r="AA101" s="20">
        <f t="shared" ref="AA101:AA132" si="36">ROUND((((V101*I101)+(W101*J101)+(X101*K101)+(Y101*L101)+(Z101*M101))/$I$2*15),2)</f>
        <v>0</v>
      </c>
      <c r="AB101" s="19">
        <f t="shared" ref="AB101:AB132" si="37">IF(AA101&gt;=15,15,AA101)</f>
        <v>0</v>
      </c>
      <c r="AC101" s="16">
        <v>20</v>
      </c>
      <c r="AD101" s="18"/>
      <c r="AE101" s="17"/>
      <c r="AF101" s="23">
        <f t="shared" ref="AF101:AF132" si="38">IF((U101+AB101+AD101)&gt;=30,30,(U101+AB101+AD101))</f>
        <v>15</v>
      </c>
      <c r="AG101" s="16">
        <v>45</v>
      </c>
      <c r="AH101" s="23">
        <f t="shared" ref="AH101:AH132" si="39">AC101+AF101+AG101+AE101</f>
        <v>80</v>
      </c>
      <c r="AI101" s="14">
        <f t="shared" ref="AI101:AI132" si="40">-((50-((176+(45+(30-AF101)))))/200)</f>
        <v>0.93</v>
      </c>
      <c r="AJ101" s="13"/>
      <c r="AK101" s="12">
        <v>0.01</v>
      </c>
      <c r="AL101" s="11">
        <f t="shared" ref="AL101:AL132" si="41">100%+AK101</f>
        <v>1.01</v>
      </c>
      <c r="AM101" s="10">
        <f t="shared" ref="AM101:AM132" si="42">ROUNDUP($D$2*AI101*AL101,-3)</f>
        <v>6614780000</v>
      </c>
      <c r="AN101" s="9"/>
      <c r="AO101" s="8"/>
      <c r="AP101" s="8"/>
      <c r="AQ101" s="8"/>
      <c r="AR101" s="8"/>
      <c r="AS101" s="7"/>
      <c r="AT101" s="6">
        <f t="shared" ref="AT101:AT132" si="43">(AO101*J101)+(AP101*K101)+(AQ101*L101)+(AR101*M101)+(AS101*N101)</f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33"/>
        <v>1</v>
      </c>
      <c r="O102" s="25">
        <v>15</v>
      </c>
      <c r="P102" s="23">
        <v>15</v>
      </c>
      <c r="Q102" s="24"/>
      <c r="R102" s="24"/>
      <c r="S102" s="23"/>
      <c r="T102" s="20">
        <f t="shared" si="34"/>
        <v>15</v>
      </c>
      <c r="U102" s="19">
        <f t="shared" si="35"/>
        <v>15</v>
      </c>
      <c r="V102" s="22"/>
      <c r="W102" s="22"/>
      <c r="X102" s="22"/>
      <c r="Y102" s="22"/>
      <c r="Z102" s="21"/>
      <c r="AA102" s="20">
        <f t="shared" si="36"/>
        <v>0</v>
      </c>
      <c r="AB102" s="19">
        <f t="shared" si="37"/>
        <v>0</v>
      </c>
      <c r="AC102" s="16">
        <v>20</v>
      </c>
      <c r="AD102" s="18"/>
      <c r="AE102" s="17"/>
      <c r="AF102" s="23">
        <f t="shared" si="38"/>
        <v>15</v>
      </c>
      <c r="AG102" s="16">
        <v>45</v>
      </c>
      <c r="AH102" s="23">
        <f t="shared" si="39"/>
        <v>80</v>
      </c>
      <c r="AI102" s="14">
        <f t="shared" si="40"/>
        <v>0.93</v>
      </c>
      <c r="AJ102" s="13"/>
      <c r="AK102" s="12">
        <v>0.01</v>
      </c>
      <c r="AL102" s="11">
        <f t="shared" si="41"/>
        <v>1.01</v>
      </c>
      <c r="AM102" s="10">
        <f t="shared" si="42"/>
        <v>6614780000</v>
      </c>
      <c r="AN102" s="9"/>
      <c r="AO102" s="8"/>
      <c r="AP102" s="8"/>
      <c r="AQ102" s="8"/>
      <c r="AR102" s="8"/>
      <c r="AS102" s="7"/>
      <c r="AT102" s="6">
        <f t="shared" si="43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33"/>
        <v>1</v>
      </c>
      <c r="O103" s="25">
        <v>15</v>
      </c>
      <c r="P103" s="23">
        <v>15</v>
      </c>
      <c r="Q103" s="24"/>
      <c r="R103" s="24"/>
      <c r="S103" s="23"/>
      <c r="T103" s="20">
        <f t="shared" si="34"/>
        <v>15</v>
      </c>
      <c r="U103" s="19">
        <f t="shared" si="35"/>
        <v>15</v>
      </c>
      <c r="V103" s="22"/>
      <c r="W103" s="22"/>
      <c r="X103" s="22"/>
      <c r="Y103" s="22"/>
      <c r="Z103" s="21"/>
      <c r="AA103" s="20">
        <f t="shared" si="36"/>
        <v>0</v>
      </c>
      <c r="AB103" s="19">
        <f t="shared" si="37"/>
        <v>0</v>
      </c>
      <c r="AC103" s="16">
        <v>20</v>
      </c>
      <c r="AD103" s="18"/>
      <c r="AE103" s="17"/>
      <c r="AF103" s="23">
        <f t="shared" si="38"/>
        <v>15</v>
      </c>
      <c r="AG103" s="16">
        <v>45</v>
      </c>
      <c r="AH103" s="23">
        <f t="shared" si="39"/>
        <v>80</v>
      </c>
      <c r="AI103" s="14">
        <f t="shared" si="40"/>
        <v>0.93</v>
      </c>
      <c r="AJ103" s="13"/>
      <c r="AK103" s="12">
        <v>0.01</v>
      </c>
      <c r="AL103" s="11">
        <f t="shared" si="41"/>
        <v>1.01</v>
      </c>
      <c r="AM103" s="10">
        <f t="shared" si="42"/>
        <v>6614780000</v>
      </c>
      <c r="AN103" s="9"/>
      <c r="AO103" s="8"/>
      <c r="AP103" s="8"/>
      <c r="AQ103" s="8"/>
      <c r="AR103" s="8"/>
      <c r="AS103" s="7"/>
      <c r="AT103" s="6">
        <f t="shared" si="43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33"/>
        <v>1</v>
      </c>
      <c r="O104" s="25">
        <v>15</v>
      </c>
      <c r="P104" s="23">
        <v>15</v>
      </c>
      <c r="Q104" s="24"/>
      <c r="R104" s="24"/>
      <c r="S104" s="23"/>
      <c r="T104" s="20">
        <f t="shared" si="34"/>
        <v>15</v>
      </c>
      <c r="U104" s="19">
        <f t="shared" si="35"/>
        <v>15</v>
      </c>
      <c r="V104" s="22"/>
      <c r="W104" s="22"/>
      <c r="X104" s="22"/>
      <c r="Y104" s="22"/>
      <c r="Z104" s="21"/>
      <c r="AA104" s="20">
        <f t="shared" si="36"/>
        <v>0</v>
      </c>
      <c r="AB104" s="19">
        <f t="shared" si="37"/>
        <v>0</v>
      </c>
      <c r="AC104" s="16">
        <v>20</v>
      </c>
      <c r="AD104" s="18"/>
      <c r="AE104" s="17"/>
      <c r="AF104" s="23">
        <f t="shared" si="38"/>
        <v>15</v>
      </c>
      <c r="AG104" s="16">
        <v>45</v>
      </c>
      <c r="AH104" s="23">
        <f t="shared" si="39"/>
        <v>80</v>
      </c>
      <c r="AI104" s="14">
        <f t="shared" si="40"/>
        <v>0.93</v>
      </c>
      <c r="AJ104" s="13"/>
      <c r="AK104" s="12">
        <v>0.01</v>
      </c>
      <c r="AL104" s="11">
        <f t="shared" si="41"/>
        <v>1.01</v>
      </c>
      <c r="AM104" s="10">
        <f t="shared" si="42"/>
        <v>6614780000</v>
      </c>
      <c r="AN104" s="9"/>
      <c r="AO104" s="8"/>
      <c r="AP104" s="8"/>
      <c r="AQ104" s="8"/>
      <c r="AR104" s="8"/>
      <c r="AS104" s="7"/>
      <c r="AT104" s="6">
        <f t="shared" si="43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33"/>
        <v>1</v>
      </c>
      <c r="O105" s="25">
        <v>15</v>
      </c>
      <c r="P105" s="23">
        <v>15</v>
      </c>
      <c r="Q105" s="24"/>
      <c r="R105" s="24"/>
      <c r="S105" s="23"/>
      <c r="T105" s="20">
        <f t="shared" si="34"/>
        <v>15</v>
      </c>
      <c r="U105" s="19">
        <f t="shared" si="35"/>
        <v>15</v>
      </c>
      <c r="V105" s="22"/>
      <c r="W105" s="22"/>
      <c r="X105" s="22"/>
      <c r="Y105" s="22"/>
      <c r="Z105" s="21"/>
      <c r="AA105" s="20">
        <f t="shared" si="36"/>
        <v>0</v>
      </c>
      <c r="AB105" s="19">
        <f t="shared" si="37"/>
        <v>0</v>
      </c>
      <c r="AC105" s="16">
        <v>20</v>
      </c>
      <c r="AD105" s="18"/>
      <c r="AE105" s="17"/>
      <c r="AF105" s="23">
        <f t="shared" si="38"/>
        <v>15</v>
      </c>
      <c r="AG105" s="16">
        <v>45</v>
      </c>
      <c r="AH105" s="23">
        <f t="shared" si="39"/>
        <v>80</v>
      </c>
      <c r="AI105" s="14">
        <f t="shared" si="40"/>
        <v>0.93</v>
      </c>
      <c r="AJ105" s="13"/>
      <c r="AK105" s="12">
        <v>0.01</v>
      </c>
      <c r="AL105" s="11">
        <f t="shared" si="41"/>
        <v>1.01</v>
      </c>
      <c r="AM105" s="10">
        <f t="shared" si="42"/>
        <v>6614780000</v>
      </c>
      <c r="AN105" s="9"/>
      <c r="AO105" s="8"/>
      <c r="AP105" s="8"/>
      <c r="AQ105" s="8"/>
      <c r="AR105" s="8"/>
      <c r="AS105" s="7"/>
      <c r="AT105" s="6">
        <f t="shared" si="43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33"/>
        <v>1</v>
      </c>
      <c r="O106" s="25">
        <v>15</v>
      </c>
      <c r="P106" s="23">
        <v>15</v>
      </c>
      <c r="Q106" s="24"/>
      <c r="R106" s="24"/>
      <c r="S106" s="23"/>
      <c r="T106" s="20">
        <f t="shared" si="34"/>
        <v>15</v>
      </c>
      <c r="U106" s="19">
        <f t="shared" si="35"/>
        <v>15</v>
      </c>
      <c r="V106" s="22"/>
      <c r="W106" s="22"/>
      <c r="X106" s="22"/>
      <c r="Y106" s="22"/>
      <c r="Z106" s="21"/>
      <c r="AA106" s="20">
        <f t="shared" si="36"/>
        <v>0</v>
      </c>
      <c r="AB106" s="19">
        <f t="shared" si="37"/>
        <v>0</v>
      </c>
      <c r="AC106" s="16">
        <v>20</v>
      </c>
      <c r="AD106" s="18"/>
      <c r="AE106" s="17"/>
      <c r="AF106" s="23">
        <f t="shared" si="38"/>
        <v>15</v>
      </c>
      <c r="AG106" s="16">
        <v>45</v>
      </c>
      <c r="AH106" s="23">
        <f t="shared" si="39"/>
        <v>80</v>
      </c>
      <c r="AI106" s="14">
        <f t="shared" si="40"/>
        <v>0.93</v>
      </c>
      <c r="AJ106" s="13"/>
      <c r="AK106" s="12">
        <v>0.01</v>
      </c>
      <c r="AL106" s="11">
        <f t="shared" si="41"/>
        <v>1.01</v>
      </c>
      <c r="AM106" s="10">
        <f t="shared" si="42"/>
        <v>6614780000</v>
      </c>
      <c r="AN106" s="9"/>
      <c r="AO106" s="8"/>
      <c r="AP106" s="8"/>
      <c r="AQ106" s="8"/>
      <c r="AR106" s="8"/>
      <c r="AS106" s="7"/>
      <c r="AT106" s="6">
        <f t="shared" si="43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33"/>
        <v>1</v>
      </c>
      <c r="O107" s="25">
        <v>15</v>
      </c>
      <c r="P107" s="23">
        <v>15</v>
      </c>
      <c r="Q107" s="24"/>
      <c r="R107" s="24"/>
      <c r="S107" s="23"/>
      <c r="T107" s="20">
        <f t="shared" si="34"/>
        <v>15</v>
      </c>
      <c r="U107" s="19">
        <f t="shared" si="35"/>
        <v>15</v>
      </c>
      <c r="V107" s="22"/>
      <c r="W107" s="22"/>
      <c r="X107" s="22"/>
      <c r="Y107" s="22"/>
      <c r="Z107" s="21"/>
      <c r="AA107" s="20">
        <f t="shared" si="36"/>
        <v>0</v>
      </c>
      <c r="AB107" s="19">
        <f t="shared" si="37"/>
        <v>0</v>
      </c>
      <c r="AC107" s="16">
        <v>20</v>
      </c>
      <c r="AD107" s="18"/>
      <c r="AE107" s="17"/>
      <c r="AF107" s="23">
        <f t="shared" si="38"/>
        <v>15</v>
      </c>
      <c r="AG107" s="16">
        <v>45</v>
      </c>
      <c r="AH107" s="23">
        <f t="shared" si="39"/>
        <v>80</v>
      </c>
      <c r="AI107" s="14">
        <f t="shared" si="40"/>
        <v>0.93</v>
      </c>
      <c r="AJ107" s="13"/>
      <c r="AK107" s="12">
        <v>0.01</v>
      </c>
      <c r="AL107" s="11">
        <f t="shared" si="41"/>
        <v>1.01</v>
      </c>
      <c r="AM107" s="10">
        <f t="shared" si="42"/>
        <v>6614780000</v>
      </c>
      <c r="AN107" s="9"/>
      <c r="AO107" s="8"/>
      <c r="AP107" s="8"/>
      <c r="AQ107" s="8"/>
      <c r="AR107" s="8"/>
      <c r="AS107" s="7"/>
      <c r="AT107" s="6">
        <f t="shared" si="43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33"/>
        <v>1</v>
      </c>
      <c r="O108" s="25">
        <v>15</v>
      </c>
      <c r="P108" s="23">
        <v>15</v>
      </c>
      <c r="Q108" s="24"/>
      <c r="R108" s="24"/>
      <c r="S108" s="23"/>
      <c r="T108" s="20">
        <f t="shared" si="34"/>
        <v>15</v>
      </c>
      <c r="U108" s="19">
        <f t="shared" si="35"/>
        <v>15</v>
      </c>
      <c r="V108" s="22"/>
      <c r="W108" s="22"/>
      <c r="X108" s="22"/>
      <c r="Y108" s="22"/>
      <c r="Z108" s="21"/>
      <c r="AA108" s="20">
        <f t="shared" si="36"/>
        <v>0</v>
      </c>
      <c r="AB108" s="19">
        <f t="shared" si="37"/>
        <v>0</v>
      </c>
      <c r="AC108" s="16">
        <v>20</v>
      </c>
      <c r="AD108" s="18"/>
      <c r="AE108" s="17"/>
      <c r="AF108" s="23">
        <f t="shared" si="38"/>
        <v>15</v>
      </c>
      <c r="AG108" s="16">
        <v>45</v>
      </c>
      <c r="AH108" s="23">
        <f t="shared" si="39"/>
        <v>80</v>
      </c>
      <c r="AI108" s="14">
        <f t="shared" si="40"/>
        <v>0.93</v>
      </c>
      <c r="AJ108" s="13"/>
      <c r="AK108" s="12">
        <v>0.01</v>
      </c>
      <c r="AL108" s="11">
        <f t="shared" si="41"/>
        <v>1.01</v>
      </c>
      <c r="AM108" s="10">
        <f t="shared" si="42"/>
        <v>6614780000</v>
      </c>
      <c r="AN108" s="9"/>
      <c r="AO108" s="8"/>
      <c r="AP108" s="8"/>
      <c r="AQ108" s="8"/>
      <c r="AR108" s="8"/>
      <c r="AS108" s="7"/>
      <c r="AT108" s="6">
        <f t="shared" si="43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33"/>
        <v>1</v>
      </c>
      <c r="O109" s="25">
        <v>15</v>
      </c>
      <c r="P109" s="23">
        <v>15</v>
      </c>
      <c r="Q109" s="24"/>
      <c r="R109" s="24"/>
      <c r="S109" s="23"/>
      <c r="T109" s="20">
        <f t="shared" si="34"/>
        <v>15</v>
      </c>
      <c r="U109" s="19">
        <f t="shared" si="35"/>
        <v>15</v>
      </c>
      <c r="V109" s="22"/>
      <c r="W109" s="22"/>
      <c r="X109" s="22"/>
      <c r="Y109" s="22"/>
      <c r="Z109" s="21"/>
      <c r="AA109" s="20">
        <f t="shared" si="36"/>
        <v>0</v>
      </c>
      <c r="AB109" s="19">
        <f t="shared" si="37"/>
        <v>0</v>
      </c>
      <c r="AC109" s="16">
        <v>20</v>
      </c>
      <c r="AD109" s="18"/>
      <c r="AE109" s="17"/>
      <c r="AF109" s="23">
        <f t="shared" si="38"/>
        <v>15</v>
      </c>
      <c r="AG109" s="16">
        <v>45</v>
      </c>
      <c r="AH109" s="23">
        <f t="shared" si="39"/>
        <v>80</v>
      </c>
      <c r="AI109" s="14">
        <f t="shared" si="40"/>
        <v>0.93</v>
      </c>
      <c r="AJ109" s="13"/>
      <c r="AK109" s="12">
        <v>0.01</v>
      </c>
      <c r="AL109" s="11">
        <f t="shared" si="41"/>
        <v>1.01</v>
      </c>
      <c r="AM109" s="10">
        <f t="shared" si="42"/>
        <v>6614780000</v>
      </c>
      <c r="AN109" s="9"/>
      <c r="AO109" s="8"/>
      <c r="AP109" s="8"/>
      <c r="AQ109" s="8"/>
      <c r="AR109" s="8"/>
      <c r="AS109" s="7"/>
      <c r="AT109" s="6">
        <f t="shared" si="43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33"/>
        <v>1</v>
      </c>
      <c r="O110" s="25">
        <v>15</v>
      </c>
      <c r="P110" s="23">
        <v>15</v>
      </c>
      <c r="Q110" s="24"/>
      <c r="R110" s="24"/>
      <c r="S110" s="23"/>
      <c r="T110" s="20">
        <f t="shared" si="34"/>
        <v>15</v>
      </c>
      <c r="U110" s="19">
        <f t="shared" si="35"/>
        <v>15</v>
      </c>
      <c r="V110" s="22"/>
      <c r="W110" s="22"/>
      <c r="X110" s="22"/>
      <c r="Y110" s="22"/>
      <c r="Z110" s="21"/>
      <c r="AA110" s="20">
        <f t="shared" si="36"/>
        <v>0</v>
      </c>
      <c r="AB110" s="19">
        <f t="shared" si="37"/>
        <v>0</v>
      </c>
      <c r="AC110" s="16">
        <v>20</v>
      </c>
      <c r="AD110" s="18"/>
      <c r="AE110" s="17"/>
      <c r="AF110" s="23">
        <f t="shared" si="38"/>
        <v>15</v>
      </c>
      <c r="AG110" s="16">
        <v>45</v>
      </c>
      <c r="AH110" s="23">
        <f t="shared" si="39"/>
        <v>80</v>
      </c>
      <c r="AI110" s="14">
        <f t="shared" si="40"/>
        <v>0.93</v>
      </c>
      <c r="AJ110" s="13"/>
      <c r="AK110" s="12">
        <v>0.01</v>
      </c>
      <c r="AL110" s="11">
        <f t="shared" si="41"/>
        <v>1.01</v>
      </c>
      <c r="AM110" s="10">
        <f t="shared" si="42"/>
        <v>6614780000</v>
      </c>
      <c r="AN110" s="9"/>
      <c r="AO110" s="8"/>
      <c r="AP110" s="8"/>
      <c r="AQ110" s="8"/>
      <c r="AR110" s="8"/>
      <c r="AS110" s="7"/>
      <c r="AT110" s="6">
        <f t="shared" si="43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33"/>
        <v>1</v>
      </c>
      <c r="O111" s="25">
        <v>15</v>
      </c>
      <c r="P111" s="23">
        <v>15</v>
      </c>
      <c r="Q111" s="24"/>
      <c r="R111" s="24"/>
      <c r="S111" s="23"/>
      <c r="T111" s="20">
        <f t="shared" si="34"/>
        <v>15</v>
      </c>
      <c r="U111" s="19">
        <f t="shared" si="35"/>
        <v>15</v>
      </c>
      <c r="V111" s="22"/>
      <c r="W111" s="22"/>
      <c r="X111" s="22"/>
      <c r="Y111" s="22"/>
      <c r="Z111" s="21"/>
      <c r="AA111" s="20">
        <f t="shared" si="36"/>
        <v>0</v>
      </c>
      <c r="AB111" s="19">
        <f t="shared" si="37"/>
        <v>0</v>
      </c>
      <c r="AC111" s="16">
        <v>20</v>
      </c>
      <c r="AD111" s="18"/>
      <c r="AE111" s="17"/>
      <c r="AF111" s="23">
        <f t="shared" si="38"/>
        <v>15</v>
      </c>
      <c r="AG111" s="16">
        <v>45</v>
      </c>
      <c r="AH111" s="23">
        <f t="shared" si="39"/>
        <v>80</v>
      </c>
      <c r="AI111" s="14">
        <f t="shared" si="40"/>
        <v>0.93</v>
      </c>
      <c r="AJ111" s="13"/>
      <c r="AK111" s="12">
        <v>0.01</v>
      </c>
      <c r="AL111" s="11">
        <f t="shared" si="41"/>
        <v>1.01</v>
      </c>
      <c r="AM111" s="10">
        <f t="shared" si="42"/>
        <v>6614780000</v>
      </c>
      <c r="AN111" s="9"/>
      <c r="AO111" s="8"/>
      <c r="AP111" s="8"/>
      <c r="AQ111" s="8"/>
      <c r="AR111" s="8"/>
      <c r="AS111" s="7"/>
      <c r="AT111" s="6">
        <f t="shared" si="43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33"/>
        <v>1</v>
      </c>
      <c r="O112" s="25">
        <v>15</v>
      </c>
      <c r="P112" s="23">
        <v>15</v>
      </c>
      <c r="Q112" s="24"/>
      <c r="R112" s="24"/>
      <c r="S112" s="23"/>
      <c r="T112" s="20">
        <f t="shared" si="34"/>
        <v>15</v>
      </c>
      <c r="U112" s="19">
        <f t="shared" si="35"/>
        <v>15</v>
      </c>
      <c r="V112" s="22"/>
      <c r="W112" s="22"/>
      <c r="X112" s="22"/>
      <c r="Y112" s="22"/>
      <c r="Z112" s="21"/>
      <c r="AA112" s="20">
        <f t="shared" si="36"/>
        <v>0</v>
      </c>
      <c r="AB112" s="19">
        <f t="shared" si="37"/>
        <v>0</v>
      </c>
      <c r="AC112" s="16">
        <v>20</v>
      </c>
      <c r="AD112" s="18"/>
      <c r="AE112" s="17"/>
      <c r="AF112" s="23">
        <f t="shared" si="38"/>
        <v>15</v>
      </c>
      <c r="AG112" s="16">
        <v>45</v>
      </c>
      <c r="AH112" s="23">
        <f t="shared" si="39"/>
        <v>80</v>
      </c>
      <c r="AI112" s="14">
        <f t="shared" si="40"/>
        <v>0.93</v>
      </c>
      <c r="AJ112" s="13"/>
      <c r="AK112" s="12">
        <v>0.01</v>
      </c>
      <c r="AL112" s="11">
        <f t="shared" si="41"/>
        <v>1.01</v>
      </c>
      <c r="AM112" s="10">
        <f t="shared" si="42"/>
        <v>6614780000</v>
      </c>
      <c r="AN112" s="9"/>
      <c r="AO112" s="8"/>
      <c r="AP112" s="8"/>
      <c r="AQ112" s="8"/>
      <c r="AR112" s="8"/>
      <c r="AS112" s="7"/>
      <c r="AT112" s="6">
        <f t="shared" si="43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33"/>
        <v>1</v>
      </c>
      <c r="O113" s="25">
        <v>15</v>
      </c>
      <c r="P113" s="23">
        <v>15</v>
      </c>
      <c r="Q113" s="24"/>
      <c r="R113" s="24"/>
      <c r="S113" s="23"/>
      <c r="T113" s="20">
        <f t="shared" si="34"/>
        <v>15</v>
      </c>
      <c r="U113" s="19">
        <f t="shared" si="35"/>
        <v>15</v>
      </c>
      <c r="V113" s="22"/>
      <c r="W113" s="22"/>
      <c r="X113" s="22"/>
      <c r="Y113" s="22"/>
      <c r="Z113" s="21"/>
      <c r="AA113" s="20">
        <f t="shared" si="36"/>
        <v>0</v>
      </c>
      <c r="AB113" s="19">
        <f t="shared" si="37"/>
        <v>0</v>
      </c>
      <c r="AC113" s="16">
        <v>20</v>
      </c>
      <c r="AD113" s="18"/>
      <c r="AE113" s="17"/>
      <c r="AF113" s="23">
        <f t="shared" si="38"/>
        <v>15</v>
      </c>
      <c r="AG113" s="16">
        <v>45</v>
      </c>
      <c r="AH113" s="23">
        <f t="shared" si="39"/>
        <v>80</v>
      </c>
      <c r="AI113" s="14">
        <f t="shared" si="40"/>
        <v>0.93</v>
      </c>
      <c r="AJ113" s="13"/>
      <c r="AK113" s="12">
        <v>0.01</v>
      </c>
      <c r="AL113" s="11">
        <f t="shared" si="41"/>
        <v>1.01</v>
      </c>
      <c r="AM113" s="10">
        <f t="shared" si="42"/>
        <v>6614780000</v>
      </c>
      <c r="AN113" s="9"/>
      <c r="AO113" s="8"/>
      <c r="AP113" s="8"/>
      <c r="AQ113" s="8"/>
      <c r="AR113" s="8"/>
      <c r="AS113" s="7"/>
      <c r="AT113" s="6">
        <f t="shared" si="43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33"/>
        <v>1</v>
      </c>
      <c r="O114" s="25">
        <v>15</v>
      </c>
      <c r="P114" s="23">
        <v>15</v>
      </c>
      <c r="Q114" s="24"/>
      <c r="R114" s="24"/>
      <c r="S114" s="23"/>
      <c r="T114" s="20">
        <f t="shared" si="34"/>
        <v>15</v>
      </c>
      <c r="U114" s="19">
        <f t="shared" si="35"/>
        <v>15</v>
      </c>
      <c r="V114" s="22"/>
      <c r="W114" s="22"/>
      <c r="X114" s="22"/>
      <c r="Y114" s="22"/>
      <c r="Z114" s="21"/>
      <c r="AA114" s="20">
        <f t="shared" si="36"/>
        <v>0</v>
      </c>
      <c r="AB114" s="19">
        <f t="shared" si="37"/>
        <v>0</v>
      </c>
      <c r="AC114" s="16">
        <v>20</v>
      </c>
      <c r="AD114" s="18"/>
      <c r="AE114" s="17"/>
      <c r="AF114" s="23">
        <f t="shared" si="38"/>
        <v>15</v>
      </c>
      <c r="AG114" s="16">
        <v>45</v>
      </c>
      <c r="AH114" s="23">
        <f t="shared" si="39"/>
        <v>80</v>
      </c>
      <c r="AI114" s="14">
        <f t="shared" si="40"/>
        <v>0.93</v>
      </c>
      <c r="AJ114" s="13"/>
      <c r="AK114" s="12">
        <v>0.01</v>
      </c>
      <c r="AL114" s="11">
        <f t="shared" si="41"/>
        <v>1.01</v>
      </c>
      <c r="AM114" s="10">
        <f t="shared" si="42"/>
        <v>6614780000</v>
      </c>
      <c r="AN114" s="9"/>
      <c r="AO114" s="8"/>
      <c r="AP114" s="8"/>
      <c r="AQ114" s="8"/>
      <c r="AR114" s="8"/>
      <c r="AS114" s="7"/>
      <c r="AT114" s="6">
        <f t="shared" si="43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33"/>
        <v>1</v>
      </c>
      <c r="O115" s="25">
        <v>15</v>
      </c>
      <c r="P115" s="23">
        <v>15</v>
      </c>
      <c r="Q115" s="24"/>
      <c r="R115" s="24"/>
      <c r="S115" s="23"/>
      <c r="T115" s="20">
        <f t="shared" si="34"/>
        <v>15</v>
      </c>
      <c r="U115" s="19">
        <f t="shared" si="35"/>
        <v>15</v>
      </c>
      <c r="V115" s="22"/>
      <c r="W115" s="22"/>
      <c r="X115" s="22"/>
      <c r="Y115" s="22"/>
      <c r="Z115" s="21"/>
      <c r="AA115" s="20">
        <f t="shared" si="36"/>
        <v>0</v>
      </c>
      <c r="AB115" s="19">
        <f t="shared" si="37"/>
        <v>0</v>
      </c>
      <c r="AC115" s="16">
        <v>20</v>
      </c>
      <c r="AD115" s="18"/>
      <c r="AE115" s="17"/>
      <c r="AF115" s="23">
        <f t="shared" si="38"/>
        <v>15</v>
      </c>
      <c r="AG115" s="16">
        <v>45</v>
      </c>
      <c r="AH115" s="23">
        <f t="shared" si="39"/>
        <v>80</v>
      </c>
      <c r="AI115" s="14">
        <f t="shared" si="40"/>
        <v>0.93</v>
      </c>
      <c r="AJ115" s="13"/>
      <c r="AK115" s="12">
        <v>0.01</v>
      </c>
      <c r="AL115" s="11">
        <f t="shared" si="41"/>
        <v>1.01</v>
      </c>
      <c r="AM115" s="10">
        <f t="shared" si="42"/>
        <v>6614780000</v>
      </c>
      <c r="AN115" s="9"/>
      <c r="AO115" s="8"/>
      <c r="AP115" s="8"/>
      <c r="AQ115" s="8"/>
      <c r="AR115" s="8"/>
      <c r="AS115" s="7"/>
      <c r="AT115" s="6">
        <f t="shared" si="43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33"/>
        <v>1</v>
      </c>
      <c r="O116" s="25">
        <v>15</v>
      </c>
      <c r="P116" s="23">
        <v>15</v>
      </c>
      <c r="Q116" s="24"/>
      <c r="R116" s="24"/>
      <c r="S116" s="23"/>
      <c r="T116" s="20">
        <f t="shared" si="34"/>
        <v>15</v>
      </c>
      <c r="U116" s="19">
        <f t="shared" si="35"/>
        <v>15</v>
      </c>
      <c r="V116" s="22"/>
      <c r="W116" s="22"/>
      <c r="X116" s="22"/>
      <c r="Y116" s="22"/>
      <c r="Z116" s="21"/>
      <c r="AA116" s="20">
        <f t="shared" si="36"/>
        <v>0</v>
      </c>
      <c r="AB116" s="19">
        <f t="shared" si="37"/>
        <v>0</v>
      </c>
      <c r="AC116" s="16">
        <v>20</v>
      </c>
      <c r="AD116" s="18"/>
      <c r="AE116" s="17"/>
      <c r="AF116" s="23">
        <f t="shared" si="38"/>
        <v>15</v>
      </c>
      <c r="AG116" s="16">
        <v>45</v>
      </c>
      <c r="AH116" s="23">
        <f t="shared" si="39"/>
        <v>80</v>
      </c>
      <c r="AI116" s="14">
        <f t="shared" si="40"/>
        <v>0.93</v>
      </c>
      <c r="AJ116" s="13"/>
      <c r="AK116" s="12">
        <v>0.01</v>
      </c>
      <c r="AL116" s="11">
        <f t="shared" si="41"/>
        <v>1.01</v>
      </c>
      <c r="AM116" s="10">
        <f t="shared" si="42"/>
        <v>6614780000</v>
      </c>
      <c r="AN116" s="9"/>
      <c r="AO116" s="8"/>
      <c r="AP116" s="8"/>
      <c r="AQ116" s="8"/>
      <c r="AR116" s="8"/>
      <c r="AS116" s="7"/>
      <c r="AT116" s="6">
        <f t="shared" si="43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33"/>
        <v>1</v>
      </c>
      <c r="O117" s="25">
        <v>15</v>
      </c>
      <c r="P117" s="23">
        <v>15</v>
      </c>
      <c r="Q117" s="24"/>
      <c r="R117" s="24"/>
      <c r="S117" s="23"/>
      <c r="T117" s="20">
        <f t="shared" si="34"/>
        <v>15</v>
      </c>
      <c r="U117" s="19">
        <f t="shared" si="35"/>
        <v>15</v>
      </c>
      <c r="V117" s="22"/>
      <c r="W117" s="22"/>
      <c r="X117" s="22"/>
      <c r="Y117" s="22"/>
      <c r="Z117" s="21"/>
      <c r="AA117" s="20">
        <f t="shared" si="36"/>
        <v>0</v>
      </c>
      <c r="AB117" s="19">
        <f t="shared" si="37"/>
        <v>0</v>
      </c>
      <c r="AC117" s="16">
        <v>20</v>
      </c>
      <c r="AD117" s="18"/>
      <c r="AE117" s="17"/>
      <c r="AF117" s="23">
        <f t="shared" si="38"/>
        <v>15</v>
      </c>
      <c r="AG117" s="16">
        <v>45</v>
      </c>
      <c r="AH117" s="23">
        <f t="shared" si="39"/>
        <v>80</v>
      </c>
      <c r="AI117" s="14">
        <f t="shared" si="40"/>
        <v>0.93</v>
      </c>
      <c r="AJ117" s="13"/>
      <c r="AK117" s="12">
        <v>0.01</v>
      </c>
      <c r="AL117" s="11">
        <f t="shared" si="41"/>
        <v>1.01</v>
      </c>
      <c r="AM117" s="10">
        <f t="shared" si="42"/>
        <v>6614780000</v>
      </c>
      <c r="AN117" s="9"/>
      <c r="AO117" s="8"/>
      <c r="AP117" s="8"/>
      <c r="AQ117" s="8"/>
      <c r="AR117" s="8"/>
      <c r="AS117" s="7"/>
      <c r="AT117" s="6">
        <f t="shared" si="43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33"/>
        <v>1</v>
      </c>
      <c r="O118" s="25">
        <v>15</v>
      </c>
      <c r="P118" s="23">
        <v>15</v>
      </c>
      <c r="Q118" s="24"/>
      <c r="R118" s="24"/>
      <c r="S118" s="23"/>
      <c r="T118" s="20">
        <f t="shared" si="34"/>
        <v>15</v>
      </c>
      <c r="U118" s="19">
        <f t="shared" si="35"/>
        <v>15</v>
      </c>
      <c r="V118" s="22"/>
      <c r="W118" s="22"/>
      <c r="X118" s="22"/>
      <c r="Y118" s="22"/>
      <c r="Z118" s="21"/>
      <c r="AA118" s="20">
        <f t="shared" si="36"/>
        <v>0</v>
      </c>
      <c r="AB118" s="19">
        <f t="shared" si="37"/>
        <v>0</v>
      </c>
      <c r="AC118" s="16">
        <v>20</v>
      </c>
      <c r="AD118" s="18"/>
      <c r="AE118" s="17"/>
      <c r="AF118" s="23">
        <f t="shared" si="38"/>
        <v>15</v>
      </c>
      <c r="AG118" s="16">
        <v>45</v>
      </c>
      <c r="AH118" s="23">
        <f t="shared" si="39"/>
        <v>80</v>
      </c>
      <c r="AI118" s="14">
        <f t="shared" si="40"/>
        <v>0.93</v>
      </c>
      <c r="AJ118" s="13"/>
      <c r="AK118" s="12">
        <v>0.01</v>
      </c>
      <c r="AL118" s="11">
        <f t="shared" si="41"/>
        <v>1.01</v>
      </c>
      <c r="AM118" s="10">
        <f t="shared" si="42"/>
        <v>6614780000</v>
      </c>
      <c r="AN118" s="9"/>
      <c r="AO118" s="8"/>
      <c r="AP118" s="8"/>
      <c r="AQ118" s="8"/>
      <c r="AR118" s="8"/>
      <c r="AS118" s="7"/>
      <c r="AT118" s="6">
        <f t="shared" si="43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33"/>
        <v>1</v>
      </c>
      <c r="O119" s="25">
        <v>15</v>
      </c>
      <c r="P119" s="23">
        <v>15</v>
      </c>
      <c r="Q119" s="24"/>
      <c r="R119" s="24"/>
      <c r="S119" s="23"/>
      <c r="T119" s="20">
        <f t="shared" si="34"/>
        <v>15</v>
      </c>
      <c r="U119" s="19">
        <f t="shared" si="35"/>
        <v>15</v>
      </c>
      <c r="V119" s="22"/>
      <c r="W119" s="22"/>
      <c r="X119" s="22"/>
      <c r="Y119" s="22"/>
      <c r="Z119" s="21"/>
      <c r="AA119" s="20">
        <f t="shared" si="36"/>
        <v>0</v>
      </c>
      <c r="AB119" s="19">
        <f t="shared" si="37"/>
        <v>0</v>
      </c>
      <c r="AC119" s="16">
        <v>20</v>
      </c>
      <c r="AD119" s="18"/>
      <c r="AE119" s="17"/>
      <c r="AF119" s="23">
        <f t="shared" si="38"/>
        <v>15</v>
      </c>
      <c r="AG119" s="16">
        <v>45</v>
      </c>
      <c r="AH119" s="23">
        <f t="shared" si="39"/>
        <v>80</v>
      </c>
      <c r="AI119" s="14">
        <f t="shared" si="40"/>
        <v>0.93</v>
      </c>
      <c r="AJ119" s="13"/>
      <c r="AK119" s="12">
        <v>0.01</v>
      </c>
      <c r="AL119" s="11">
        <f t="shared" si="41"/>
        <v>1.01</v>
      </c>
      <c r="AM119" s="10">
        <f t="shared" si="42"/>
        <v>6614780000</v>
      </c>
      <c r="AN119" s="9"/>
      <c r="AO119" s="8"/>
      <c r="AP119" s="8"/>
      <c r="AQ119" s="8"/>
      <c r="AR119" s="8"/>
      <c r="AS119" s="7"/>
      <c r="AT119" s="6">
        <f t="shared" si="43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33"/>
        <v>1</v>
      </c>
      <c r="O120" s="25">
        <v>15</v>
      </c>
      <c r="P120" s="23">
        <v>15</v>
      </c>
      <c r="Q120" s="24"/>
      <c r="R120" s="24"/>
      <c r="S120" s="23"/>
      <c r="T120" s="20">
        <f t="shared" si="34"/>
        <v>15</v>
      </c>
      <c r="U120" s="19">
        <f t="shared" si="35"/>
        <v>15</v>
      </c>
      <c r="V120" s="22"/>
      <c r="W120" s="22"/>
      <c r="X120" s="22"/>
      <c r="Y120" s="22"/>
      <c r="Z120" s="21"/>
      <c r="AA120" s="20">
        <f t="shared" si="36"/>
        <v>0</v>
      </c>
      <c r="AB120" s="19">
        <f t="shared" si="37"/>
        <v>0</v>
      </c>
      <c r="AC120" s="16">
        <v>20</v>
      </c>
      <c r="AD120" s="18"/>
      <c r="AE120" s="17"/>
      <c r="AF120" s="23">
        <f t="shared" si="38"/>
        <v>15</v>
      </c>
      <c r="AG120" s="16">
        <v>45</v>
      </c>
      <c r="AH120" s="23">
        <f t="shared" si="39"/>
        <v>80</v>
      </c>
      <c r="AI120" s="14">
        <f t="shared" si="40"/>
        <v>0.93</v>
      </c>
      <c r="AJ120" s="13"/>
      <c r="AK120" s="12">
        <v>0.01</v>
      </c>
      <c r="AL120" s="11">
        <f t="shared" si="41"/>
        <v>1.01</v>
      </c>
      <c r="AM120" s="10">
        <f t="shared" si="42"/>
        <v>6614780000</v>
      </c>
      <c r="AN120" s="9"/>
      <c r="AO120" s="8"/>
      <c r="AP120" s="8"/>
      <c r="AQ120" s="8"/>
      <c r="AR120" s="8"/>
      <c r="AS120" s="7"/>
      <c r="AT120" s="6">
        <f t="shared" si="43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33"/>
        <v>1</v>
      </c>
      <c r="O121" s="25">
        <v>15</v>
      </c>
      <c r="P121" s="23">
        <v>15</v>
      </c>
      <c r="Q121" s="24"/>
      <c r="R121" s="24"/>
      <c r="S121" s="23"/>
      <c r="T121" s="20">
        <f t="shared" si="34"/>
        <v>15</v>
      </c>
      <c r="U121" s="19">
        <f t="shared" si="35"/>
        <v>15</v>
      </c>
      <c r="V121" s="22"/>
      <c r="W121" s="22"/>
      <c r="X121" s="22"/>
      <c r="Y121" s="22"/>
      <c r="Z121" s="21"/>
      <c r="AA121" s="20">
        <f t="shared" si="36"/>
        <v>0</v>
      </c>
      <c r="AB121" s="19">
        <f t="shared" si="37"/>
        <v>0</v>
      </c>
      <c r="AC121" s="16">
        <v>20</v>
      </c>
      <c r="AD121" s="18"/>
      <c r="AE121" s="17"/>
      <c r="AF121" s="23">
        <f t="shared" si="38"/>
        <v>15</v>
      </c>
      <c r="AG121" s="16">
        <v>45</v>
      </c>
      <c r="AH121" s="23">
        <f t="shared" si="39"/>
        <v>80</v>
      </c>
      <c r="AI121" s="14">
        <f t="shared" si="40"/>
        <v>0.93</v>
      </c>
      <c r="AJ121" s="13"/>
      <c r="AK121" s="12">
        <v>0.01</v>
      </c>
      <c r="AL121" s="11">
        <f t="shared" si="41"/>
        <v>1.01</v>
      </c>
      <c r="AM121" s="10">
        <f t="shared" si="42"/>
        <v>6614780000</v>
      </c>
      <c r="AN121" s="9"/>
      <c r="AO121" s="8"/>
      <c r="AP121" s="8"/>
      <c r="AQ121" s="8"/>
      <c r="AR121" s="8"/>
      <c r="AS121" s="7"/>
      <c r="AT121" s="6">
        <f t="shared" si="43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33"/>
        <v>1</v>
      </c>
      <c r="O122" s="25">
        <v>15</v>
      </c>
      <c r="P122" s="23">
        <v>15</v>
      </c>
      <c r="Q122" s="24"/>
      <c r="R122" s="24"/>
      <c r="S122" s="23"/>
      <c r="T122" s="20">
        <f t="shared" si="34"/>
        <v>15</v>
      </c>
      <c r="U122" s="19">
        <f t="shared" si="35"/>
        <v>15</v>
      </c>
      <c r="V122" s="22"/>
      <c r="W122" s="22"/>
      <c r="X122" s="22"/>
      <c r="Y122" s="22"/>
      <c r="Z122" s="21"/>
      <c r="AA122" s="20">
        <f t="shared" si="36"/>
        <v>0</v>
      </c>
      <c r="AB122" s="19">
        <f t="shared" si="37"/>
        <v>0</v>
      </c>
      <c r="AC122" s="16">
        <v>20</v>
      </c>
      <c r="AD122" s="18"/>
      <c r="AE122" s="17"/>
      <c r="AF122" s="23">
        <f t="shared" si="38"/>
        <v>15</v>
      </c>
      <c r="AG122" s="16">
        <v>45</v>
      </c>
      <c r="AH122" s="23">
        <f t="shared" si="39"/>
        <v>80</v>
      </c>
      <c r="AI122" s="14">
        <f t="shared" si="40"/>
        <v>0.93</v>
      </c>
      <c r="AJ122" s="13"/>
      <c r="AK122" s="12">
        <v>0.01</v>
      </c>
      <c r="AL122" s="11">
        <f t="shared" si="41"/>
        <v>1.01</v>
      </c>
      <c r="AM122" s="10">
        <f t="shared" si="42"/>
        <v>6614780000</v>
      </c>
      <c r="AN122" s="9"/>
      <c r="AO122" s="8"/>
      <c r="AP122" s="8"/>
      <c r="AQ122" s="8"/>
      <c r="AR122" s="8"/>
      <c r="AS122" s="7"/>
      <c r="AT122" s="6">
        <f t="shared" si="43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33"/>
        <v>1</v>
      </c>
      <c r="O123" s="25">
        <v>15</v>
      </c>
      <c r="P123" s="23">
        <v>15</v>
      </c>
      <c r="Q123" s="24"/>
      <c r="R123" s="24"/>
      <c r="S123" s="23"/>
      <c r="T123" s="20">
        <f t="shared" si="34"/>
        <v>15</v>
      </c>
      <c r="U123" s="19">
        <f t="shared" si="35"/>
        <v>15</v>
      </c>
      <c r="V123" s="22"/>
      <c r="W123" s="22"/>
      <c r="X123" s="22"/>
      <c r="Y123" s="22"/>
      <c r="Z123" s="21"/>
      <c r="AA123" s="20">
        <f t="shared" si="36"/>
        <v>0</v>
      </c>
      <c r="AB123" s="19">
        <f t="shared" si="37"/>
        <v>0</v>
      </c>
      <c r="AC123" s="16">
        <v>20</v>
      </c>
      <c r="AD123" s="18"/>
      <c r="AE123" s="17"/>
      <c r="AF123" s="23">
        <f t="shared" si="38"/>
        <v>15</v>
      </c>
      <c r="AG123" s="16">
        <v>45</v>
      </c>
      <c r="AH123" s="23">
        <f t="shared" si="39"/>
        <v>80</v>
      </c>
      <c r="AI123" s="14">
        <f t="shared" si="40"/>
        <v>0.93</v>
      </c>
      <c r="AJ123" s="13"/>
      <c r="AK123" s="12">
        <v>0.01</v>
      </c>
      <c r="AL123" s="11">
        <f t="shared" si="41"/>
        <v>1.01</v>
      </c>
      <c r="AM123" s="10">
        <f t="shared" si="42"/>
        <v>6614780000</v>
      </c>
      <c r="AN123" s="9"/>
      <c r="AO123" s="8"/>
      <c r="AP123" s="8"/>
      <c r="AQ123" s="8"/>
      <c r="AR123" s="8"/>
      <c r="AS123" s="7"/>
      <c r="AT123" s="6">
        <f t="shared" si="43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33"/>
        <v>1</v>
      </c>
      <c r="O124" s="25">
        <v>15</v>
      </c>
      <c r="P124" s="23">
        <v>15</v>
      </c>
      <c r="Q124" s="24"/>
      <c r="R124" s="24"/>
      <c r="S124" s="23"/>
      <c r="T124" s="20">
        <f t="shared" si="34"/>
        <v>15</v>
      </c>
      <c r="U124" s="19">
        <f t="shared" si="35"/>
        <v>15</v>
      </c>
      <c r="V124" s="22"/>
      <c r="W124" s="22"/>
      <c r="X124" s="22"/>
      <c r="Y124" s="22"/>
      <c r="Z124" s="21"/>
      <c r="AA124" s="20">
        <f t="shared" si="36"/>
        <v>0</v>
      </c>
      <c r="AB124" s="19">
        <f t="shared" si="37"/>
        <v>0</v>
      </c>
      <c r="AC124" s="16">
        <v>20</v>
      </c>
      <c r="AD124" s="18"/>
      <c r="AE124" s="17"/>
      <c r="AF124" s="23">
        <f t="shared" si="38"/>
        <v>15</v>
      </c>
      <c r="AG124" s="16">
        <v>45</v>
      </c>
      <c r="AH124" s="23">
        <f t="shared" si="39"/>
        <v>80</v>
      </c>
      <c r="AI124" s="14">
        <f t="shared" si="40"/>
        <v>0.93</v>
      </c>
      <c r="AJ124" s="13"/>
      <c r="AK124" s="12">
        <v>0.01</v>
      </c>
      <c r="AL124" s="11">
        <f t="shared" si="41"/>
        <v>1.01</v>
      </c>
      <c r="AM124" s="10">
        <f t="shared" si="42"/>
        <v>6614780000</v>
      </c>
      <c r="AN124" s="9"/>
      <c r="AO124" s="8"/>
      <c r="AP124" s="8"/>
      <c r="AQ124" s="8"/>
      <c r="AR124" s="8"/>
      <c r="AS124" s="7"/>
      <c r="AT124" s="6">
        <f t="shared" si="43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33"/>
        <v>1</v>
      </c>
      <c r="O125" s="25">
        <v>15</v>
      </c>
      <c r="P125" s="23">
        <v>15</v>
      </c>
      <c r="Q125" s="24"/>
      <c r="R125" s="24"/>
      <c r="S125" s="23"/>
      <c r="T125" s="20">
        <f t="shared" si="34"/>
        <v>15</v>
      </c>
      <c r="U125" s="19">
        <f t="shared" si="35"/>
        <v>15</v>
      </c>
      <c r="V125" s="22"/>
      <c r="W125" s="22"/>
      <c r="X125" s="22"/>
      <c r="Y125" s="22"/>
      <c r="Z125" s="21"/>
      <c r="AA125" s="20">
        <f t="shared" si="36"/>
        <v>0</v>
      </c>
      <c r="AB125" s="19">
        <f t="shared" si="37"/>
        <v>0</v>
      </c>
      <c r="AC125" s="16">
        <v>20</v>
      </c>
      <c r="AD125" s="18"/>
      <c r="AE125" s="17"/>
      <c r="AF125" s="23">
        <f t="shared" si="38"/>
        <v>15</v>
      </c>
      <c r="AG125" s="16">
        <v>45</v>
      </c>
      <c r="AH125" s="23">
        <f t="shared" si="39"/>
        <v>80</v>
      </c>
      <c r="AI125" s="14">
        <f t="shared" si="40"/>
        <v>0.93</v>
      </c>
      <c r="AJ125" s="13"/>
      <c r="AK125" s="12">
        <v>0.01</v>
      </c>
      <c r="AL125" s="11">
        <f t="shared" si="41"/>
        <v>1.01</v>
      </c>
      <c r="AM125" s="10">
        <f t="shared" si="42"/>
        <v>6614780000</v>
      </c>
      <c r="AN125" s="9"/>
      <c r="AO125" s="8"/>
      <c r="AP125" s="8"/>
      <c r="AQ125" s="8"/>
      <c r="AR125" s="8"/>
      <c r="AS125" s="7"/>
      <c r="AT125" s="6">
        <f t="shared" si="43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33"/>
        <v>1</v>
      </c>
      <c r="O126" s="25">
        <v>15</v>
      </c>
      <c r="P126" s="23">
        <v>15</v>
      </c>
      <c r="Q126" s="24"/>
      <c r="R126" s="24"/>
      <c r="S126" s="23"/>
      <c r="T126" s="20">
        <f t="shared" si="34"/>
        <v>15</v>
      </c>
      <c r="U126" s="19">
        <f t="shared" si="35"/>
        <v>15</v>
      </c>
      <c r="V126" s="22"/>
      <c r="W126" s="22"/>
      <c r="X126" s="22"/>
      <c r="Y126" s="22"/>
      <c r="Z126" s="21"/>
      <c r="AA126" s="20">
        <f t="shared" si="36"/>
        <v>0</v>
      </c>
      <c r="AB126" s="19">
        <f t="shared" si="37"/>
        <v>0</v>
      </c>
      <c r="AC126" s="16">
        <v>20</v>
      </c>
      <c r="AD126" s="18"/>
      <c r="AE126" s="17"/>
      <c r="AF126" s="23">
        <f t="shared" si="38"/>
        <v>15</v>
      </c>
      <c r="AG126" s="16">
        <v>45</v>
      </c>
      <c r="AH126" s="23">
        <f t="shared" si="39"/>
        <v>80</v>
      </c>
      <c r="AI126" s="14">
        <f t="shared" si="40"/>
        <v>0.93</v>
      </c>
      <c r="AJ126" s="13"/>
      <c r="AK126" s="12">
        <v>0.01</v>
      </c>
      <c r="AL126" s="11">
        <f t="shared" si="41"/>
        <v>1.01</v>
      </c>
      <c r="AM126" s="10">
        <f t="shared" si="42"/>
        <v>6614780000</v>
      </c>
      <c r="AN126" s="9"/>
      <c r="AO126" s="8"/>
      <c r="AP126" s="8"/>
      <c r="AQ126" s="8"/>
      <c r="AR126" s="8"/>
      <c r="AS126" s="7"/>
      <c r="AT126" s="6">
        <f t="shared" si="43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33"/>
        <v>1</v>
      </c>
      <c r="O127" s="25">
        <v>15</v>
      </c>
      <c r="P127" s="23">
        <v>15</v>
      </c>
      <c r="Q127" s="24"/>
      <c r="R127" s="24"/>
      <c r="S127" s="23"/>
      <c r="T127" s="20">
        <f t="shared" si="34"/>
        <v>15</v>
      </c>
      <c r="U127" s="19">
        <f t="shared" si="35"/>
        <v>15</v>
      </c>
      <c r="V127" s="22"/>
      <c r="W127" s="22"/>
      <c r="X127" s="22"/>
      <c r="Y127" s="22"/>
      <c r="Z127" s="21"/>
      <c r="AA127" s="20">
        <f t="shared" si="36"/>
        <v>0</v>
      </c>
      <c r="AB127" s="19">
        <f t="shared" si="37"/>
        <v>0</v>
      </c>
      <c r="AC127" s="16">
        <v>20</v>
      </c>
      <c r="AD127" s="18"/>
      <c r="AE127" s="17"/>
      <c r="AF127" s="23">
        <f t="shared" si="38"/>
        <v>15</v>
      </c>
      <c r="AG127" s="16">
        <v>45</v>
      </c>
      <c r="AH127" s="23">
        <f t="shared" si="39"/>
        <v>80</v>
      </c>
      <c r="AI127" s="14">
        <f t="shared" si="40"/>
        <v>0.93</v>
      </c>
      <c r="AJ127" s="13"/>
      <c r="AK127" s="12">
        <v>0.01</v>
      </c>
      <c r="AL127" s="11">
        <f t="shared" si="41"/>
        <v>1.01</v>
      </c>
      <c r="AM127" s="10">
        <f t="shared" si="42"/>
        <v>6614780000</v>
      </c>
      <c r="AN127" s="9"/>
      <c r="AO127" s="8"/>
      <c r="AP127" s="8"/>
      <c r="AQ127" s="8"/>
      <c r="AR127" s="8"/>
      <c r="AS127" s="7"/>
      <c r="AT127" s="6">
        <f t="shared" si="43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33"/>
        <v>1</v>
      </c>
      <c r="O128" s="25">
        <v>15</v>
      </c>
      <c r="P128" s="23">
        <v>15</v>
      </c>
      <c r="Q128" s="24"/>
      <c r="R128" s="24"/>
      <c r="S128" s="23"/>
      <c r="T128" s="20">
        <f t="shared" si="34"/>
        <v>15</v>
      </c>
      <c r="U128" s="19">
        <f t="shared" si="35"/>
        <v>15</v>
      </c>
      <c r="V128" s="22"/>
      <c r="W128" s="22"/>
      <c r="X128" s="22"/>
      <c r="Y128" s="22"/>
      <c r="Z128" s="21"/>
      <c r="AA128" s="20">
        <f t="shared" si="36"/>
        <v>0</v>
      </c>
      <c r="AB128" s="19">
        <f t="shared" si="37"/>
        <v>0</v>
      </c>
      <c r="AC128" s="16">
        <v>20</v>
      </c>
      <c r="AD128" s="18"/>
      <c r="AE128" s="17"/>
      <c r="AF128" s="23">
        <f t="shared" si="38"/>
        <v>15</v>
      </c>
      <c r="AG128" s="16">
        <v>45</v>
      </c>
      <c r="AH128" s="23">
        <f t="shared" si="39"/>
        <v>80</v>
      </c>
      <c r="AI128" s="14">
        <f t="shared" si="40"/>
        <v>0.93</v>
      </c>
      <c r="AJ128" s="13"/>
      <c r="AK128" s="12">
        <v>0.01</v>
      </c>
      <c r="AL128" s="11">
        <f t="shared" si="41"/>
        <v>1.01</v>
      </c>
      <c r="AM128" s="10">
        <f t="shared" si="42"/>
        <v>6614780000</v>
      </c>
      <c r="AN128" s="9"/>
      <c r="AO128" s="8"/>
      <c r="AP128" s="8"/>
      <c r="AQ128" s="8"/>
      <c r="AR128" s="8"/>
      <c r="AS128" s="7"/>
      <c r="AT128" s="6">
        <f t="shared" si="43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33"/>
        <v>1</v>
      </c>
      <c r="O129" s="25">
        <v>15</v>
      </c>
      <c r="P129" s="23">
        <v>15</v>
      </c>
      <c r="Q129" s="24"/>
      <c r="R129" s="24"/>
      <c r="S129" s="23"/>
      <c r="T129" s="20">
        <f t="shared" si="34"/>
        <v>15</v>
      </c>
      <c r="U129" s="19">
        <f t="shared" si="35"/>
        <v>15</v>
      </c>
      <c r="V129" s="22"/>
      <c r="W129" s="22"/>
      <c r="X129" s="22"/>
      <c r="Y129" s="22"/>
      <c r="Z129" s="21"/>
      <c r="AA129" s="20">
        <f t="shared" si="36"/>
        <v>0</v>
      </c>
      <c r="AB129" s="19">
        <f t="shared" si="37"/>
        <v>0</v>
      </c>
      <c r="AC129" s="16">
        <v>20</v>
      </c>
      <c r="AD129" s="18"/>
      <c r="AE129" s="17"/>
      <c r="AF129" s="23">
        <f t="shared" si="38"/>
        <v>15</v>
      </c>
      <c r="AG129" s="16">
        <v>45</v>
      </c>
      <c r="AH129" s="23">
        <f t="shared" si="39"/>
        <v>80</v>
      </c>
      <c r="AI129" s="14">
        <f t="shared" si="40"/>
        <v>0.93</v>
      </c>
      <c r="AJ129" s="13"/>
      <c r="AK129" s="12">
        <v>0.01</v>
      </c>
      <c r="AL129" s="11">
        <f t="shared" si="41"/>
        <v>1.01</v>
      </c>
      <c r="AM129" s="10">
        <f t="shared" si="42"/>
        <v>6614780000</v>
      </c>
      <c r="AN129" s="9"/>
      <c r="AO129" s="8"/>
      <c r="AP129" s="8"/>
      <c r="AQ129" s="8"/>
      <c r="AR129" s="8"/>
      <c r="AS129" s="7"/>
      <c r="AT129" s="6">
        <f t="shared" si="43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33"/>
        <v>1</v>
      </c>
      <c r="O130" s="25">
        <v>15</v>
      </c>
      <c r="P130" s="23">
        <v>15</v>
      </c>
      <c r="Q130" s="24"/>
      <c r="R130" s="24"/>
      <c r="S130" s="23"/>
      <c r="T130" s="20">
        <f t="shared" si="34"/>
        <v>15</v>
      </c>
      <c r="U130" s="19">
        <f t="shared" si="35"/>
        <v>15</v>
      </c>
      <c r="V130" s="22"/>
      <c r="W130" s="22"/>
      <c r="X130" s="22"/>
      <c r="Y130" s="22"/>
      <c r="Z130" s="21"/>
      <c r="AA130" s="20">
        <f t="shared" si="36"/>
        <v>0</v>
      </c>
      <c r="AB130" s="19">
        <f t="shared" si="37"/>
        <v>0</v>
      </c>
      <c r="AC130" s="16">
        <v>20</v>
      </c>
      <c r="AD130" s="18"/>
      <c r="AE130" s="17"/>
      <c r="AF130" s="23">
        <f t="shared" si="38"/>
        <v>15</v>
      </c>
      <c r="AG130" s="16">
        <v>45</v>
      </c>
      <c r="AH130" s="23">
        <f t="shared" si="39"/>
        <v>80</v>
      </c>
      <c r="AI130" s="14">
        <f t="shared" si="40"/>
        <v>0.93</v>
      </c>
      <c r="AJ130" s="13"/>
      <c r="AK130" s="12">
        <v>0.01</v>
      </c>
      <c r="AL130" s="11">
        <f t="shared" si="41"/>
        <v>1.01</v>
      </c>
      <c r="AM130" s="10">
        <f t="shared" si="42"/>
        <v>6614780000</v>
      </c>
      <c r="AN130" s="9"/>
      <c r="AO130" s="8"/>
      <c r="AP130" s="8"/>
      <c r="AQ130" s="8"/>
      <c r="AR130" s="8"/>
      <c r="AS130" s="7"/>
      <c r="AT130" s="6">
        <f t="shared" si="43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33"/>
        <v>1</v>
      </c>
      <c r="O131" s="25">
        <v>15</v>
      </c>
      <c r="P131" s="23">
        <v>15</v>
      </c>
      <c r="Q131" s="24"/>
      <c r="R131" s="24"/>
      <c r="S131" s="23"/>
      <c r="T131" s="20">
        <f t="shared" si="34"/>
        <v>15</v>
      </c>
      <c r="U131" s="19">
        <f t="shared" si="35"/>
        <v>15</v>
      </c>
      <c r="V131" s="22"/>
      <c r="W131" s="22"/>
      <c r="X131" s="22"/>
      <c r="Y131" s="22"/>
      <c r="Z131" s="21"/>
      <c r="AA131" s="20">
        <f t="shared" si="36"/>
        <v>0</v>
      </c>
      <c r="AB131" s="19">
        <f t="shared" si="37"/>
        <v>0</v>
      </c>
      <c r="AC131" s="16">
        <v>20</v>
      </c>
      <c r="AD131" s="18"/>
      <c r="AE131" s="17"/>
      <c r="AF131" s="23">
        <f t="shared" si="38"/>
        <v>15</v>
      </c>
      <c r="AG131" s="16">
        <v>45</v>
      </c>
      <c r="AH131" s="23">
        <f t="shared" si="39"/>
        <v>80</v>
      </c>
      <c r="AI131" s="14">
        <f t="shared" si="40"/>
        <v>0.93</v>
      </c>
      <c r="AJ131" s="13"/>
      <c r="AK131" s="12">
        <v>0.01</v>
      </c>
      <c r="AL131" s="11">
        <f t="shared" si="41"/>
        <v>1.01</v>
      </c>
      <c r="AM131" s="10">
        <f t="shared" si="42"/>
        <v>6614780000</v>
      </c>
      <c r="AN131" s="9"/>
      <c r="AO131" s="8"/>
      <c r="AP131" s="8"/>
      <c r="AQ131" s="8"/>
      <c r="AR131" s="8"/>
      <c r="AS131" s="7"/>
      <c r="AT131" s="6">
        <f t="shared" si="43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33"/>
        <v>1</v>
      </c>
      <c r="O132" s="25">
        <v>15</v>
      </c>
      <c r="P132" s="23">
        <v>15</v>
      </c>
      <c r="Q132" s="24"/>
      <c r="R132" s="24"/>
      <c r="S132" s="23"/>
      <c r="T132" s="20">
        <f t="shared" si="34"/>
        <v>15</v>
      </c>
      <c r="U132" s="19">
        <f t="shared" si="35"/>
        <v>15</v>
      </c>
      <c r="V132" s="22"/>
      <c r="W132" s="22"/>
      <c r="X132" s="22"/>
      <c r="Y132" s="22"/>
      <c r="Z132" s="21"/>
      <c r="AA132" s="20">
        <f t="shared" si="36"/>
        <v>0</v>
      </c>
      <c r="AB132" s="19">
        <f t="shared" si="37"/>
        <v>0</v>
      </c>
      <c r="AC132" s="16">
        <v>20</v>
      </c>
      <c r="AD132" s="18"/>
      <c r="AE132" s="17"/>
      <c r="AF132" s="23">
        <f t="shared" si="38"/>
        <v>15</v>
      </c>
      <c r="AG132" s="16">
        <v>45</v>
      </c>
      <c r="AH132" s="23">
        <f t="shared" si="39"/>
        <v>80</v>
      </c>
      <c r="AI132" s="14">
        <f t="shared" si="40"/>
        <v>0.93</v>
      </c>
      <c r="AJ132" s="13"/>
      <c r="AK132" s="12">
        <v>0.01</v>
      </c>
      <c r="AL132" s="11">
        <f t="shared" si="41"/>
        <v>1.01</v>
      </c>
      <c r="AM132" s="10">
        <f t="shared" si="42"/>
        <v>6614780000</v>
      </c>
      <c r="AN132" s="9"/>
      <c r="AO132" s="8"/>
      <c r="AP132" s="8"/>
      <c r="AQ132" s="8"/>
      <c r="AR132" s="8"/>
      <c r="AS132" s="7"/>
      <c r="AT132" s="6">
        <f t="shared" si="43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44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45">ROUND(((O133*I133)+(P133*J133)+(Q133*K133)+(R133*L133)+(S133*M133)),2)</f>
        <v>15</v>
      </c>
      <c r="U133" s="19">
        <f t="shared" ref="U133:U140" si="46">IF(T133&gt;=15,15,T133)</f>
        <v>15</v>
      </c>
      <c r="V133" s="22"/>
      <c r="W133" s="22"/>
      <c r="X133" s="22"/>
      <c r="Y133" s="22"/>
      <c r="Z133" s="21"/>
      <c r="AA133" s="20">
        <f t="shared" ref="AA133:AA140" si="47">ROUND((((V133*I133)+(W133*J133)+(X133*K133)+(Y133*L133)+(Z133*M133))/$I$2*15),2)</f>
        <v>0</v>
      </c>
      <c r="AB133" s="19">
        <f t="shared" ref="AB133:AB140" si="48">IF(AA133&gt;=15,15,AA133)</f>
        <v>0</v>
      </c>
      <c r="AC133" s="16">
        <v>20</v>
      </c>
      <c r="AD133" s="18"/>
      <c r="AE133" s="17"/>
      <c r="AF133" s="23">
        <f t="shared" ref="AF133:AF140" si="49">IF((U133+AB133+AD133)&gt;=30,30,(U133+AB133+AD133))</f>
        <v>15</v>
      </c>
      <c r="AG133" s="16">
        <v>45</v>
      </c>
      <c r="AH133" s="23">
        <f t="shared" ref="AH133:AH140" si="50">AC133+AF133+AG133+AE133</f>
        <v>80</v>
      </c>
      <c r="AI133" s="14">
        <f t="shared" ref="AI133:AI140" si="51">-((50-((176+(45+(30-AF133)))))/200)</f>
        <v>0.93</v>
      </c>
      <c r="AJ133" s="13"/>
      <c r="AK133" s="12">
        <v>0.01</v>
      </c>
      <c r="AL133" s="11">
        <f t="shared" ref="AL133:AL140" si="52">100%+AK133</f>
        <v>1.01</v>
      </c>
      <c r="AM133" s="10">
        <f t="shared" ref="AM133:AM140" si="53">ROUNDUP($D$2*AI133*AL133,-3)</f>
        <v>6614780000</v>
      </c>
      <c r="AN133" s="9"/>
      <c r="AO133" s="8"/>
      <c r="AP133" s="8"/>
      <c r="AQ133" s="8"/>
      <c r="AR133" s="8"/>
      <c r="AS133" s="7"/>
      <c r="AT133" s="6">
        <f t="shared" ref="AT133:AT140" si="54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44"/>
        <v>1</v>
      </c>
      <c r="O134" s="25">
        <v>15</v>
      </c>
      <c r="P134" s="23">
        <v>15</v>
      </c>
      <c r="Q134" s="24"/>
      <c r="R134" s="24"/>
      <c r="S134" s="23"/>
      <c r="T134" s="20">
        <f t="shared" si="45"/>
        <v>15</v>
      </c>
      <c r="U134" s="19">
        <f t="shared" si="46"/>
        <v>15</v>
      </c>
      <c r="V134" s="22"/>
      <c r="W134" s="22"/>
      <c r="X134" s="22"/>
      <c r="Y134" s="22"/>
      <c r="Z134" s="21"/>
      <c r="AA134" s="20">
        <f t="shared" si="47"/>
        <v>0</v>
      </c>
      <c r="AB134" s="19">
        <f t="shared" si="48"/>
        <v>0</v>
      </c>
      <c r="AC134" s="16">
        <v>20</v>
      </c>
      <c r="AD134" s="18"/>
      <c r="AE134" s="17"/>
      <c r="AF134" s="23">
        <f t="shared" si="49"/>
        <v>15</v>
      </c>
      <c r="AG134" s="16">
        <v>45</v>
      </c>
      <c r="AH134" s="23">
        <f t="shared" si="50"/>
        <v>80</v>
      </c>
      <c r="AI134" s="14">
        <f t="shared" si="51"/>
        <v>0.93</v>
      </c>
      <c r="AJ134" s="13"/>
      <c r="AK134" s="12">
        <v>0.01</v>
      </c>
      <c r="AL134" s="11">
        <f t="shared" si="52"/>
        <v>1.01</v>
      </c>
      <c r="AM134" s="10">
        <f t="shared" si="53"/>
        <v>6614780000</v>
      </c>
      <c r="AN134" s="9"/>
      <c r="AO134" s="8"/>
      <c r="AP134" s="8"/>
      <c r="AQ134" s="8"/>
      <c r="AR134" s="8"/>
      <c r="AS134" s="7"/>
      <c r="AT134" s="6">
        <f t="shared" si="54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44"/>
        <v>1</v>
      </c>
      <c r="O135" s="25">
        <v>15</v>
      </c>
      <c r="P135" s="23">
        <v>15</v>
      </c>
      <c r="Q135" s="24"/>
      <c r="R135" s="24"/>
      <c r="S135" s="23"/>
      <c r="T135" s="20">
        <f t="shared" si="45"/>
        <v>15</v>
      </c>
      <c r="U135" s="19">
        <f t="shared" si="46"/>
        <v>15</v>
      </c>
      <c r="V135" s="22"/>
      <c r="W135" s="22"/>
      <c r="X135" s="22"/>
      <c r="Y135" s="22"/>
      <c r="Z135" s="21"/>
      <c r="AA135" s="20">
        <f t="shared" si="47"/>
        <v>0</v>
      </c>
      <c r="AB135" s="19">
        <f t="shared" si="48"/>
        <v>0</v>
      </c>
      <c r="AC135" s="16">
        <v>20</v>
      </c>
      <c r="AD135" s="18"/>
      <c r="AE135" s="17"/>
      <c r="AF135" s="23">
        <f t="shared" si="49"/>
        <v>15</v>
      </c>
      <c r="AG135" s="16">
        <v>45</v>
      </c>
      <c r="AH135" s="23">
        <f t="shared" si="50"/>
        <v>80</v>
      </c>
      <c r="AI135" s="14">
        <f t="shared" si="51"/>
        <v>0.93</v>
      </c>
      <c r="AJ135" s="13"/>
      <c r="AK135" s="12">
        <v>0.01</v>
      </c>
      <c r="AL135" s="11">
        <f t="shared" si="52"/>
        <v>1.01</v>
      </c>
      <c r="AM135" s="10">
        <f t="shared" si="53"/>
        <v>6614780000</v>
      </c>
      <c r="AN135" s="9"/>
      <c r="AO135" s="8"/>
      <c r="AP135" s="8"/>
      <c r="AQ135" s="8"/>
      <c r="AR135" s="8"/>
      <c r="AS135" s="7"/>
      <c r="AT135" s="6">
        <f t="shared" si="54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44"/>
        <v>1</v>
      </c>
      <c r="O136" s="25">
        <v>15</v>
      </c>
      <c r="P136" s="23">
        <v>15</v>
      </c>
      <c r="Q136" s="24"/>
      <c r="R136" s="24"/>
      <c r="S136" s="23"/>
      <c r="T136" s="20">
        <f t="shared" si="45"/>
        <v>15</v>
      </c>
      <c r="U136" s="19">
        <f t="shared" si="46"/>
        <v>15</v>
      </c>
      <c r="V136" s="22"/>
      <c r="W136" s="22"/>
      <c r="X136" s="22"/>
      <c r="Y136" s="22"/>
      <c r="Z136" s="21"/>
      <c r="AA136" s="20">
        <f t="shared" si="47"/>
        <v>0</v>
      </c>
      <c r="AB136" s="19">
        <f t="shared" si="48"/>
        <v>0</v>
      </c>
      <c r="AC136" s="16">
        <v>20</v>
      </c>
      <c r="AD136" s="18"/>
      <c r="AE136" s="17"/>
      <c r="AF136" s="23">
        <f t="shared" si="49"/>
        <v>15</v>
      </c>
      <c r="AG136" s="16">
        <v>45</v>
      </c>
      <c r="AH136" s="23">
        <f t="shared" si="50"/>
        <v>80</v>
      </c>
      <c r="AI136" s="14">
        <f t="shared" si="51"/>
        <v>0.93</v>
      </c>
      <c r="AJ136" s="13"/>
      <c r="AK136" s="12">
        <v>0.01</v>
      </c>
      <c r="AL136" s="11">
        <f t="shared" si="52"/>
        <v>1.01</v>
      </c>
      <c r="AM136" s="10">
        <f t="shared" si="53"/>
        <v>6614780000</v>
      </c>
      <c r="AN136" s="9"/>
      <c r="AO136" s="8"/>
      <c r="AP136" s="8"/>
      <c r="AQ136" s="8"/>
      <c r="AR136" s="8"/>
      <c r="AS136" s="7"/>
      <c r="AT136" s="6">
        <f t="shared" si="54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44"/>
        <v>1</v>
      </c>
      <c r="O137" s="25">
        <v>15</v>
      </c>
      <c r="P137" s="23">
        <v>15</v>
      </c>
      <c r="Q137" s="24"/>
      <c r="R137" s="24"/>
      <c r="S137" s="23"/>
      <c r="T137" s="20">
        <f t="shared" si="45"/>
        <v>15</v>
      </c>
      <c r="U137" s="19">
        <f t="shared" si="46"/>
        <v>15</v>
      </c>
      <c r="V137" s="22"/>
      <c r="W137" s="22"/>
      <c r="X137" s="22"/>
      <c r="Y137" s="22"/>
      <c r="Z137" s="21"/>
      <c r="AA137" s="20">
        <f t="shared" si="47"/>
        <v>0</v>
      </c>
      <c r="AB137" s="19">
        <f t="shared" si="48"/>
        <v>0</v>
      </c>
      <c r="AC137" s="16">
        <v>20</v>
      </c>
      <c r="AD137" s="18"/>
      <c r="AE137" s="17"/>
      <c r="AF137" s="23">
        <f t="shared" si="49"/>
        <v>15</v>
      </c>
      <c r="AG137" s="16">
        <v>45</v>
      </c>
      <c r="AH137" s="23">
        <f t="shared" si="50"/>
        <v>80</v>
      </c>
      <c r="AI137" s="14">
        <f t="shared" si="51"/>
        <v>0.93</v>
      </c>
      <c r="AJ137" s="13"/>
      <c r="AK137" s="12">
        <v>0.01</v>
      </c>
      <c r="AL137" s="11">
        <f t="shared" si="52"/>
        <v>1.01</v>
      </c>
      <c r="AM137" s="10">
        <f t="shared" si="53"/>
        <v>6614780000</v>
      </c>
      <c r="AN137" s="9"/>
      <c r="AO137" s="8"/>
      <c r="AP137" s="8"/>
      <c r="AQ137" s="8"/>
      <c r="AR137" s="8"/>
      <c r="AS137" s="7"/>
      <c r="AT137" s="6">
        <f t="shared" si="54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44"/>
        <v>1</v>
      </c>
      <c r="O138" s="25">
        <v>15</v>
      </c>
      <c r="P138" s="23">
        <v>15</v>
      </c>
      <c r="Q138" s="24"/>
      <c r="R138" s="24"/>
      <c r="S138" s="23"/>
      <c r="T138" s="20">
        <f t="shared" si="45"/>
        <v>15</v>
      </c>
      <c r="U138" s="19">
        <f t="shared" si="46"/>
        <v>15</v>
      </c>
      <c r="V138" s="22"/>
      <c r="W138" s="22"/>
      <c r="X138" s="22"/>
      <c r="Y138" s="22"/>
      <c r="Z138" s="21"/>
      <c r="AA138" s="20">
        <f t="shared" si="47"/>
        <v>0</v>
      </c>
      <c r="AB138" s="19">
        <f t="shared" si="48"/>
        <v>0</v>
      </c>
      <c r="AC138" s="16">
        <v>20</v>
      </c>
      <c r="AD138" s="18"/>
      <c r="AE138" s="17"/>
      <c r="AF138" s="23">
        <f t="shared" si="49"/>
        <v>15</v>
      </c>
      <c r="AG138" s="16">
        <v>45</v>
      </c>
      <c r="AH138" s="23">
        <f t="shared" si="50"/>
        <v>80</v>
      </c>
      <c r="AI138" s="14">
        <f t="shared" si="51"/>
        <v>0.93</v>
      </c>
      <c r="AJ138" s="13"/>
      <c r="AK138" s="12">
        <v>0.01</v>
      </c>
      <c r="AL138" s="11">
        <f t="shared" si="52"/>
        <v>1.01</v>
      </c>
      <c r="AM138" s="10">
        <f t="shared" si="53"/>
        <v>6614780000</v>
      </c>
      <c r="AN138" s="9"/>
      <c r="AO138" s="8"/>
      <c r="AP138" s="8"/>
      <c r="AQ138" s="8"/>
      <c r="AR138" s="8"/>
      <c r="AS138" s="7"/>
      <c r="AT138" s="6">
        <f t="shared" si="54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44"/>
        <v>1</v>
      </c>
      <c r="O139" s="25">
        <v>15</v>
      </c>
      <c r="P139" s="23">
        <v>15</v>
      </c>
      <c r="Q139" s="24"/>
      <c r="R139" s="24"/>
      <c r="S139" s="23"/>
      <c r="T139" s="20">
        <f t="shared" si="45"/>
        <v>15</v>
      </c>
      <c r="U139" s="19">
        <f t="shared" si="46"/>
        <v>15</v>
      </c>
      <c r="V139" s="22"/>
      <c r="W139" s="22"/>
      <c r="X139" s="22"/>
      <c r="Y139" s="22"/>
      <c r="Z139" s="21"/>
      <c r="AA139" s="20">
        <f t="shared" si="47"/>
        <v>0</v>
      </c>
      <c r="AB139" s="19">
        <f t="shared" si="48"/>
        <v>0</v>
      </c>
      <c r="AC139" s="16">
        <v>20</v>
      </c>
      <c r="AD139" s="18"/>
      <c r="AE139" s="17"/>
      <c r="AF139" s="23">
        <f t="shared" si="49"/>
        <v>15</v>
      </c>
      <c r="AG139" s="16">
        <v>45</v>
      </c>
      <c r="AH139" s="23">
        <f t="shared" si="50"/>
        <v>80</v>
      </c>
      <c r="AI139" s="14">
        <f t="shared" si="51"/>
        <v>0.93</v>
      </c>
      <c r="AJ139" s="13"/>
      <c r="AK139" s="12">
        <v>0.01</v>
      </c>
      <c r="AL139" s="11">
        <f t="shared" si="52"/>
        <v>1.01</v>
      </c>
      <c r="AM139" s="10">
        <f t="shared" si="53"/>
        <v>6614780000</v>
      </c>
      <c r="AN139" s="9"/>
      <c r="AO139" s="8"/>
      <c r="AP139" s="8"/>
      <c r="AQ139" s="8"/>
      <c r="AR139" s="8"/>
      <c r="AS139" s="7"/>
      <c r="AT139" s="6">
        <f t="shared" si="54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44"/>
        <v>1</v>
      </c>
      <c r="O140" s="25">
        <v>15</v>
      </c>
      <c r="P140" s="23">
        <v>15</v>
      </c>
      <c r="Q140" s="24"/>
      <c r="R140" s="24"/>
      <c r="S140" s="23"/>
      <c r="T140" s="20">
        <f t="shared" si="45"/>
        <v>15</v>
      </c>
      <c r="U140" s="19">
        <f t="shared" si="46"/>
        <v>15</v>
      </c>
      <c r="V140" s="22"/>
      <c r="W140" s="22"/>
      <c r="X140" s="22"/>
      <c r="Y140" s="22"/>
      <c r="Z140" s="21"/>
      <c r="AA140" s="20">
        <f t="shared" si="47"/>
        <v>0</v>
      </c>
      <c r="AB140" s="19">
        <f t="shared" si="48"/>
        <v>0</v>
      </c>
      <c r="AC140" s="16">
        <v>20</v>
      </c>
      <c r="AD140" s="18"/>
      <c r="AE140" s="17"/>
      <c r="AF140" s="15">
        <f t="shared" si="49"/>
        <v>15</v>
      </c>
      <c r="AG140" s="16">
        <v>45</v>
      </c>
      <c r="AH140" s="15">
        <f t="shared" si="50"/>
        <v>80</v>
      </c>
      <c r="AI140" s="14">
        <f t="shared" si="51"/>
        <v>0.93</v>
      </c>
      <c r="AJ140" s="13"/>
      <c r="AK140" s="12">
        <v>0.01</v>
      </c>
      <c r="AL140" s="11">
        <f t="shared" si="52"/>
        <v>1.01</v>
      </c>
      <c r="AM140" s="10">
        <f t="shared" si="53"/>
        <v>6614780000</v>
      </c>
      <c r="AN140" s="9"/>
      <c r="AO140" s="8"/>
      <c r="AP140" s="8"/>
      <c r="AQ140" s="8"/>
      <c r="AR140" s="8"/>
      <c r="AS140" s="7"/>
      <c r="AT140" s="6">
        <f t="shared" si="54"/>
        <v>0</v>
      </c>
    </row>
  </sheetData>
  <mergeCells count="27">
    <mergeCell ref="AL3:AL4"/>
    <mergeCell ref="AT3:AT4"/>
    <mergeCell ref="AN3:AN4"/>
    <mergeCell ref="AO3:AO4"/>
    <mergeCell ref="AP3:AP4"/>
    <mergeCell ref="AQ3:AQ4"/>
    <mergeCell ref="AR3:AR4"/>
    <mergeCell ref="AS3:AS4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D1:E1"/>
    <mergeCell ref="I1:J1"/>
    <mergeCell ref="M1:AF1"/>
    <mergeCell ref="AH1:AK1"/>
    <mergeCell ref="D2:E2"/>
    <mergeCell ref="F2:G2"/>
    <mergeCell ref="I2:J2"/>
    <mergeCell ref="O2:T2"/>
    <mergeCell ref="AK3:AK4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T140"/>
  <sheetViews>
    <sheetView showZeros="0" view="pageBreakPreview" zoomScale="80" zoomScaleSheetLayoutView="80" workbookViewId="0">
      <selection activeCell="F9" sqref="F9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133</v>
      </c>
      <c r="D1" s="179"/>
      <c r="E1" s="179"/>
      <c r="F1" s="130"/>
      <c r="G1" s="130"/>
      <c r="H1" s="132" t="s">
        <v>132</v>
      </c>
      <c r="I1" s="180"/>
      <c r="J1" s="181"/>
      <c r="K1" s="139"/>
      <c r="L1" s="138"/>
      <c r="M1" s="182" t="s">
        <v>277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278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129</v>
      </c>
      <c r="D2" s="184">
        <v>7028076000</v>
      </c>
      <c r="E2" s="184"/>
      <c r="F2" s="185"/>
      <c r="G2" s="186"/>
      <c r="H2" s="132" t="s">
        <v>265</v>
      </c>
      <c r="I2" s="186">
        <f>D2*2</f>
        <v>14056152000</v>
      </c>
      <c r="J2" s="187"/>
      <c r="K2" s="131" t="s">
        <v>127</v>
      </c>
      <c r="L2" s="130"/>
      <c r="M2" s="130"/>
      <c r="N2" s="129" t="s">
        <v>126</v>
      </c>
      <c r="O2" s="188">
        <v>45944.583333333336</v>
      </c>
      <c r="P2" s="188"/>
      <c r="Q2" s="188"/>
      <c r="R2" s="188"/>
      <c r="S2" s="188"/>
      <c r="T2" s="188"/>
      <c r="U2" s="128"/>
      <c r="V2" s="141"/>
      <c r="W2" s="128"/>
      <c r="X2" s="128"/>
      <c r="Y2" s="142"/>
      <c r="Z2" s="142"/>
      <c r="AA2" s="142"/>
      <c r="AB2" s="142"/>
      <c r="AC2" s="142"/>
      <c r="AD2" s="143"/>
      <c r="AE2" s="142"/>
      <c r="AF2" s="142"/>
      <c r="AG2" s="142"/>
      <c r="AH2" s="123"/>
      <c r="AJ2" s="123"/>
      <c r="AK2" s="122"/>
      <c r="AL2" s="122"/>
      <c r="AM2" s="121" t="s">
        <v>124</v>
      </c>
      <c r="AO2" s="120" t="s">
        <v>260</v>
      </c>
      <c r="AP2" s="119">
        <v>6402040000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259</v>
      </c>
      <c r="B3" s="166" t="s">
        <v>121</v>
      </c>
      <c r="C3" s="168" t="s">
        <v>257</v>
      </c>
      <c r="D3" s="169"/>
      <c r="E3" s="169"/>
      <c r="F3" s="169"/>
      <c r="G3" s="169"/>
      <c r="H3" s="170"/>
      <c r="I3" s="168" t="s">
        <v>256</v>
      </c>
      <c r="J3" s="169"/>
      <c r="K3" s="169"/>
      <c r="L3" s="169"/>
      <c r="M3" s="170"/>
      <c r="N3" s="171" t="s">
        <v>255</v>
      </c>
      <c r="O3" s="168" t="s">
        <v>254</v>
      </c>
      <c r="P3" s="169"/>
      <c r="Q3" s="169"/>
      <c r="R3" s="169"/>
      <c r="S3" s="169"/>
      <c r="T3" s="170"/>
      <c r="U3" s="113"/>
      <c r="V3" s="168" t="s">
        <v>116</v>
      </c>
      <c r="W3" s="169"/>
      <c r="X3" s="169"/>
      <c r="Y3" s="169"/>
      <c r="Z3" s="169"/>
      <c r="AA3" s="170"/>
      <c r="AB3" s="113"/>
      <c r="AC3" s="113"/>
      <c r="AD3" s="114" t="s">
        <v>115</v>
      </c>
      <c r="AE3" s="113"/>
      <c r="AF3" s="113"/>
      <c r="AG3" s="113"/>
      <c r="AH3" s="112"/>
      <c r="AI3" s="173" t="s">
        <v>114</v>
      </c>
      <c r="AJ3" s="166" t="s">
        <v>113</v>
      </c>
      <c r="AK3" s="175" t="s">
        <v>249</v>
      </c>
      <c r="AL3" s="177" t="s">
        <v>248</v>
      </c>
      <c r="AM3" s="162" t="s">
        <v>247</v>
      </c>
      <c r="AN3" s="157" t="s">
        <v>109</v>
      </c>
      <c r="AO3" s="159" t="s">
        <v>246</v>
      </c>
      <c r="AP3" s="161" t="s">
        <v>245</v>
      </c>
      <c r="AQ3" s="156" t="s">
        <v>244</v>
      </c>
      <c r="AR3" s="156" t="s">
        <v>243</v>
      </c>
      <c r="AS3" s="156" t="s">
        <v>242</v>
      </c>
      <c r="AT3" s="156" t="s">
        <v>241</v>
      </c>
    </row>
    <row r="4" spans="1:46" s="5" customFormat="1" ht="39.75" customHeight="1" thickBot="1" x14ac:dyDescent="0.2">
      <c r="A4" s="165"/>
      <c r="B4" s="167"/>
      <c r="C4" s="109" t="s">
        <v>97</v>
      </c>
      <c r="D4" s="108" t="s">
        <v>235</v>
      </c>
      <c r="E4" s="105" t="s">
        <v>234</v>
      </c>
      <c r="F4" s="105" t="s">
        <v>240</v>
      </c>
      <c r="G4" s="105" t="s">
        <v>232</v>
      </c>
      <c r="H4" s="111" t="s">
        <v>239</v>
      </c>
      <c r="I4" s="109" t="s">
        <v>236</v>
      </c>
      <c r="J4" s="108" t="s">
        <v>235</v>
      </c>
      <c r="K4" s="107" t="s">
        <v>234</v>
      </c>
      <c r="L4" s="106" t="s">
        <v>233</v>
      </c>
      <c r="M4" s="105" t="s">
        <v>232</v>
      </c>
      <c r="N4" s="172"/>
      <c r="O4" s="109" t="s">
        <v>236</v>
      </c>
      <c r="P4" s="108" t="s">
        <v>235</v>
      </c>
      <c r="Q4" s="105" t="s">
        <v>234</v>
      </c>
      <c r="R4" s="107" t="s">
        <v>233</v>
      </c>
      <c r="S4" s="105" t="s">
        <v>232</v>
      </c>
      <c r="T4" s="110" t="s">
        <v>238</v>
      </c>
      <c r="U4" s="103" t="s">
        <v>237</v>
      </c>
      <c r="V4" s="109" t="s">
        <v>236</v>
      </c>
      <c r="W4" s="108" t="s">
        <v>235</v>
      </c>
      <c r="X4" s="107" t="s">
        <v>234</v>
      </c>
      <c r="Y4" s="106" t="s">
        <v>233</v>
      </c>
      <c r="Z4" s="105" t="s">
        <v>232</v>
      </c>
      <c r="AA4" s="104" t="s">
        <v>231</v>
      </c>
      <c r="AB4" s="103" t="s">
        <v>230</v>
      </c>
      <c r="AC4" s="100" t="s">
        <v>229</v>
      </c>
      <c r="AD4" s="102" t="s">
        <v>228</v>
      </c>
      <c r="AE4" s="102" t="s">
        <v>227</v>
      </c>
      <c r="AF4" s="101" t="s">
        <v>226</v>
      </c>
      <c r="AG4" s="100" t="s">
        <v>86</v>
      </c>
      <c r="AH4" s="100" t="s">
        <v>224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>
        <v>1</v>
      </c>
      <c r="B5" s="35"/>
      <c r="C5" s="73" t="s">
        <v>279</v>
      </c>
      <c r="D5" s="145" t="s">
        <v>280</v>
      </c>
      <c r="E5" s="73" t="s">
        <v>286</v>
      </c>
      <c r="F5" s="73"/>
      <c r="G5" s="73"/>
      <c r="H5" s="45"/>
      <c r="I5" s="38">
        <v>0.4</v>
      </c>
      <c r="J5" s="30">
        <v>0.3</v>
      </c>
      <c r="K5" s="29">
        <v>0.3</v>
      </c>
      <c r="L5" s="30"/>
      <c r="M5" s="27"/>
      <c r="N5" s="26">
        <f t="shared" ref="N5:N10" si="0">SUM(I5:M5)</f>
        <v>1</v>
      </c>
      <c r="O5" s="65">
        <v>15</v>
      </c>
      <c r="P5" s="23">
        <v>15</v>
      </c>
      <c r="Q5" s="144">
        <v>14.6</v>
      </c>
      <c r="R5" s="42"/>
      <c r="S5" s="42"/>
      <c r="T5" s="20">
        <f t="shared" ref="T5:T10" si="1">ROUND(((O5*I5)+(P5*J5)+(Q5*K5)+(R5*L5)+(S5*M5)),2)</f>
        <v>14.88</v>
      </c>
      <c r="U5" s="19">
        <f t="shared" ref="U5:U10" si="2">IF(T5&gt;=15,15,T5)</f>
        <v>14.88</v>
      </c>
      <c r="V5" s="146">
        <v>11716746000</v>
      </c>
      <c r="W5" s="147">
        <v>0</v>
      </c>
      <c r="X5" s="59">
        <v>60895199000</v>
      </c>
      <c r="Y5" s="22"/>
      <c r="Z5" s="21"/>
      <c r="AA5" s="20">
        <f t="shared" ref="AA5:AA10" si="3">ROUND((((V5*I5)+(W5*J5)+(X5*K5)+(Y5*L5)+(Z5*M5))/$I$2*15),2)</f>
        <v>24.5</v>
      </c>
      <c r="AB5" s="19">
        <f t="shared" ref="AB5:AB10" si="4">IF(AA5&gt;=15,15,AA5)</f>
        <v>15</v>
      </c>
      <c r="AC5" s="16">
        <v>20</v>
      </c>
      <c r="AD5" s="18">
        <f>3*I5*0.3</f>
        <v>0.36000000000000004</v>
      </c>
      <c r="AE5" s="97"/>
      <c r="AF5" s="23">
        <f>IF((U5+AB5+AD5)&gt;=30,30,(U5+AB5+AD5))</f>
        <v>30</v>
      </c>
      <c r="AG5" s="16">
        <v>45</v>
      </c>
      <c r="AH5" s="23">
        <f t="shared" ref="AH5:AH10" si="5">AC5+AF5+AG5+AE5</f>
        <v>95</v>
      </c>
      <c r="AI5" s="14">
        <f t="shared" ref="AI5:AI68" si="6">-((50-((176+(45+(30-AF5)))))/200)</f>
        <v>0.85499999999999998</v>
      </c>
      <c r="AJ5" s="13"/>
      <c r="AK5" s="12">
        <v>0.01</v>
      </c>
      <c r="AL5" s="11">
        <f t="shared" ref="AL5:AL68" si="7">100%+AK5</f>
        <v>1.01</v>
      </c>
      <c r="AM5" s="10">
        <f t="shared" ref="AM5:AM68" si="8">ROUNDUP($D$2*AI5*AL5,-3)</f>
        <v>6069096000</v>
      </c>
      <c r="AN5" s="9"/>
      <c r="AO5" s="16"/>
      <c r="AP5" s="81"/>
      <c r="AQ5" s="81"/>
      <c r="AR5" s="8"/>
      <c r="AS5" s="7"/>
      <c r="AT5" s="6">
        <f t="shared" ref="AT5:AT68" si="9">(AO5*J5)+(AP5*K5)+(AQ5*L5)+(AR5*M5)+(AS5*N5)</f>
        <v>0</v>
      </c>
    </row>
    <row r="6" spans="1:46" s="37" customFormat="1" ht="45.75" customHeight="1" thickBot="1" x14ac:dyDescent="0.2">
      <c r="A6" s="35">
        <v>2</v>
      </c>
      <c r="B6" s="35"/>
      <c r="C6" s="73" t="s">
        <v>82</v>
      </c>
      <c r="D6" s="96" t="s">
        <v>281</v>
      </c>
      <c r="E6" s="73" t="s">
        <v>284</v>
      </c>
      <c r="F6" s="73"/>
      <c r="G6" s="73"/>
      <c r="H6" s="45"/>
      <c r="I6" s="38">
        <v>0.4</v>
      </c>
      <c r="J6" s="30">
        <v>0.3</v>
      </c>
      <c r="K6" s="29">
        <v>0.3</v>
      </c>
      <c r="L6" s="30"/>
      <c r="M6" s="27"/>
      <c r="N6" s="26">
        <f t="shared" si="0"/>
        <v>1</v>
      </c>
      <c r="O6" s="65">
        <v>15</v>
      </c>
      <c r="P6" s="144">
        <v>14.23</v>
      </c>
      <c r="Q6" s="23">
        <v>15</v>
      </c>
      <c r="R6" s="42"/>
      <c r="S6" s="42"/>
      <c r="T6" s="20">
        <f t="shared" si="1"/>
        <v>14.77</v>
      </c>
      <c r="U6" s="19">
        <f t="shared" si="2"/>
        <v>14.77</v>
      </c>
      <c r="V6" s="146">
        <v>15563060000</v>
      </c>
      <c r="W6" s="147">
        <v>355365000</v>
      </c>
      <c r="X6" s="59">
        <v>63305526000</v>
      </c>
      <c r="Y6" s="41"/>
      <c r="Z6" s="21"/>
      <c r="AA6" s="20">
        <f t="shared" si="3"/>
        <v>27.02</v>
      </c>
      <c r="AB6" s="19">
        <f t="shared" si="4"/>
        <v>15</v>
      </c>
      <c r="AC6" s="16">
        <v>20</v>
      </c>
      <c r="AD6" s="18">
        <f>3*I6*0.3</f>
        <v>0.36000000000000004</v>
      </c>
      <c r="AE6" s="17"/>
      <c r="AF6" s="23">
        <f>IF((U6+AB6+AD6)&gt;=30,30,(U6+AB6+AD6))</f>
        <v>30</v>
      </c>
      <c r="AG6" s="16">
        <v>45</v>
      </c>
      <c r="AH6" s="23">
        <f t="shared" si="5"/>
        <v>95</v>
      </c>
      <c r="AI6" s="14">
        <f t="shared" si="6"/>
        <v>0.85499999999999998</v>
      </c>
      <c r="AJ6" s="13"/>
      <c r="AK6" s="12">
        <v>0.01</v>
      </c>
      <c r="AL6" s="11">
        <f t="shared" si="7"/>
        <v>1.01</v>
      </c>
      <c r="AM6" s="10">
        <f t="shared" si="8"/>
        <v>6069096000</v>
      </c>
      <c r="AN6" s="9"/>
      <c r="AO6" s="16"/>
      <c r="AP6" s="81"/>
      <c r="AQ6" s="81"/>
      <c r="AR6" s="8"/>
      <c r="AS6" s="7"/>
      <c r="AT6" s="6">
        <f t="shared" si="9"/>
        <v>0</v>
      </c>
    </row>
    <row r="7" spans="1:46" s="37" customFormat="1" ht="45.75" customHeight="1" thickBot="1" x14ac:dyDescent="0.2">
      <c r="A7" s="35">
        <v>3</v>
      </c>
      <c r="B7" s="148" t="s">
        <v>293</v>
      </c>
      <c r="C7" s="73" t="s">
        <v>282</v>
      </c>
      <c r="D7" s="70" t="s">
        <v>155</v>
      </c>
      <c r="E7" s="73"/>
      <c r="F7" s="73"/>
      <c r="G7" s="73"/>
      <c r="H7" s="45"/>
      <c r="I7" s="38">
        <v>0.7</v>
      </c>
      <c r="J7" s="30">
        <v>0.3</v>
      </c>
      <c r="K7" s="29"/>
      <c r="L7" s="30"/>
      <c r="M7" s="27"/>
      <c r="N7" s="26">
        <f t="shared" si="0"/>
        <v>1</v>
      </c>
      <c r="O7" s="65">
        <v>15</v>
      </c>
      <c r="P7" s="23">
        <v>15</v>
      </c>
      <c r="Q7" s="23">
        <v>15</v>
      </c>
      <c r="R7" s="42"/>
      <c r="S7" s="42"/>
      <c r="T7" s="20">
        <f t="shared" si="1"/>
        <v>15</v>
      </c>
      <c r="U7" s="19">
        <f t="shared" si="2"/>
        <v>15</v>
      </c>
      <c r="V7" s="146">
        <v>21672377000</v>
      </c>
      <c r="W7" s="147">
        <v>692740000</v>
      </c>
      <c r="X7" s="59"/>
      <c r="Y7" s="48"/>
      <c r="Z7" s="21"/>
      <c r="AA7" s="20">
        <f t="shared" si="3"/>
        <v>16.41</v>
      </c>
      <c r="AB7" s="19">
        <f t="shared" si="4"/>
        <v>15</v>
      </c>
      <c r="AC7" s="16">
        <v>20</v>
      </c>
      <c r="AD7" s="18"/>
      <c r="AE7" s="17"/>
      <c r="AF7" s="23">
        <f t="shared" ref="AF7:AF10" si="10">IF((U7+AB7+AD7)&gt;=30,30,(U7+AB7+AD7))</f>
        <v>30</v>
      </c>
      <c r="AG7" s="16">
        <v>45</v>
      </c>
      <c r="AH7" s="23">
        <f t="shared" si="5"/>
        <v>95</v>
      </c>
      <c r="AI7" s="14">
        <f t="shared" si="6"/>
        <v>0.85499999999999998</v>
      </c>
      <c r="AJ7" s="13"/>
      <c r="AK7" s="12">
        <v>0.01</v>
      </c>
      <c r="AL7" s="11">
        <f t="shared" si="7"/>
        <v>1.01</v>
      </c>
      <c r="AM7" s="10">
        <f t="shared" si="8"/>
        <v>6069096000</v>
      </c>
      <c r="AN7" s="9"/>
      <c r="AO7" s="16"/>
      <c r="AP7" s="81"/>
      <c r="AQ7" s="81"/>
      <c r="AR7" s="8"/>
      <c r="AS7" s="7"/>
      <c r="AT7" s="6">
        <f t="shared" si="9"/>
        <v>0</v>
      </c>
    </row>
    <row r="8" spans="1:46" s="37" customFormat="1" ht="45.75" customHeight="1" thickBot="1" x14ac:dyDescent="0.2">
      <c r="A8" s="35">
        <v>4</v>
      </c>
      <c r="B8" s="35"/>
      <c r="C8" s="73" t="s">
        <v>83</v>
      </c>
      <c r="D8" s="145" t="s">
        <v>283</v>
      </c>
      <c r="E8" s="73" t="s">
        <v>285</v>
      </c>
      <c r="F8" s="73"/>
      <c r="G8" s="73"/>
      <c r="H8" s="45"/>
      <c r="I8" s="38">
        <v>0.4</v>
      </c>
      <c r="J8" s="30">
        <v>0.3</v>
      </c>
      <c r="K8" s="29">
        <v>0.3</v>
      </c>
      <c r="L8" s="28"/>
      <c r="M8" s="27"/>
      <c r="N8" s="26">
        <f t="shared" si="0"/>
        <v>1</v>
      </c>
      <c r="O8" s="65">
        <v>15</v>
      </c>
      <c r="P8" s="23">
        <v>15</v>
      </c>
      <c r="Q8" s="23">
        <v>15</v>
      </c>
      <c r="R8" s="42"/>
      <c r="S8" s="42"/>
      <c r="T8" s="20">
        <f t="shared" si="1"/>
        <v>15</v>
      </c>
      <c r="U8" s="19">
        <f t="shared" si="2"/>
        <v>15</v>
      </c>
      <c r="V8" s="146">
        <v>7038779000</v>
      </c>
      <c r="W8" s="147">
        <v>0</v>
      </c>
      <c r="X8" s="59">
        <v>109829864000</v>
      </c>
      <c r="Y8" s="22"/>
      <c r="Z8" s="21"/>
      <c r="AA8" s="20">
        <f t="shared" si="3"/>
        <v>38.17</v>
      </c>
      <c r="AB8" s="19">
        <f t="shared" si="4"/>
        <v>15</v>
      </c>
      <c r="AC8" s="16">
        <v>20</v>
      </c>
      <c r="AD8" s="18"/>
      <c r="AE8" s="17"/>
      <c r="AF8" s="23">
        <f t="shared" si="10"/>
        <v>30</v>
      </c>
      <c r="AG8" s="16">
        <v>45</v>
      </c>
      <c r="AH8" s="23">
        <f t="shared" si="5"/>
        <v>95</v>
      </c>
      <c r="AI8" s="14">
        <f t="shared" si="6"/>
        <v>0.85499999999999998</v>
      </c>
      <c r="AJ8" s="13"/>
      <c r="AK8" s="12">
        <v>0.01</v>
      </c>
      <c r="AL8" s="11">
        <f t="shared" si="7"/>
        <v>1.01</v>
      </c>
      <c r="AM8" s="10">
        <f t="shared" si="8"/>
        <v>6069096000</v>
      </c>
      <c r="AN8" s="9"/>
      <c r="AO8" s="16"/>
      <c r="AP8" s="81"/>
      <c r="AQ8" s="81"/>
      <c r="AR8" s="8"/>
      <c r="AS8" s="7"/>
      <c r="AT8" s="6">
        <f t="shared" si="9"/>
        <v>0</v>
      </c>
    </row>
    <row r="9" spans="1:46" s="37" customFormat="1" ht="45.75" customHeight="1" thickBot="1" x14ac:dyDescent="0.2">
      <c r="A9" s="35"/>
      <c r="B9" s="35"/>
      <c r="C9" s="73" t="s">
        <v>287</v>
      </c>
      <c r="D9" s="73"/>
      <c r="E9" s="73"/>
      <c r="F9" s="73"/>
      <c r="G9" s="73"/>
      <c r="H9" s="45"/>
      <c r="I9" s="38">
        <v>0.6</v>
      </c>
      <c r="J9" s="30">
        <v>0.4</v>
      </c>
      <c r="K9" s="29"/>
      <c r="L9" s="28"/>
      <c r="M9" s="27"/>
      <c r="N9" s="26">
        <f t="shared" si="0"/>
        <v>1</v>
      </c>
      <c r="O9" s="65">
        <v>15</v>
      </c>
      <c r="P9" s="23">
        <v>15</v>
      </c>
      <c r="Q9" s="42"/>
      <c r="R9" s="42"/>
      <c r="S9" s="23"/>
      <c r="T9" s="20">
        <f t="shared" si="1"/>
        <v>15</v>
      </c>
      <c r="U9" s="19">
        <f t="shared" si="2"/>
        <v>15</v>
      </c>
      <c r="V9" s="52">
        <v>129427822000</v>
      </c>
      <c r="W9" s="59"/>
      <c r="X9" s="59"/>
      <c r="Y9" s="57"/>
      <c r="Z9" s="21"/>
      <c r="AA9" s="20">
        <f t="shared" si="3"/>
        <v>82.87</v>
      </c>
      <c r="AB9" s="19">
        <f t="shared" si="4"/>
        <v>15</v>
      </c>
      <c r="AC9" s="16">
        <v>20</v>
      </c>
      <c r="AD9" s="18"/>
      <c r="AE9" s="17"/>
      <c r="AF9" s="23">
        <f t="shared" si="10"/>
        <v>30</v>
      </c>
      <c r="AG9" s="16">
        <v>45</v>
      </c>
      <c r="AH9" s="23">
        <f t="shared" si="5"/>
        <v>95</v>
      </c>
      <c r="AI9" s="14">
        <f t="shared" si="6"/>
        <v>0.85499999999999998</v>
      </c>
      <c r="AJ9" s="13"/>
      <c r="AK9" s="12">
        <v>0.01</v>
      </c>
      <c r="AL9" s="11">
        <f t="shared" si="7"/>
        <v>1.01</v>
      </c>
      <c r="AM9" s="10">
        <f t="shared" si="8"/>
        <v>6069096000</v>
      </c>
      <c r="AN9" s="9"/>
      <c r="AO9" s="16"/>
      <c r="AP9" s="87"/>
      <c r="AQ9" s="81"/>
      <c r="AR9" s="8"/>
      <c r="AS9" s="7"/>
      <c r="AT9" s="6">
        <f t="shared" si="9"/>
        <v>0</v>
      </c>
    </row>
    <row r="10" spans="1:46" s="37" customFormat="1" ht="45.75" customHeight="1" thickBot="1" x14ac:dyDescent="0.2">
      <c r="A10" s="35"/>
      <c r="B10" s="35"/>
      <c r="C10" s="73" t="s">
        <v>196</v>
      </c>
      <c r="D10" s="73"/>
      <c r="E10" s="73"/>
      <c r="F10" s="73"/>
      <c r="G10" s="73"/>
      <c r="H10" s="45"/>
      <c r="I10" s="38">
        <v>0.6</v>
      </c>
      <c r="J10" s="30">
        <v>0.4</v>
      </c>
      <c r="K10" s="29"/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84">
        <v>56126180000</v>
      </c>
      <c r="W10" s="92"/>
      <c r="X10" s="41"/>
      <c r="Y10" s="41"/>
      <c r="Z10" s="21"/>
      <c r="AA10" s="20">
        <f t="shared" si="3"/>
        <v>35.94</v>
      </c>
      <c r="AB10" s="19">
        <f t="shared" si="4"/>
        <v>15</v>
      </c>
      <c r="AC10" s="16">
        <v>20</v>
      </c>
      <c r="AD10" s="18"/>
      <c r="AE10" s="17"/>
      <c r="AF10" s="93">
        <f t="shared" si="10"/>
        <v>30</v>
      </c>
      <c r="AG10" s="74">
        <v>45</v>
      </c>
      <c r="AH10" s="93">
        <f t="shared" si="5"/>
        <v>95</v>
      </c>
      <c r="AI10" s="14">
        <f t="shared" si="6"/>
        <v>0.85499999999999998</v>
      </c>
      <c r="AJ10" s="13"/>
      <c r="AK10" s="12">
        <v>0.01</v>
      </c>
      <c r="AL10" s="11">
        <f t="shared" si="7"/>
        <v>1.01</v>
      </c>
      <c r="AM10" s="10">
        <f t="shared" si="8"/>
        <v>6069096000</v>
      </c>
      <c r="AN10" s="9"/>
      <c r="AO10" s="16"/>
      <c r="AP10" s="71"/>
      <c r="AQ10" s="81"/>
      <c r="AR10" s="8"/>
      <c r="AS10" s="7"/>
      <c r="AT10" s="6">
        <f t="shared" si="9"/>
        <v>0</v>
      </c>
    </row>
    <row r="11" spans="1:46" s="37" customFormat="1" ht="45.75" customHeight="1" thickBot="1" x14ac:dyDescent="0.2">
      <c r="A11" s="35"/>
      <c r="B11" s="35"/>
      <c r="C11" s="73"/>
      <c r="D11" s="73" t="s">
        <v>289</v>
      </c>
      <c r="E11" s="73"/>
      <c r="F11" s="73"/>
      <c r="G11" s="73"/>
      <c r="H11" s="45"/>
      <c r="I11" s="38">
        <v>0.4</v>
      </c>
      <c r="J11" s="30">
        <v>0.3</v>
      </c>
      <c r="K11" s="29">
        <v>0.3</v>
      </c>
      <c r="L11" s="28"/>
      <c r="M11" s="27"/>
      <c r="N11" s="26">
        <f t="shared" ref="N11:N68" si="11">SUM(I11:M11)</f>
        <v>1</v>
      </c>
      <c r="O11" s="65">
        <v>15</v>
      </c>
      <c r="P11" s="23">
        <v>15</v>
      </c>
      <c r="Q11" s="42">
        <v>15</v>
      </c>
      <c r="R11" s="42"/>
      <c r="S11" s="23"/>
      <c r="T11" s="20">
        <f t="shared" ref="T11:T42" si="12">ROUND(((O11*I11)+(P11*J11)+(Q11*K11)+(R11*L11)+(S11*M11)),2)</f>
        <v>15</v>
      </c>
      <c r="U11" s="19"/>
      <c r="V11" s="84"/>
      <c r="W11" s="41">
        <v>36613423000</v>
      </c>
      <c r="X11" s="56"/>
      <c r="Y11" s="91"/>
      <c r="Z11" s="21"/>
      <c r="AA11" s="20">
        <f t="shared" ref="AA11:AA43" si="13">ROUND((((V11*I11)+(W11*J11)+(X11*K11)+(Y11*L11)+(Z11*M11))/$I$2*15),2)</f>
        <v>11.72</v>
      </c>
      <c r="AB11" s="19">
        <f t="shared" ref="AB11:AB68" si="14">IF(AA11&gt;=15,15,AA11)</f>
        <v>11.72</v>
      </c>
      <c r="AC11" s="16">
        <v>20</v>
      </c>
      <c r="AD11" s="18"/>
      <c r="AE11" s="17"/>
      <c r="AF11" s="23">
        <f t="shared" ref="AF11:AF68" si="15">IF((U11+AB11+AD11)&gt;=30,30,(U11+AB11+AD11))</f>
        <v>11.72</v>
      </c>
      <c r="AG11" s="16">
        <v>45</v>
      </c>
      <c r="AH11" s="23">
        <f t="shared" ref="AH11:AH68" si="16">AC11+AF11+AG11+AE11</f>
        <v>76.72</v>
      </c>
      <c r="AI11" s="14">
        <f t="shared" si="6"/>
        <v>0.94640000000000002</v>
      </c>
      <c r="AJ11" s="13"/>
      <c r="AK11" s="12">
        <v>0.01</v>
      </c>
      <c r="AL11" s="11">
        <f t="shared" si="7"/>
        <v>1.01</v>
      </c>
      <c r="AM11" s="10">
        <f t="shared" si="8"/>
        <v>6717885000</v>
      </c>
      <c r="AN11" s="9"/>
      <c r="AO11" s="16"/>
      <c r="AP11" s="71"/>
      <c r="AQ11" s="71"/>
      <c r="AR11" s="8"/>
      <c r="AS11" s="7"/>
      <c r="AT11" s="6">
        <f t="shared" si="9"/>
        <v>0</v>
      </c>
    </row>
    <row r="12" spans="1:46" s="37" customFormat="1" ht="45.75" customHeight="1" thickBot="1" x14ac:dyDescent="0.2">
      <c r="A12" s="35"/>
      <c r="B12" s="35"/>
      <c r="C12" s="73" t="s">
        <v>290</v>
      </c>
      <c r="D12" s="73"/>
      <c r="E12" s="73"/>
      <c r="F12" s="73"/>
      <c r="G12" s="73"/>
      <c r="H12" s="45"/>
      <c r="I12" s="38">
        <v>0.6</v>
      </c>
      <c r="J12" s="30">
        <v>0.4</v>
      </c>
      <c r="K12" s="29"/>
      <c r="L12" s="28"/>
      <c r="M12" s="27"/>
      <c r="N12" s="26">
        <f t="shared" si="11"/>
        <v>1</v>
      </c>
      <c r="O12" s="65">
        <v>15</v>
      </c>
      <c r="P12" s="23">
        <v>15</v>
      </c>
      <c r="Q12" s="42"/>
      <c r="R12" s="42"/>
      <c r="S12" s="23"/>
      <c r="T12" s="20">
        <f t="shared" si="12"/>
        <v>15</v>
      </c>
      <c r="U12" s="19"/>
      <c r="V12" s="78">
        <v>55832837000</v>
      </c>
      <c r="W12" s="59"/>
      <c r="X12" s="59"/>
      <c r="Y12" s="92"/>
      <c r="Z12" s="68"/>
      <c r="AA12" s="20">
        <f t="shared" si="13"/>
        <v>35.75</v>
      </c>
      <c r="AB12" s="19">
        <f t="shared" si="14"/>
        <v>15</v>
      </c>
      <c r="AC12" s="16">
        <v>20</v>
      </c>
      <c r="AD12" s="18"/>
      <c r="AE12" s="17"/>
      <c r="AF12" s="23">
        <f t="shared" si="15"/>
        <v>15</v>
      </c>
      <c r="AG12" s="16">
        <v>45</v>
      </c>
      <c r="AH12" s="23">
        <f t="shared" si="16"/>
        <v>80</v>
      </c>
      <c r="AI12" s="14">
        <f t="shared" si="6"/>
        <v>0.93</v>
      </c>
      <c r="AJ12" s="13"/>
      <c r="AK12" s="12">
        <v>0.01</v>
      </c>
      <c r="AL12" s="11">
        <f t="shared" si="7"/>
        <v>1.01</v>
      </c>
      <c r="AM12" s="10">
        <f t="shared" si="8"/>
        <v>6601472000</v>
      </c>
      <c r="AN12" s="9"/>
      <c r="AO12" s="16"/>
      <c r="AP12" s="72"/>
      <c r="AQ12" s="71"/>
      <c r="AR12" s="8"/>
      <c r="AS12" s="7"/>
      <c r="AT12" s="6">
        <f t="shared" si="9"/>
        <v>0</v>
      </c>
    </row>
    <row r="13" spans="1:46" s="37" customFormat="1" ht="45.75" customHeight="1" thickBot="1" x14ac:dyDescent="0.2">
      <c r="A13" s="35"/>
      <c r="B13" s="35"/>
      <c r="C13" s="73"/>
      <c r="D13" s="73"/>
      <c r="E13" s="73"/>
      <c r="F13" s="73"/>
      <c r="G13" s="73"/>
      <c r="H13" s="45"/>
      <c r="I13" s="38">
        <v>0.51</v>
      </c>
      <c r="J13" s="30">
        <v>0.49</v>
      </c>
      <c r="K13" s="29"/>
      <c r="L13" s="28"/>
      <c r="M13" s="29"/>
      <c r="N13" s="26">
        <f t="shared" si="11"/>
        <v>1</v>
      </c>
      <c r="O13" s="23">
        <v>15</v>
      </c>
      <c r="P13" s="23">
        <v>15</v>
      </c>
      <c r="Q13" s="42"/>
      <c r="R13" s="42"/>
      <c r="S13" s="24"/>
      <c r="T13" s="20">
        <f t="shared" si="12"/>
        <v>15</v>
      </c>
      <c r="U13" s="19"/>
      <c r="V13" s="78"/>
      <c r="W13" s="59"/>
      <c r="X13" s="22"/>
      <c r="Y13" s="22"/>
      <c r="Z13" s="22"/>
      <c r="AA13" s="20">
        <f t="shared" si="13"/>
        <v>0</v>
      </c>
      <c r="AB13" s="19">
        <f t="shared" si="14"/>
        <v>0</v>
      </c>
      <c r="AC13" s="16">
        <v>20</v>
      </c>
      <c r="AD13" s="18"/>
      <c r="AE13" s="17"/>
      <c r="AF13" s="23">
        <f t="shared" si="15"/>
        <v>0</v>
      </c>
      <c r="AG13" s="16">
        <v>45</v>
      </c>
      <c r="AH13" s="23">
        <f t="shared" si="16"/>
        <v>65</v>
      </c>
      <c r="AI13" s="14">
        <f t="shared" si="6"/>
        <v>1.0049999999999999</v>
      </c>
      <c r="AJ13" s="13"/>
      <c r="AK13" s="12">
        <v>0.01</v>
      </c>
      <c r="AL13" s="11">
        <f t="shared" si="7"/>
        <v>1.01</v>
      </c>
      <c r="AM13" s="10">
        <f t="shared" si="8"/>
        <v>7133849000</v>
      </c>
      <c r="AN13" s="9"/>
      <c r="AO13" s="8"/>
      <c r="AP13" s="8"/>
      <c r="AQ13" s="8"/>
      <c r="AR13" s="8"/>
      <c r="AS13" s="7"/>
      <c r="AT13" s="6">
        <f t="shared" si="9"/>
        <v>0</v>
      </c>
    </row>
    <row r="14" spans="1:46" s="37" customFormat="1" ht="45.75" customHeight="1" thickBot="1" x14ac:dyDescent="0.2">
      <c r="A14" s="35"/>
      <c r="B14" s="35"/>
      <c r="C14" s="73"/>
      <c r="D14" s="73" t="s">
        <v>288</v>
      </c>
      <c r="E14" s="73"/>
      <c r="F14" s="73"/>
      <c r="G14" s="73"/>
      <c r="H14" s="45"/>
      <c r="I14" s="38">
        <v>0.4</v>
      </c>
      <c r="J14" s="30">
        <v>0.3</v>
      </c>
      <c r="K14" s="29">
        <v>0.3</v>
      </c>
      <c r="L14" s="30"/>
      <c r="M14" s="27"/>
      <c r="N14" s="26">
        <f t="shared" si="11"/>
        <v>1</v>
      </c>
      <c r="O14" s="65">
        <v>15</v>
      </c>
      <c r="P14" s="23">
        <v>15</v>
      </c>
      <c r="Q14" s="23">
        <v>15</v>
      </c>
      <c r="R14" s="42"/>
      <c r="S14" s="42"/>
      <c r="T14" s="20">
        <f t="shared" si="12"/>
        <v>15</v>
      </c>
      <c r="U14" s="19"/>
      <c r="V14" s="79"/>
      <c r="W14" s="59">
        <v>21720797000</v>
      </c>
      <c r="X14" s="92"/>
      <c r="Y14" s="91"/>
      <c r="Z14" s="21"/>
      <c r="AA14" s="20">
        <f t="shared" si="13"/>
        <v>6.95</v>
      </c>
      <c r="AB14" s="19">
        <f t="shared" si="14"/>
        <v>6.95</v>
      </c>
      <c r="AC14" s="16">
        <v>20</v>
      </c>
      <c r="AD14" s="18"/>
      <c r="AE14" s="17"/>
      <c r="AF14" s="23">
        <f t="shared" si="15"/>
        <v>6.95</v>
      </c>
      <c r="AG14" s="16">
        <v>45</v>
      </c>
      <c r="AH14" s="23">
        <f t="shared" si="16"/>
        <v>71.95</v>
      </c>
      <c r="AI14" s="14">
        <f t="shared" si="6"/>
        <v>0.97025000000000006</v>
      </c>
      <c r="AJ14" s="13"/>
      <c r="AK14" s="12">
        <v>0.01</v>
      </c>
      <c r="AL14" s="11">
        <f t="shared" si="7"/>
        <v>1.01</v>
      </c>
      <c r="AM14" s="10">
        <f t="shared" si="8"/>
        <v>6887181000</v>
      </c>
      <c r="AN14" s="9"/>
      <c r="AO14" s="72"/>
      <c r="AP14" s="16"/>
      <c r="AQ14" s="16"/>
      <c r="AR14" s="8"/>
      <c r="AS14" s="7"/>
      <c r="AT14" s="6">
        <f t="shared" si="9"/>
        <v>0</v>
      </c>
    </row>
    <row r="15" spans="1:46" s="37" customFormat="1" ht="45.75" customHeight="1" thickBot="1" x14ac:dyDescent="0.2">
      <c r="A15" s="35"/>
      <c r="B15" s="35"/>
      <c r="C15" s="73"/>
      <c r="D15" s="73"/>
      <c r="E15" s="73"/>
      <c r="F15" s="73"/>
      <c r="G15" s="73"/>
      <c r="H15" s="77"/>
      <c r="I15" s="38">
        <v>0.4</v>
      </c>
      <c r="J15" s="30">
        <v>0.3</v>
      </c>
      <c r="K15" s="29">
        <v>0.3</v>
      </c>
      <c r="L15" s="28"/>
      <c r="M15" s="27"/>
      <c r="N15" s="26">
        <f t="shared" si="11"/>
        <v>1</v>
      </c>
      <c r="O15" s="65">
        <v>15</v>
      </c>
      <c r="P15" s="23">
        <v>15</v>
      </c>
      <c r="Q15" s="23">
        <v>15</v>
      </c>
      <c r="R15" s="42"/>
      <c r="S15" s="23"/>
      <c r="T15" s="20">
        <f t="shared" si="12"/>
        <v>15</v>
      </c>
      <c r="U15" s="19"/>
      <c r="V15" s="59"/>
      <c r="W15" s="68"/>
      <c r="X15" s="41"/>
      <c r="Y15" s="22"/>
      <c r="Z15" s="68"/>
      <c r="AA15" s="20">
        <f t="shared" si="13"/>
        <v>0</v>
      </c>
      <c r="AB15" s="19">
        <f t="shared" si="14"/>
        <v>0</v>
      </c>
      <c r="AC15" s="16">
        <v>20</v>
      </c>
      <c r="AD15" s="18"/>
      <c r="AE15" s="17"/>
      <c r="AF15" s="23">
        <f t="shared" si="15"/>
        <v>0</v>
      </c>
      <c r="AG15" s="16">
        <v>45</v>
      </c>
      <c r="AH15" s="23">
        <f t="shared" si="16"/>
        <v>65</v>
      </c>
      <c r="AI15" s="14">
        <f t="shared" si="6"/>
        <v>1.0049999999999999</v>
      </c>
      <c r="AJ15" s="13"/>
      <c r="AK15" s="12">
        <v>0.01</v>
      </c>
      <c r="AL15" s="11">
        <f t="shared" si="7"/>
        <v>1.01</v>
      </c>
      <c r="AM15" s="10">
        <f t="shared" si="8"/>
        <v>7133849000</v>
      </c>
      <c r="AN15" s="9"/>
      <c r="AO15" s="16"/>
      <c r="AP15" s="71"/>
      <c r="AQ15" s="16"/>
      <c r="AR15" s="8"/>
      <c r="AS15" s="7"/>
      <c r="AT15" s="6">
        <f t="shared" si="9"/>
        <v>0</v>
      </c>
    </row>
    <row r="16" spans="1:46" s="37" customFormat="1" ht="45.75" customHeight="1" thickBot="1" x14ac:dyDescent="0.2">
      <c r="A16" s="35"/>
      <c r="B16" s="35"/>
      <c r="C16" s="73"/>
      <c r="D16" s="73"/>
      <c r="E16" s="73"/>
      <c r="F16" s="73"/>
      <c r="G16" s="73"/>
      <c r="H16" s="45"/>
      <c r="I16" s="38">
        <v>0.7</v>
      </c>
      <c r="J16" s="30">
        <v>0.3</v>
      </c>
      <c r="K16" s="29"/>
      <c r="L16" s="28"/>
      <c r="M16" s="27"/>
      <c r="N16" s="26">
        <f t="shared" si="11"/>
        <v>1</v>
      </c>
      <c r="O16" s="65">
        <v>15</v>
      </c>
      <c r="P16" s="23">
        <v>15</v>
      </c>
      <c r="Q16" s="42"/>
      <c r="R16" s="42"/>
      <c r="S16" s="23"/>
      <c r="T16" s="20">
        <f t="shared" si="12"/>
        <v>15</v>
      </c>
      <c r="U16" s="19"/>
      <c r="V16" s="52"/>
      <c r="W16" s="59"/>
      <c r="X16" s="61"/>
      <c r="Y16" s="22"/>
      <c r="Z16" s="21"/>
      <c r="AA16" s="20">
        <f t="shared" si="13"/>
        <v>0</v>
      </c>
      <c r="AB16" s="19">
        <f t="shared" si="14"/>
        <v>0</v>
      </c>
      <c r="AC16" s="16">
        <v>20</v>
      </c>
      <c r="AD16" s="18"/>
      <c r="AE16" s="17"/>
      <c r="AF16" s="23">
        <f t="shared" si="15"/>
        <v>0</v>
      </c>
      <c r="AG16" s="16">
        <v>45</v>
      </c>
      <c r="AH16" s="23">
        <f t="shared" si="16"/>
        <v>65</v>
      </c>
      <c r="AI16" s="14">
        <f t="shared" si="6"/>
        <v>1.0049999999999999</v>
      </c>
      <c r="AJ16" s="13"/>
      <c r="AK16" s="12">
        <v>0.01</v>
      </c>
      <c r="AL16" s="11">
        <f t="shared" si="7"/>
        <v>1.01</v>
      </c>
      <c r="AM16" s="10">
        <f t="shared" si="8"/>
        <v>7133849000</v>
      </c>
      <c r="AN16" s="9"/>
      <c r="AO16" s="74"/>
      <c r="AP16" s="71"/>
      <c r="AQ16" s="71"/>
      <c r="AR16" s="8"/>
      <c r="AS16" s="7"/>
      <c r="AT16" s="6">
        <f t="shared" si="9"/>
        <v>0</v>
      </c>
    </row>
    <row r="17" spans="1:46" s="37" customFormat="1" ht="45.75" customHeight="1" thickBot="1" x14ac:dyDescent="0.2">
      <c r="A17" s="35"/>
      <c r="B17" s="35"/>
      <c r="C17" s="73"/>
      <c r="D17" s="73"/>
      <c r="E17" s="73"/>
      <c r="F17" s="73"/>
      <c r="G17" s="73"/>
      <c r="H17" s="45"/>
      <c r="I17" s="38">
        <v>0.7</v>
      </c>
      <c r="J17" s="30">
        <v>0.3</v>
      </c>
      <c r="K17" s="29"/>
      <c r="L17" s="28"/>
      <c r="M17" s="27"/>
      <c r="N17" s="26">
        <f t="shared" si="11"/>
        <v>1</v>
      </c>
      <c r="O17" s="65">
        <v>15</v>
      </c>
      <c r="P17" s="23">
        <v>15</v>
      </c>
      <c r="Q17" s="42"/>
      <c r="R17" s="42"/>
      <c r="S17" s="23"/>
      <c r="T17" s="20">
        <f t="shared" si="12"/>
        <v>15</v>
      </c>
      <c r="U17" s="19"/>
      <c r="V17" s="59"/>
      <c r="W17" s="59"/>
      <c r="X17" s="76"/>
      <c r="Y17" s="59"/>
      <c r="Z17" s="68"/>
      <c r="AA17" s="20">
        <f t="shared" si="13"/>
        <v>0</v>
      </c>
      <c r="AB17" s="19">
        <f t="shared" si="14"/>
        <v>0</v>
      </c>
      <c r="AC17" s="16">
        <v>20</v>
      </c>
      <c r="AD17" s="18"/>
      <c r="AE17" s="17"/>
      <c r="AF17" s="23">
        <f t="shared" si="15"/>
        <v>0</v>
      </c>
      <c r="AG17" s="16">
        <v>45</v>
      </c>
      <c r="AH17" s="23">
        <f t="shared" si="16"/>
        <v>65</v>
      </c>
      <c r="AI17" s="14">
        <f t="shared" si="6"/>
        <v>1.0049999999999999</v>
      </c>
      <c r="AJ17" s="13"/>
      <c r="AK17" s="12">
        <v>0.01</v>
      </c>
      <c r="AL17" s="11">
        <f t="shared" si="7"/>
        <v>1.01</v>
      </c>
      <c r="AM17" s="10">
        <f t="shared" si="8"/>
        <v>7133849000</v>
      </c>
      <c r="AN17" s="9"/>
      <c r="AO17" s="72"/>
      <c r="AP17" s="71"/>
      <c r="AQ17" s="72"/>
      <c r="AR17" s="8"/>
      <c r="AS17" s="7"/>
      <c r="AT17" s="6">
        <f t="shared" si="9"/>
        <v>0</v>
      </c>
    </row>
    <row r="18" spans="1:46" s="37" customFormat="1" ht="45.75" customHeight="1" thickBot="1" x14ac:dyDescent="0.2">
      <c r="A18" s="35"/>
      <c r="B18" s="35"/>
      <c r="C18" s="73"/>
      <c r="D18" s="73"/>
      <c r="E18" s="73"/>
      <c r="F18" s="73"/>
      <c r="G18" s="73"/>
      <c r="H18" s="45"/>
      <c r="I18" s="38">
        <v>0.5</v>
      </c>
      <c r="J18" s="30">
        <v>0.3</v>
      </c>
      <c r="K18" s="29">
        <v>0.2</v>
      </c>
      <c r="L18" s="30"/>
      <c r="M18" s="27"/>
      <c r="N18" s="26">
        <f t="shared" si="11"/>
        <v>1</v>
      </c>
      <c r="O18" s="65">
        <v>15</v>
      </c>
      <c r="P18" s="23">
        <v>15</v>
      </c>
      <c r="Q18" s="42">
        <v>15</v>
      </c>
      <c r="R18" s="42"/>
      <c r="S18" s="42"/>
      <c r="T18" s="20">
        <f t="shared" si="12"/>
        <v>15</v>
      </c>
      <c r="U18" s="19"/>
      <c r="V18" s="90"/>
      <c r="W18" s="41"/>
      <c r="X18" s="61"/>
      <c r="Y18" s="22"/>
      <c r="Z18" s="21"/>
      <c r="AA18" s="20">
        <f t="shared" si="13"/>
        <v>0</v>
      </c>
      <c r="AB18" s="19">
        <f t="shared" si="14"/>
        <v>0</v>
      </c>
      <c r="AC18" s="16">
        <v>20</v>
      </c>
      <c r="AD18" s="83"/>
      <c r="AE18" s="17"/>
      <c r="AF18" s="23">
        <f t="shared" si="15"/>
        <v>0</v>
      </c>
      <c r="AG18" s="16">
        <v>45</v>
      </c>
      <c r="AH18" s="23">
        <f t="shared" si="16"/>
        <v>65</v>
      </c>
      <c r="AI18" s="14">
        <f t="shared" si="6"/>
        <v>1.0049999999999999</v>
      </c>
      <c r="AJ18" s="13"/>
      <c r="AK18" s="12">
        <v>0.01</v>
      </c>
      <c r="AL18" s="11">
        <f t="shared" si="7"/>
        <v>1.01</v>
      </c>
      <c r="AM18" s="10">
        <f t="shared" si="8"/>
        <v>7133849000</v>
      </c>
      <c r="AN18" s="9"/>
      <c r="AO18" s="16"/>
      <c r="AP18" s="87"/>
      <c r="AQ18" s="81"/>
      <c r="AR18" s="8"/>
      <c r="AS18" s="7"/>
      <c r="AT18" s="6">
        <f t="shared" si="9"/>
        <v>0</v>
      </c>
    </row>
    <row r="19" spans="1:46" s="37" customFormat="1" ht="45.75" customHeight="1" thickBot="1" x14ac:dyDescent="0.2">
      <c r="A19" s="35"/>
      <c r="B19" s="35"/>
      <c r="C19" s="73"/>
      <c r="D19" s="73"/>
      <c r="E19" s="73"/>
      <c r="F19" s="73"/>
      <c r="G19" s="73"/>
      <c r="H19" s="45"/>
      <c r="I19" s="38">
        <v>0.6</v>
      </c>
      <c r="J19" s="30">
        <v>0.4</v>
      </c>
      <c r="K19" s="29"/>
      <c r="L19" s="28"/>
      <c r="M19" s="27"/>
      <c r="N19" s="26">
        <f t="shared" si="11"/>
        <v>1</v>
      </c>
      <c r="O19" s="65">
        <v>15</v>
      </c>
      <c r="P19" s="23">
        <v>15</v>
      </c>
      <c r="Q19" s="42"/>
      <c r="R19" s="42"/>
      <c r="S19" s="23"/>
      <c r="T19" s="20">
        <f t="shared" si="12"/>
        <v>15</v>
      </c>
      <c r="U19" s="19"/>
      <c r="V19" s="62"/>
      <c r="W19" s="59"/>
      <c r="X19" s="59"/>
      <c r="Y19" s="59"/>
      <c r="Z19" s="21"/>
      <c r="AA19" s="20">
        <f t="shared" si="13"/>
        <v>0</v>
      </c>
      <c r="AB19" s="19">
        <f t="shared" si="14"/>
        <v>0</v>
      </c>
      <c r="AC19" s="16">
        <v>20</v>
      </c>
      <c r="AD19" s="18"/>
      <c r="AE19" s="17"/>
      <c r="AF19" s="23">
        <f t="shared" si="15"/>
        <v>0</v>
      </c>
      <c r="AG19" s="16">
        <v>45</v>
      </c>
      <c r="AH19" s="23">
        <f t="shared" si="16"/>
        <v>65</v>
      </c>
      <c r="AI19" s="14">
        <f t="shared" si="6"/>
        <v>1.0049999999999999</v>
      </c>
      <c r="AJ19" s="13"/>
      <c r="AK19" s="12">
        <v>0.01</v>
      </c>
      <c r="AL19" s="11">
        <f t="shared" si="7"/>
        <v>1.01</v>
      </c>
      <c r="AM19" s="10">
        <f t="shared" si="8"/>
        <v>7133849000</v>
      </c>
      <c r="AN19" s="9"/>
      <c r="AO19" s="16"/>
      <c r="AP19" s="81"/>
      <c r="AQ19" s="87"/>
      <c r="AR19" s="8"/>
      <c r="AS19" s="7"/>
      <c r="AT19" s="6">
        <f t="shared" si="9"/>
        <v>0</v>
      </c>
    </row>
    <row r="20" spans="1:46" s="37" customFormat="1" ht="45.75" customHeight="1" thickBot="1" x14ac:dyDescent="0.2">
      <c r="A20" s="35"/>
      <c r="B20" s="35"/>
      <c r="C20" s="73"/>
      <c r="D20" s="73"/>
      <c r="E20" s="73"/>
      <c r="F20" s="73"/>
      <c r="G20" s="73"/>
      <c r="H20" s="45"/>
      <c r="I20" s="38">
        <v>0.6</v>
      </c>
      <c r="J20" s="30">
        <v>0.4</v>
      </c>
      <c r="K20" s="29"/>
      <c r="L20" s="28"/>
      <c r="M20" s="27"/>
      <c r="N20" s="26">
        <f t="shared" si="11"/>
        <v>1</v>
      </c>
      <c r="O20" s="65">
        <v>15</v>
      </c>
      <c r="P20" s="23">
        <v>15</v>
      </c>
      <c r="Q20" s="23"/>
      <c r="R20" s="42"/>
      <c r="S20" s="23"/>
      <c r="T20" s="20">
        <f t="shared" si="12"/>
        <v>15</v>
      </c>
      <c r="U20" s="19"/>
      <c r="V20" s="62"/>
      <c r="W20" s="68"/>
      <c r="X20" s="59"/>
      <c r="Y20" s="22"/>
      <c r="Z20" s="21"/>
      <c r="AA20" s="20">
        <f t="shared" si="13"/>
        <v>0</v>
      </c>
      <c r="AB20" s="19">
        <f t="shared" si="14"/>
        <v>0</v>
      </c>
      <c r="AC20" s="16">
        <v>20</v>
      </c>
      <c r="AD20" s="18"/>
      <c r="AE20" s="17"/>
      <c r="AF20" s="23">
        <f t="shared" si="15"/>
        <v>0</v>
      </c>
      <c r="AG20" s="16">
        <v>45</v>
      </c>
      <c r="AH20" s="23">
        <f t="shared" si="16"/>
        <v>65</v>
      </c>
      <c r="AI20" s="14">
        <f t="shared" si="6"/>
        <v>1.0049999999999999</v>
      </c>
      <c r="AJ20" s="13"/>
      <c r="AK20" s="12">
        <v>0.01</v>
      </c>
      <c r="AL20" s="11">
        <f t="shared" si="7"/>
        <v>1.01</v>
      </c>
      <c r="AM20" s="10">
        <f t="shared" si="8"/>
        <v>7133849000</v>
      </c>
      <c r="AN20" s="9"/>
      <c r="AO20" s="16"/>
      <c r="AP20" s="81"/>
      <c r="AQ20" s="88"/>
      <c r="AR20" s="8"/>
      <c r="AS20" s="7"/>
      <c r="AT20" s="6">
        <f t="shared" si="9"/>
        <v>0</v>
      </c>
    </row>
    <row r="21" spans="1:46" s="37" customFormat="1" ht="45.75" customHeight="1" thickBot="1" x14ac:dyDescent="0.2">
      <c r="A21" s="35"/>
      <c r="B21" s="35"/>
      <c r="C21" s="73"/>
      <c r="D21" s="73"/>
      <c r="E21" s="73"/>
      <c r="F21" s="73"/>
      <c r="G21" s="73"/>
      <c r="H21" s="45"/>
      <c r="I21" s="38">
        <v>0.6</v>
      </c>
      <c r="J21" s="30">
        <v>0.4</v>
      </c>
      <c r="K21" s="29"/>
      <c r="L21" s="28"/>
      <c r="M21" s="27"/>
      <c r="N21" s="26">
        <f t="shared" si="11"/>
        <v>1</v>
      </c>
      <c r="O21" s="65">
        <v>15</v>
      </c>
      <c r="P21" s="23">
        <v>15</v>
      </c>
      <c r="Q21" s="42"/>
      <c r="R21" s="42"/>
      <c r="S21" s="42"/>
      <c r="T21" s="20">
        <f t="shared" si="12"/>
        <v>15</v>
      </c>
      <c r="U21" s="19"/>
      <c r="V21" s="61"/>
      <c r="W21" s="22"/>
      <c r="X21" s="59"/>
      <c r="Y21" s="48"/>
      <c r="Z21" s="21"/>
      <c r="AA21" s="20">
        <f t="shared" si="13"/>
        <v>0</v>
      </c>
      <c r="AB21" s="19">
        <f t="shared" si="14"/>
        <v>0</v>
      </c>
      <c r="AC21" s="16">
        <v>20</v>
      </c>
      <c r="AD21" s="18"/>
      <c r="AE21" s="17"/>
      <c r="AF21" s="23">
        <f t="shared" si="15"/>
        <v>0</v>
      </c>
      <c r="AG21" s="16">
        <v>45</v>
      </c>
      <c r="AH21" s="23">
        <f t="shared" si="16"/>
        <v>65</v>
      </c>
      <c r="AI21" s="14">
        <f t="shared" si="6"/>
        <v>1.0049999999999999</v>
      </c>
      <c r="AJ21" s="13"/>
      <c r="AK21" s="12">
        <v>0.01</v>
      </c>
      <c r="AL21" s="11">
        <f t="shared" si="7"/>
        <v>1.01</v>
      </c>
      <c r="AM21" s="10">
        <f t="shared" si="8"/>
        <v>7133849000</v>
      </c>
      <c r="AN21" s="9"/>
      <c r="AO21" s="8"/>
      <c r="AP21" s="8"/>
      <c r="AQ21" s="8"/>
      <c r="AR21" s="8"/>
      <c r="AS21" s="7"/>
      <c r="AT21" s="6">
        <f t="shared" si="9"/>
        <v>0</v>
      </c>
    </row>
    <row r="22" spans="1:46" s="37" customFormat="1" ht="45.75" customHeight="1" thickBot="1" x14ac:dyDescent="0.2">
      <c r="A22" s="35"/>
      <c r="B22" s="35"/>
      <c r="C22" s="73"/>
      <c r="D22" s="73"/>
      <c r="E22" s="73"/>
      <c r="F22" s="73"/>
      <c r="G22" s="73"/>
      <c r="H22" s="45"/>
      <c r="I22" s="38">
        <v>0.51</v>
      </c>
      <c r="J22" s="30">
        <v>0.49</v>
      </c>
      <c r="K22" s="29"/>
      <c r="L22" s="28"/>
      <c r="M22" s="27"/>
      <c r="N22" s="26">
        <f t="shared" si="11"/>
        <v>1</v>
      </c>
      <c r="O22" s="65">
        <v>15</v>
      </c>
      <c r="P22" s="23">
        <v>15</v>
      </c>
      <c r="Q22" s="42"/>
      <c r="R22" s="42"/>
      <c r="S22" s="23"/>
      <c r="T22" s="20">
        <f t="shared" si="12"/>
        <v>15</v>
      </c>
      <c r="U22" s="19"/>
      <c r="V22" s="59"/>
      <c r="W22" s="48"/>
      <c r="X22" s="59"/>
      <c r="Y22" s="22"/>
      <c r="Z22" s="21"/>
      <c r="AA22" s="20">
        <f t="shared" si="13"/>
        <v>0</v>
      </c>
      <c r="AB22" s="19">
        <f t="shared" si="14"/>
        <v>0</v>
      </c>
      <c r="AC22" s="16">
        <v>20</v>
      </c>
      <c r="AD22" s="18"/>
      <c r="AE22" s="17"/>
      <c r="AF22" s="23">
        <f t="shared" si="15"/>
        <v>0</v>
      </c>
      <c r="AG22" s="16">
        <v>45</v>
      </c>
      <c r="AH22" s="23">
        <f t="shared" si="16"/>
        <v>65</v>
      </c>
      <c r="AI22" s="14">
        <f t="shared" si="6"/>
        <v>1.0049999999999999</v>
      </c>
      <c r="AJ22" s="13"/>
      <c r="AK22" s="12">
        <v>0.01</v>
      </c>
      <c r="AL22" s="11">
        <f t="shared" si="7"/>
        <v>1.01</v>
      </c>
      <c r="AM22" s="10">
        <f t="shared" si="8"/>
        <v>7133849000</v>
      </c>
      <c r="AN22" s="9"/>
      <c r="AO22" s="81"/>
      <c r="AP22" s="87"/>
      <c r="AQ22" s="81"/>
      <c r="AR22" s="8"/>
      <c r="AS22" s="7"/>
      <c r="AT22" s="6">
        <f t="shared" si="9"/>
        <v>0</v>
      </c>
    </row>
    <row r="23" spans="1:46" s="37" customFormat="1" ht="45.75" customHeight="1" thickBot="1" x14ac:dyDescent="0.2">
      <c r="A23" s="35"/>
      <c r="B23" s="35"/>
      <c r="C23" s="73"/>
      <c r="D23" s="73"/>
      <c r="E23" s="73"/>
      <c r="F23" s="73"/>
      <c r="G23" s="73"/>
      <c r="H23" s="77"/>
      <c r="I23" s="38">
        <v>0.51</v>
      </c>
      <c r="J23" s="29">
        <v>0.49</v>
      </c>
      <c r="K23" s="29"/>
      <c r="L23" s="28"/>
      <c r="M23" s="27"/>
      <c r="N23" s="26">
        <f t="shared" si="11"/>
        <v>1</v>
      </c>
      <c r="O23" s="65">
        <v>15</v>
      </c>
      <c r="P23" s="23">
        <v>15</v>
      </c>
      <c r="Q23" s="23"/>
      <c r="R23" s="42"/>
      <c r="S23" s="42"/>
      <c r="T23" s="20">
        <f t="shared" si="12"/>
        <v>15</v>
      </c>
      <c r="U23" s="19"/>
      <c r="V23" s="61"/>
      <c r="W23" s="22"/>
      <c r="X23" s="22"/>
      <c r="Y23" s="48"/>
      <c r="Z23" s="22"/>
      <c r="AA23" s="20">
        <f t="shared" si="13"/>
        <v>0</v>
      </c>
      <c r="AB23" s="19">
        <f t="shared" si="14"/>
        <v>0</v>
      </c>
      <c r="AC23" s="16">
        <v>20</v>
      </c>
      <c r="AD23" s="18"/>
      <c r="AE23" s="17"/>
      <c r="AF23" s="23">
        <f t="shared" si="15"/>
        <v>0</v>
      </c>
      <c r="AG23" s="16">
        <v>45</v>
      </c>
      <c r="AH23" s="23">
        <f t="shared" si="16"/>
        <v>65</v>
      </c>
      <c r="AI23" s="14">
        <f t="shared" si="6"/>
        <v>1.0049999999999999</v>
      </c>
      <c r="AJ23" s="13"/>
      <c r="AK23" s="12">
        <v>0.01</v>
      </c>
      <c r="AL23" s="11">
        <f t="shared" si="7"/>
        <v>1.01</v>
      </c>
      <c r="AM23" s="10">
        <f t="shared" si="8"/>
        <v>7133849000</v>
      </c>
      <c r="AN23" s="9"/>
      <c r="AO23" s="74"/>
      <c r="AP23" s="71"/>
      <c r="AQ23" s="71"/>
      <c r="AR23" s="8"/>
      <c r="AS23" s="7"/>
      <c r="AT23" s="6">
        <f t="shared" si="9"/>
        <v>0</v>
      </c>
    </row>
    <row r="24" spans="1:46" s="37" customFormat="1" ht="45.75" customHeight="1" thickBot="1" x14ac:dyDescent="0.2">
      <c r="A24" s="35"/>
      <c r="B24" s="35"/>
      <c r="C24" s="73"/>
      <c r="D24" s="73"/>
      <c r="E24" s="73"/>
      <c r="F24" s="73"/>
      <c r="G24" s="73"/>
      <c r="H24" s="45"/>
      <c r="I24" s="38">
        <v>0.51</v>
      </c>
      <c r="J24" s="30">
        <v>0.49</v>
      </c>
      <c r="K24" s="29"/>
      <c r="L24" s="28"/>
      <c r="M24" s="27"/>
      <c r="N24" s="26">
        <f t="shared" si="11"/>
        <v>1</v>
      </c>
      <c r="O24" s="65">
        <v>15</v>
      </c>
      <c r="P24" s="23">
        <v>15</v>
      </c>
      <c r="Q24" s="42"/>
      <c r="R24" s="42"/>
      <c r="S24" s="23"/>
      <c r="T24" s="20">
        <f t="shared" si="12"/>
        <v>15</v>
      </c>
      <c r="U24" s="19"/>
      <c r="V24" s="61"/>
      <c r="W24" s="22"/>
      <c r="X24" s="59"/>
      <c r="Y24" s="22"/>
      <c r="Z24" s="21"/>
      <c r="AA24" s="20">
        <f t="shared" si="13"/>
        <v>0</v>
      </c>
      <c r="AB24" s="19">
        <f t="shared" si="14"/>
        <v>0</v>
      </c>
      <c r="AC24" s="16">
        <v>20</v>
      </c>
      <c r="AD24" s="18"/>
      <c r="AE24" s="17"/>
      <c r="AF24" s="23">
        <f t="shared" si="15"/>
        <v>0</v>
      </c>
      <c r="AG24" s="16">
        <v>45</v>
      </c>
      <c r="AH24" s="23">
        <f t="shared" si="16"/>
        <v>65</v>
      </c>
      <c r="AI24" s="14">
        <f t="shared" si="6"/>
        <v>1.0049999999999999</v>
      </c>
      <c r="AJ24" s="13"/>
      <c r="AK24" s="12">
        <v>0.01</v>
      </c>
      <c r="AL24" s="11">
        <f t="shared" si="7"/>
        <v>1.01</v>
      </c>
      <c r="AM24" s="10">
        <f t="shared" si="8"/>
        <v>7133849000</v>
      </c>
      <c r="AN24" s="9"/>
      <c r="AO24" s="74"/>
      <c r="AP24" s="71"/>
      <c r="AQ24" s="81"/>
      <c r="AR24" s="8"/>
      <c r="AS24" s="7"/>
      <c r="AT24" s="6">
        <f t="shared" si="9"/>
        <v>0</v>
      </c>
    </row>
    <row r="25" spans="1:46" s="37" customFormat="1" ht="45.75" customHeight="1" thickBot="1" x14ac:dyDescent="0.2">
      <c r="A25" s="35"/>
      <c r="B25" s="35"/>
      <c r="C25" s="73"/>
      <c r="D25" s="73"/>
      <c r="E25" s="73"/>
      <c r="F25" s="73"/>
      <c r="G25" s="73"/>
      <c r="H25" s="45"/>
      <c r="I25" s="38">
        <v>0.51</v>
      </c>
      <c r="J25" s="30">
        <v>0.49</v>
      </c>
      <c r="K25" s="29"/>
      <c r="L25" s="28"/>
      <c r="M25" s="27"/>
      <c r="N25" s="26">
        <f t="shared" si="11"/>
        <v>1</v>
      </c>
      <c r="O25" s="65">
        <v>15</v>
      </c>
      <c r="P25" s="23">
        <v>15</v>
      </c>
      <c r="Q25" s="42"/>
      <c r="R25" s="42"/>
      <c r="S25" s="23"/>
      <c r="T25" s="20">
        <f t="shared" si="12"/>
        <v>15</v>
      </c>
      <c r="U25" s="19"/>
      <c r="V25" s="61"/>
      <c r="W25" s="59"/>
      <c r="X25" s="59"/>
      <c r="Y25" s="22"/>
      <c r="Z25" s="21"/>
      <c r="AA25" s="20">
        <f t="shared" si="13"/>
        <v>0</v>
      </c>
      <c r="AB25" s="19">
        <f t="shared" si="14"/>
        <v>0</v>
      </c>
      <c r="AC25" s="16">
        <v>20</v>
      </c>
      <c r="AD25" s="18"/>
      <c r="AE25" s="17"/>
      <c r="AF25" s="23">
        <f t="shared" si="15"/>
        <v>0</v>
      </c>
      <c r="AG25" s="16">
        <v>45</v>
      </c>
      <c r="AH25" s="23">
        <f t="shared" si="16"/>
        <v>65</v>
      </c>
      <c r="AI25" s="14">
        <f t="shared" si="6"/>
        <v>1.0049999999999999</v>
      </c>
      <c r="AJ25" s="13"/>
      <c r="AK25" s="12">
        <v>0.01</v>
      </c>
      <c r="AL25" s="11">
        <f t="shared" si="7"/>
        <v>1.01</v>
      </c>
      <c r="AM25" s="10">
        <f t="shared" si="8"/>
        <v>7133849000</v>
      </c>
      <c r="AN25" s="9"/>
      <c r="AO25" s="74"/>
      <c r="AP25" s="81"/>
      <c r="AQ25" s="71"/>
      <c r="AR25" s="8"/>
      <c r="AS25" s="7"/>
      <c r="AT25" s="6">
        <f t="shared" si="9"/>
        <v>0</v>
      </c>
    </row>
    <row r="26" spans="1:46" s="37" customFormat="1" ht="45.75" customHeight="1" thickBot="1" x14ac:dyDescent="0.2">
      <c r="A26" s="35"/>
      <c r="B26" s="35"/>
      <c r="C26" s="73"/>
      <c r="D26" s="73"/>
      <c r="E26" s="73"/>
      <c r="F26" s="73"/>
      <c r="G26" s="73"/>
      <c r="H26" s="45"/>
      <c r="I26" s="38">
        <v>0.51</v>
      </c>
      <c r="J26" s="30">
        <v>0.49</v>
      </c>
      <c r="K26" s="29"/>
      <c r="L26" s="28"/>
      <c r="M26" s="27"/>
      <c r="N26" s="26">
        <f t="shared" si="11"/>
        <v>1</v>
      </c>
      <c r="O26" s="65">
        <v>15</v>
      </c>
      <c r="P26" s="42">
        <v>15</v>
      </c>
      <c r="Q26" s="42"/>
      <c r="R26" s="42"/>
      <c r="S26" s="23"/>
      <c r="T26" s="20">
        <f t="shared" si="12"/>
        <v>15</v>
      </c>
      <c r="U26" s="19"/>
      <c r="V26" s="61"/>
      <c r="W26" s="59"/>
      <c r="X26" s="59"/>
      <c r="Y26" s="22"/>
      <c r="Z26" s="21"/>
      <c r="AA26" s="20">
        <f t="shared" si="13"/>
        <v>0</v>
      </c>
      <c r="AB26" s="19">
        <f t="shared" si="14"/>
        <v>0</v>
      </c>
      <c r="AC26" s="16">
        <v>20</v>
      </c>
      <c r="AD26" s="18"/>
      <c r="AE26" s="17"/>
      <c r="AF26" s="23">
        <f t="shared" si="15"/>
        <v>0</v>
      </c>
      <c r="AG26" s="16">
        <v>45</v>
      </c>
      <c r="AH26" s="23">
        <f t="shared" si="16"/>
        <v>65</v>
      </c>
      <c r="AI26" s="14">
        <f t="shared" si="6"/>
        <v>1.0049999999999999</v>
      </c>
      <c r="AJ26" s="13"/>
      <c r="AK26" s="12">
        <v>0.01</v>
      </c>
      <c r="AL26" s="11">
        <f t="shared" si="7"/>
        <v>1.01</v>
      </c>
      <c r="AM26" s="10">
        <f t="shared" si="8"/>
        <v>7133849000</v>
      </c>
      <c r="AN26" s="9"/>
      <c r="AO26" s="8"/>
      <c r="AP26" s="8"/>
      <c r="AQ26" s="8"/>
      <c r="AR26" s="8"/>
      <c r="AS26" s="7"/>
      <c r="AT26" s="6">
        <f t="shared" si="9"/>
        <v>0</v>
      </c>
    </row>
    <row r="27" spans="1:46" s="37" customFormat="1" ht="45.75" customHeight="1" thickBot="1" x14ac:dyDescent="0.2">
      <c r="A27" s="35"/>
      <c r="B27" s="35"/>
      <c r="C27" s="73"/>
      <c r="D27" s="73"/>
      <c r="E27" s="73"/>
      <c r="F27" s="73"/>
      <c r="G27" s="73"/>
      <c r="H27" s="45"/>
      <c r="I27" s="38">
        <v>0.51</v>
      </c>
      <c r="J27" s="30">
        <v>0.49</v>
      </c>
      <c r="K27" s="29"/>
      <c r="L27" s="30"/>
      <c r="M27" s="27"/>
      <c r="N27" s="26">
        <f t="shared" si="11"/>
        <v>1</v>
      </c>
      <c r="O27" s="65">
        <v>15</v>
      </c>
      <c r="P27" s="23">
        <v>15</v>
      </c>
      <c r="Q27" s="42"/>
      <c r="R27" s="42"/>
      <c r="S27" s="42"/>
      <c r="T27" s="20">
        <f t="shared" si="12"/>
        <v>15</v>
      </c>
      <c r="U27" s="19"/>
      <c r="V27" s="62"/>
      <c r="W27" s="59"/>
      <c r="X27" s="59"/>
      <c r="Y27" s="48"/>
      <c r="Z27" s="21"/>
      <c r="AA27" s="20">
        <f t="shared" si="13"/>
        <v>0</v>
      </c>
      <c r="AB27" s="19">
        <f t="shared" si="14"/>
        <v>0</v>
      </c>
      <c r="AC27" s="16">
        <v>20</v>
      </c>
      <c r="AD27" s="18"/>
      <c r="AE27" s="17"/>
      <c r="AF27" s="23">
        <f t="shared" si="15"/>
        <v>0</v>
      </c>
      <c r="AG27" s="16">
        <v>45</v>
      </c>
      <c r="AH27" s="23">
        <f t="shared" si="16"/>
        <v>65</v>
      </c>
      <c r="AI27" s="14">
        <f t="shared" si="6"/>
        <v>1.0049999999999999</v>
      </c>
      <c r="AJ27" s="13"/>
      <c r="AK27" s="12">
        <v>0.01</v>
      </c>
      <c r="AL27" s="11">
        <f t="shared" si="7"/>
        <v>1.01</v>
      </c>
      <c r="AM27" s="10">
        <f t="shared" si="8"/>
        <v>7133849000</v>
      </c>
      <c r="AN27" s="9"/>
      <c r="AO27" s="74"/>
      <c r="AP27" s="71"/>
      <c r="AQ27" s="71"/>
      <c r="AR27" s="8"/>
      <c r="AS27" s="7"/>
      <c r="AT27" s="6">
        <f t="shared" si="9"/>
        <v>0</v>
      </c>
    </row>
    <row r="28" spans="1:46" s="37" customFormat="1" ht="45.75" customHeight="1" thickBot="1" x14ac:dyDescent="0.2">
      <c r="A28" s="35"/>
      <c r="B28" s="35"/>
      <c r="C28" s="73"/>
      <c r="D28" s="73"/>
      <c r="E28" s="73"/>
      <c r="F28" s="73"/>
      <c r="G28" s="73"/>
      <c r="H28" s="45"/>
      <c r="I28" s="38">
        <v>0.51</v>
      </c>
      <c r="J28" s="30">
        <v>0.49</v>
      </c>
      <c r="K28" s="29"/>
      <c r="L28" s="28"/>
      <c r="M28" s="27"/>
      <c r="N28" s="26">
        <f t="shared" si="11"/>
        <v>1</v>
      </c>
      <c r="O28" s="65">
        <v>15</v>
      </c>
      <c r="P28" s="23">
        <v>15</v>
      </c>
      <c r="Q28" s="42"/>
      <c r="R28" s="42"/>
      <c r="S28" s="23"/>
      <c r="T28" s="20">
        <f t="shared" si="12"/>
        <v>15</v>
      </c>
      <c r="U28" s="19"/>
      <c r="V28" s="84"/>
      <c r="W28" s="41"/>
      <c r="X28" s="22"/>
      <c r="Y28" s="22"/>
      <c r="Z28" s="21"/>
      <c r="AA28" s="20">
        <f t="shared" si="13"/>
        <v>0</v>
      </c>
      <c r="AB28" s="19">
        <f t="shared" si="14"/>
        <v>0</v>
      </c>
      <c r="AC28" s="16">
        <v>20</v>
      </c>
      <c r="AD28" s="18"/>
      <c r="AE28" s="17"/>
      <c r="AF28" s="23">
        <f t="shared" si="15"/>
        <v>0</v>
      </c>
      <c r="AG28" s="16">
        <v>45</v>
      </c>
      <c r="AH28" s="23">
        <f t="shared" si="16"/>
        <v>65</v>
      </c>
      <c r="AI28" s="14">
        <f t="shared" si="6"/>
        <v>1.0049999999999999</v>
      </c>
      <c r="AJ28" s="13"/>
      <c r="AK28" s="12">
        <v>0.01</v>
      </c>
      <c r="AL28" s="11">
        <f t="shared" si="7"/>
        <v>1.01</v>
      </c>
      <c r="AM28" s="10">
        <f t="shared" si="8"/>
        <v>7133849000</v>
      </c>
      <c r="AN28" s="9"/>
      <c r="AO28" s="8"/>
      <c r="AP28" s="8"/>
      <c r="AQ28" s="8"/>
      <c r="AR28" s="8"/>
      <c r="AS28" s="7"/>
      <c r="AT28" s="6">
        <f t="shared" si="9"/>
        <v>0</v>
      </c>
    </row>
    <row r="29" spans="1:46" s="37" customFormat="1" ht="45.75" customHeight="1" thickBot="1" x14ac:dyDescent="0.2">
      <c r="A29" s="35"/>
      <c r="B29" s="35"/>
      <c r="C29" s="73"/>
      <c r="D29" s="73"/>
      <c r="E29" s="73"/>
      <c r="F29" s="73"/>
      <c r="G29" s="73"/>
      <c r="H29" s="45"/>
      <c r="I29" s="38">
        <v>0.51</v>
      </c>
      <c r="J29" s="30">
        <v>0.49</v>
      </c>
      <c r="K29" s="29"/>
      <c r="L29" s="30"/>
      <c r="M29" s="27"/>
      <c r="N29" s="26">
        <f t="shared" si="11"/>
        <v>1</v>
      </c>
      <c r="O29" s="65">
        <v>15</v>
      </c>
      <c r="P29" s="23">
        <v>15</v>
      </c>
      <c r="Q29" s="42"/>
      <c r="R29" s="42"/>
      <c r="S29" s="42"/>
      <c r="T29" s="20">
        <f t="shared" si="12"/>
        <v>15</v>
      </c>
      <c r="U29" s="19"/>
      <c r="V29" s="61"/>
      <c r="W29" s="22"/>
      <c r="X29" s="59"/>
      <c r="Y29" s="41"/>
      <c r="Z29" s="21"/>
      <c r="AA29" s="20">
        <f t="shared" si="13"/>
        <v>0</v>
      </c>
      <c r="AB29" s="19">
        <f t="shared" si="14"/>
        <v>0</v>
      </c>
      <c r="AC29" s="16">
        <v>20</v>
      </c>
      <c r="AD29" s="83"/>
      <c r="AE29" s="17"/>
      <c r="AF29" s="23">
        <f t="shared" si="15"/>
        <v>0</v>
      </c>
      <c r="AG29" s="16">
        <v>45</v>
      </c>
      <c r="AH29" s="23">
        <f t="shared" si="16"/>
        <v>65</v>
      </c>
      <c r="AI29" s="14">
        <f t="shared" si="6"/>
        <v>1.0049999999999999</v>
      </c>
      <c r="AJ29" s="13"/>
      <c r="AK29" s="12">
        <v>0.01</v>
      </c>
      <c r="AL29" s="11">
        <f t="shared" si="7"/>
        <v>1.01</v>
      </c>
      <c r="AM29" s="10">
        <f t="shared" si="8"/>
        <v>7133849000</v>
      </c>
      <c r="AN29" s="9"/>
      <c r="AO29" s="16"/>
      <c r="AP29" s="82"/>
      <c r="AQ29" s="16"/>
      <c r="AR29" s="8"/>
      <c r="AS29" s="7"/>
      <c r="AT29" s="6">
        <f t="shared" si="9"/>
        <v>0</v>
      </c>
    </row>
    <row r="30" spans="1:46" s="37" customFormat="1" ht="45.75" customHeight="1" thickBot="1" x14ac:dyDescent="0.2">
      <c r="A30" s="35"/>
      <c r="B30" s="35"/>
      <c r="C30" s="73"/>
      <c r="D30" s="73"/>
      <c r="E30" s="73"/>
      <c r="F30" s="73"/>
      <c r="G30" s="73"/>
      <c r="H30" s="45"/>
      <c r="I30" s="38">
        <v>0.51</v>
      </c>
      <c r="J30" s="30">
        <v>0.49</v>
      </c>
      <c r="K30" s="29"/>
      <c r="L30" s="28"/>
      <c r="M30" s="27"/>
      <c r="N30" s="26">
        <f t="shared" si="11"/>
        <v>1</v>
      </c>
      <c r="O30" s="65">
        <v>15</v>
      </c>
      <c r="P30" s="23">
        <v>15</v>
      </c>
      <c r="Q30" s="42"/>
      <c r="R30" s="42"/>
      <c r="S30" s="42"/>
      <c r="T30" s="20">
        <f t="shared" si="12"/>
        <v>15</v>
      </c>
      <c r="U30" s="19"/>
      <c r="V30" s="61"/>
      <c r="W30" s="22"/>
      <c r="X30" s="22"/>
      <c r="Y30" s="54"/>
      <c r="Z30" s="21"/>
      <c r="AA30" s="20">
        <f t="shared" si="13"/>
        <v>0</v>
      </c>
      <c r="AB30" s="19">
        <f t="shared" si="14"/>
        <v>0</v>
      </c>
      <c r="AC30" s="16">
        <v>20</v>
      </c>
      <c r="AD30" s="18"/>
      <c r="AE30" s="17"/>
      <c r="AF30" s="23">
        <f t="shared" si="15"/>
        <v>0</v>
      </c>
      <c r="AG30" s="16">
        <v>45</v>
      </c>
      <c r="AH30" s="23">
        <f t="shared" si="16"/>
        <v>65</v>
      </c>
      <c r="AI30" s="14">
        <f t="shared" si="6"/>
        <v>1.0049999999999999</v>
      </c>
      <c r="AJ30" s="13"/>
      <c r="AK30" s="12">
        <v>0.01</v>
      </c>
      <c r="AL30" s="11">
        <f t="shared" si="7"/>
        <v>1.01</v>
      </c>
      <c r="AM30" s="10">
        <f t="shared" si="8"/>
        <v>7133849000</v>
      </c>
      <c r="AN30" s="9"/>
      <c r="AO30" s="74"/>
      <c r="AP30" s="72"/>
      <c r="AQ30" s="72"/>
      <c r="AR30" s="8"/>
      <c r="AS30" s="7"/>
      <c r="AT30" s="6">
        <f t="shared" si="9"/>
        <v>0</v>
      </c>
    </row>
    <row r="31" spans="1:46" s="37" customFormat="1" ht="45.75" customHeight="1" thickBot="1" x14ac:dyDescent="0.2">
      <c r="A31" s="35"/>
      <c r="B31" s="35"/>
      <c r="C31" s="73"/>
      <c r="D31" s="73"/>
      <c r="E31" s="73"/>
      <c r="F31" s="73"/>
      <c r="G31" s="73"/>
      <c r="H31" s="45"/>
      <c r="I31" s="38">
        <v>0.51</v>
      </c>
      <c r="J31" s="30">
        <v>0.49</v>
      </c>
      <c r="K31" s="29"/>
      <c r="L31" s="28"/>
      <c r="M31" s="27"/>
      <c r="N31" s="26">
        <f t="shared" si="11"/>
        <v>1</v>
      </c>
      <c r="O31" s="65">
        <v>15</v>
      </c>
      <c r="P31" s="23">
        <v>15</v>
      </c>
      <c r="Q31" s="42"/>
      <c r="R31" s="42"/>
      <c r="S31" s="23"/>
      <c r="T31" s="20">
        <f t="shared" si="12"/>
        <v>15</v>
      </c>
      <c r="U31" s="19"/>
      <c r="V31" s="61"/>
      <c r="W31" s="48"/>
      <c r="X31" s="59"/>
      <c r="Y31" s="59"/>
      <c r="Z31" s="21"/>
      <c r="AA31" s="20">
        <f t="shared" si="13"/>
        <v>0</v>
      </c>
      <c r="AB31" s="19">
        <f t="shared" si="14"/>
        <v>0</v>
      </c>
      <c r="AC31" s="16">
        <v>20</v>
      </c>
      <c r="AD31" s="18"/>
      <c r="AE31" s="17"/>
      <c r="AF31" s="23">
        <f t="shared" si="15"/>
        <v>0</v>
      </c>
      <c r="AG31" s="16">
        <v>45</v>
      </c>
      <c r="AH31" s="23">
        <f t="shared" si="16"/>
        <v>65</v>
      </c>
      <c r="AI31" s="14">
        <f t="shared" si="6"/>
        <v>1.0049999999999999</v>
      </c>
      <c r="AJ31" s="13"/>
      <c r="AK31" s="12">
        <v>0.01</v>
      </c>
      <c r="AL31" s="11">
        <f t="shared" si="7"/>
        <v>1.01</v>
      </c>
      <c r="AM31" s="10">
        <f t="shared" si="8"/>
        <v>7133849000</v>
      </c>
      <c r="AN31" s="9"/>
      <c r="AO31" s="16"/>
      <c r="AP31" s="81"/>
      <c r="AQ31" s="81"/>
      <c r="AR31" s="8"/>
      <c r="AS31" s="7"/>
      <c r="AT31" s="6">
        <f t="shared" si="9"/>
        <v>0</v>
      </c>
    </row>
    <row r="32" spans="1:46" s="37" customFormat="1" ht="45.75" customHeight="1" thickBot="1" x14ac:dyDescent="0.2">
      <c r="A32" s="35"/>
      <c r="B32" s="35"/>
      <c r="C32" s="73"/>
      <c r="D32" s="73"/>
      <c r="E32" s="73"/>
      <c r="F32" s="73"/>
      <c r="G32" s="73"/>
      <c r="H32" s="45"/>
      <c r="I32" s="38">
        <v>0.51</v>
      </c>
      <c r="J32" s="30">
        <v>0.49</v>
      </c>
      <c r="K32" s="29"/>
      <c r="L32" s="28"/>
      <c r="M32" s="27"/>
      <c r="N32" s="26">
        <f t="shared" si="11"/>
        <v>1</v>
      </c>
      <c r="O32" s="65">
        <v>15</v>
      </c>
      <c r="P32" s="23">
        <v>15</v>
      </c>
      <c r="Q32" s="42"/>
      <c r="R32" s="42"/>
      <c r="S32" s="42"/>
      <c r="T32" s="20">
        <f t="shared" si="12"/>
        <v>15</v>
      </c>
      <c r="U32" s="19"/>
      <c r="V32" s="85"/>
      <c r="W32" s="59"/>
      <c r="X32" s="54"/>
      <c r="Y32" s="54"/>
      <c r="Z32" s="21"/>
      <c r="AA32" s="20">
        <f t="shared" si="13"/>
        <v>0</v>
      </c>
      <c r="AB32" s="19">
        <f t="shared" si="14"/>
        <v>0</v>
      </c>
      <c r="AC32" s="16">
        <v>20</v>
      </c>
      <c r="AD32" s="18"/>
      <c r="AE32" s="17"/>
      <c r="AF32" s="23">
        <f t="shared" si="15"/>
        <v>0</v>
      </c>
      <c r="AG32" s="16">
        <v>45</v>
      </c>
      <c r="AH32" s="23">
        <f t="shared" si="16"/>
        <v>65</v>
      </c>
      <c r="AI32" s="14">
        <f t="shared" si="6"/>
        <v>1.0049999999999999</v>
      </c>
      <c r="AJ32" s="13"/>
      <c r="AK32" s="12">
        <v>0.01</v>
      </c>
      <c r="AL32" s="11">
        <f t="shared" si="7"/>
        <v>1.01</v>
      </c>
      <c r="AM32" s="10">
        <f t="shared" si="8"/>
        <v>7133849000</v>
      </c>
      <c r="AN32" s="9"/>
      <c r="AO32" s="8"/>
      <c r="AP32" s="8"/>
      <c r="AQ32" s="8"/>
      <c r="AR32" s="8"/>
      <c r="AS32" s="7"/>
      <c r="AT32" s="6">
        <f t="shared" si="9"/>
        <v>0</v>
      </c>
    </row>
    <row r="33" spans="1:46" s="37" customFormat="1" ht="45.75" customHeight="1" thickBot="1" x14ac:dyDescent="0.2">
      <c r="A33" s="35"/>
      <c r="B33" s="35"/>
      <c r="C33" s="73"/>
      <c r="D33" s="73"/>
      <c r="E33" s="73"/>
      <c r="F33" s="73"/>
      <c r="G33" s="73"/>
      <c r="H33" s="32"/>
      <c r="I33" s="38">
        <v>0.51</v>
      </c>
      <c r="J33" s="30">
        <v>0.49</v>
      </c>
      <c r="K33" s="29"/>
      <c r="L33" s="28"/>
      <c r="M33" s="27"/>
      <c r="N33" s="26">
        <f t="shared" si="11"/>
        <v>1</v>
      </c>
      <c r="O33" s="25">
        <v>15</v>
      </c>
      <c r="P33" s="23">
        <v>15</v>
      </c>
      <c r="Q33" s="24"/>
      <c r="R33" s="24"/>
      <c r="S33" s="23"/>
      <c r="T33" s="20">
        <f t="shared" si="12"/>
        <v>15</v>
      </c>
      <c r="U33" s="19"/>
      <c r="V33" s="22"/>
      <c r="W33" s="22"/>
      <c r="X33" s="22"/>
      <c r="Y33" s="22"/>
      <c r="Z33" s="21"/>
      <c r="AA33" s="20">
        <f t="shared" si="13"/>
        <v>0</v>
      </c>
      <c r="AB33" s="19">
        <f t="shared" si="14"/>
        <v>0</v>
      </c>
      <c r="AC33" s="16">
        <v>20</v>
      </c>
      <c r="AD33" s="18"/>
      <c r="AE33" s="17"/>
      <c r="AF33" s="23">
        <f t="shared" si="15"/>
        <v>0</v>
      </c>
      <c r="AG33" s="16">
        <v>45</v>
      </c>
      <c r="AH33" s="23">
        <f t="shared" si="16"/>
        <v>65</v>
      </c>
      <c r="AI33" s="14">
        <f t="shared" si="6"/>
        <v>1.0049999999999999</v>
      </c>
      <c r="AJ33" s="13"/>
      <c r="AK33" s="12">
        <v>0.01</v>
      </c>
      <c r="AL33" s="11">
        <f t="shared" si="7"/>
        <v>1.01</v>
      </c>
      <c r="AM33" s="10">
        <f t="shared" si="8"/>
        <v>7133849000</v>
      </c>
      <c r="AN33" s="9"/>
      <c r="AO33" s="8"/>
      <c r="AP33" s="8"/>
      <c r="AQ33" s="8"/>
      <c r="AR33" s="8"/>
      <c r="AS33" s="7"/>
      <c r="AT33" s="6">
        <f t="shared" si="9"/>
        <v>0</v>
      </c>
    </row>
    <row r="34" spans="1:46" s="37" customFormat="1" ht="45.75" customHeight="1" thickBot="1" x14ac:dyDescent="0.2">
      <c r="A34" s="35"/>
      <c r="B34" s="35"/>
      <c r="C34" s="73"/>
      <c r="D34" s="73"/>
      <c r="E34" s="73"/>
      <c r="F34" s="73"/>
      <c r="G34" s="73"/>
      <c r="H34" s="32"/>
      <c r="I34" s="38">
        <v>0.51</v>
      </c>
      <c r="J34" s="30">
        <v>0.49</v>
      </c>
      <c r="K34" s="29"/>
      <c r="L34" s="28"/>
      <c r="M34" s="27"/>
      <c r="N34" s="26">
        <f t="shared" si="11"/>
        <v>1</v>
      </c>
      <c r="O34" s="25">
        <v>15</v>
      </c>
      <c r="P34" s="23">
        <v>15</v>
      </c>
      <c r="Q34" s="24"/>
      <c r="R34" s="24"/>
      <c r="S34" s="23"/>
      <c r="T34" s="20">
        <f t="shared" si="12"/>
        <v>15</v>
      </c>
      <c r="U34" s="19"/>
      <c r="V34" s="59"/>
      <c r="W34" s="59"/>
      <c r="X34" s="22"/>
      <c r="Y34" s="22"/>
      <c r="Z34" s="21"/>
      <c r="AA34" s="20">
        <f t="shared" si="13"/>
        <v>0</v>
      </c>
      <c r="AB34" s="19">
        <f t="shared" si="14"/>
        <v>0</v>
      </c>
      <c r="AC34" s="16">
        <v>20</v>
      </c>
      <c r="AD34" s="18"/>
      <c r="AE34" s="17"/>
      <c r="AF34" s="23">
        <f t="shared" si="15"/>
        <v>0</v>
      </c>
      <c r="AG34" s="16">
        <v>45</v>
      </c>
      <c r="AH34" s="23">
        <f t="shared" si="16"/>
        <v>65</v>
      </c>
      <c r="AI34" s="14">
        <f t="shared" si="6"/>
        <v>1.0049999999999999</v>
      </c>
      <c r="AJ34" s="13"/>
      <c r="AK34" s="12">
        <v>0.01</v>
      </c>
      <c r="AL34" s="11">
        <f t="shared" si="7"/>
        <v>1.01</v>
      </c>
      <c r="AM34" s="10">
        <f t="shared" si="8"/>
        <v>7133849000</v>
      </c>
      <c r="AN34" s="9"/>
      <c r="AO34" s="8"/>
      <c r="AP34" s="8"/>
      <c r="AQ34" s="8"/>
      <c r="AR34" s="8"/>
      <c r="AS34" s="7"/>
      <c r="AT34" s="6">
        <f t="shared" si="9"/>
        <v>0</v>
      </c>
    </row>
    <row r="35" spans="1:46" s="37" customFormat="1" ht="45.75" customHeight="1" thickBot="1" x14ac:dyDescent="0.2">
      <c r="A35" s="35"/>
      <c r="B35" s="35"/>
      <c r="C35" s="73"/>
      <c r="D35" s="73"/>
      <c r="E35" s="73"/>
      <c r="F35" s="73"/>
      <c r="G35" s="73"/>
      <c r="H35" s="45"/>
      <c r="I35" s="38">
        <v>0.51</v>
      </c>
      <c r="J35" s="30">
        <v>0.49</v>
      </c>
      <c r="K35" s="29"/>
      <c r="L35" s="28"/>
      <c r="M35" s="27"/>
      <c r="N35" s="26">
        <f t="shared" si="11"/>
        <v>1</v>
      </c>
      <c r="O35" s="23">
        <v>15</v>
      </c>
      <c r="P35" s="23">
        <v>15</v>
      </c>
      <c r="Q35" s="23"/>
      <c r="R35" s="24"/>
      <c r="S35" s="23"/>
      <c r="T35" s="20">
        <f t="shared" si="12"/>
        <v>15</v>
      </c>
      <c r="U35" s="19"/>
      <c r="V35" s="48"/>
      <c r="W35" s="22"/>
      <c r="X35" s="59"/>
      <c r="Y35" s="41"/>
      <c r="Z35" s="68"/>
      <c r="AA35" s="20">
        <f t="shared" si="13"/>
        <v>0</v>
      </c>
      <c r="AB35" s="19">
        <f t="shared" si="14"/>
        <v>0</v>
      </c>
      <c r="AC35" s="16">
        <v>20</v>
      </c>
      <c r="AD35" s="18"/>
      <c r="AE35" s="17"/>
      <c r="AF35" s="23">
        <f t="shared" si="15"/>
        <v>0</v>
      </c>
      <c r="AG35" s="16">
        <v>45</v>
      </c>
      <c r="AH35" s="23">
        <f t="shared" si="16"/>
        <v>65</v>
      </c>
      <c r="AI35" s="14">
        <f t="shared" si="6"/>
        <v>1.0049999999999999</v>
      </c>
      <c r="AJ35" s="13"/>
      <c r="AK35" s="12">
        <v>0.01</v>
      </c>
      <c r="AL35" s="11">
        <f t="shared" si="7"/>
        <v>1.01</v>
      </c>
      <c r="AM35" s="10">
        <f t="shared" si="8"/>
        <v>7133849000</v>
      </c>
      <c r="AN35" s="9"/>
      <c r="AO35" s="8"/>
      <c r="AP35" s="8"/>
      <c r="AQ35" s="8"/>
      <c r="AR35" s="8"/>
      <c r="AS35" s="7"/>
      <c r="AT35" s="6">
        <f t="shared" si="9"/>
        <v>0</v>
      </c>
    </row>
    <row r="36" spans="1:46" s="37" customFormat="1" ht="45.75" customHeight="1" thickBot="1" x14ac:dyDescent="0.2">
      <c r="A36" s="35"/>
      <c r="B36" s="35"/>
      <c r="C36" s="73"/>
      <c r="D36" s="73"/>
      <c r="E36" s="73"/>
      <c r="F36" s="73"/>
      <c r="G36" s="73"/>
      <c r="H36" s="32"/>
      <c r="I36" s="38">
        <v>0.51</v>
      </c>
      <c r="J36" s="30">
        <v>0.49</v>
      </c>
      <c r="K36" s="29"/>
      <c r="L36" s="28"/>
      <c r="M36" s="27"/>
      <c r="N36" s="26">
        <f t="shared" si="11"/>
        <v>1</v>
      </c>
      <c r="O36" s="25">
        <v>15</v>
      </c>
      <c r="P36" s="23">
        <v>15</v>
      </c>
      <c r="Q36" s="24"/>
      <c r="R36" s="24"/>
      <c r="S36" s="23"/>
      <c r="T36" s="20">
        <f t="shared" si="12"/>
        <v>15</v>
      </c>
      <c r="U36" s="19"/>
      <c r="V36" s="61"/>
      <c r="W36" s="79"/>
      <c r="X36" s="22"/>
      <c r="Y36" s="22"/>
      <c r="Z36" s="21"/>
      <c r="AA36" s="20">
        <f t="shared" si="13"/>
        <v>0</v>
      </c>
      <c r="AB36" s="19">
        <f t="shared" si="14"/>
        <v>0</v>
      </c>
      <c r="AC36" s="16">
        <v>20</v>
      </c>
      <c r="AD36" s="18"/>
      <c r="AE36" s="17"/>
      <c r="AF36" s="23">
        <f t="shared" si="15"/>
        <v>0</v>
      </c>
      <c r="AG36" s="16">
        <v>45</v>
      </c>
      <c r="AH36" s="23">
        <f t="shared" si="16"/>
        <v>65</v>
      </c>
      <c r="AI36" s="14">
        <f t="shared" si="6"/>
        <v>1.0049999999999999</v>
      </c>
      <c r="AJ36" s="13"/>
      <c r="AK36" s="12">
        <v>0.01</v>
      </c>
      <c r="AL36" s="11">
        <f t="shared" si="7"/>
        <v>1.01</v>
      </c>
      <c r="AM36" s="10">
        <f t="shared" si="8"/>
        <v>7133849000</v>
      </c>
      <c r="AN36" s="9"/>
      <c r="AO36" s="8"/>
      <c r="AP36" s="8"/>
      <c r="AQ36" s="8"/>
      <c r="AR36" s="8"/>
      <c r="AS36" s="7"/>
      <c r="AT36" s="6">
        <f t="shared" si="9"/>
        <v>0</v>
      </c>
    </row>
    <row r="37" spans="1:46" s="37" customFormat="1" ht="45.75" customHeight="1" thickBot="1" x14ac:dyDescent="0.2">
      <c r="A37" s="35"/>
      <c r="B37" s="35"/>
      <c r="C37" s="73"/>
      <c r="D37" s="73"/>
      <c r="E37" s="73"/>
      <c r="F37" s="73"/>
      <c r="G37" s="73"/>
      <c r="H37" s="50"/>
      <c r="I37" s="38">
        <v>0.7</v>
      </c>
      <c r="J37" s="30">
        <v>0.3</v>
      </c>
      <c r="K37" s="29"/>
      <c r="L37" s="28"/>
      <c r="M37" s="27"/>
      <c r="N37" s="26">
        <f t="shared" si="11"/>
        <v>1</v>
      </c>
      <c r="O37" s="44">
        <v>15</v>
      </c>
      <c r="P37" s="43">
        <v>15</v>
      </c>
      <c r="Q37" s="24"/>
      <c r="R37" s="42"/>
      <c r="S37" s="42"/>
      <c r="T37" s="20">
        <f t="shared" si="12"/>
        <v>15</v>
      </c>
      <c r="U37" s="19"/>
      <c r="V37" s="41"/>
      <c r="W37" s="59"/>
      <c r="X37" s="54"/>
      <c r="Y37" s="48"/>
      <c r="Z37" s="21"/>
      <c r="AA37" s="20">
        <f t="shared" si="13"/>
        <v>0</v>
      </c>
      <c r="AB37" s="19">
        <f t="shared" si="14"/>
        <v>0</v>
      </c>
      <c r="AC37" s="16">
        <v>20</v>
      </c>
      <c r="AD37" s="18"/>
      <c r="AE37" s="17"/>
      <c r="AF37" s="23">
        <f t="shared" si="15"/>
        <v>0</v>
      </c>
      <c r="AG37" s="16">
        <v>45</v>
      </c>
      <c r="AH37" s="23">
        <f t="shared" si="16"/>
        <v>65</v>
      </c>
      <c r="AI37" s="14">
        <f t="shared" si="6"/>
        <v>1.0049999999999999</v>
      </c>
      <c r="AJ37" s="13"/>
      <c r="AK37" s="12">
        <v>0.01</v>
      </c>
      <c r="AL37" s="11">
        <f t="shared" si="7"/>
        <v>1.01</v>
      </c>
      <c r="AM37" s="10">
        <f t="shared" si="8"/>
        <v>7133849000</v>
      </c>
      <c r="AN37" s="9"/>
      <c r="AO37" s="8"/>
      <c r="AP37" s="8"/>
      <c r="AQ37" s="8"/>
      <c r="AR37" s="8"/>
      <c r="AS37" s="7"/>
      <c r="AT37" s="6">
        <f t="shared" si="9"/>
        <v>0</v>
      </c>
    </row>
    <row r="38" spans="1:46" s="37" customFormat="1" ht="45.75" customHeight="1" thickBot="1" x14ac:dyDescent="0.2">
      <c r="A38" s="35"/>
      <c r="B38" s="35"/>
      <c r="C38" s="73"/>
      <c r="D38" s="73"/>
      <c r="E38" s="73"/>
      <c r="F38" s="73"/>
      <c r="G38" s="73"/>
      <c r="H38" s="50"/>
      <c r="I38" s="38">
        <v>0.51</v>
      </c>
      <c r="J38" s="30">
        <v>0.49</v>
      </c>
      <c r="K38" s="29"/>
      <c r="L38" s="28"/>
      <c r="M38" s="27"/>
      <c r="N38" s="26">
        <f t="shared" si="11"/>
        <v>1</v>
      </c>
      <c r="O38" s="44">
        <v>15</v>
      </c>
      <c r="P38" s="43">
        <v>15</v>
      </c>
      <c r="Q38" s="42"/>
      <c r="R38" s="42"/>
      <c r="S38" s="42"/>
      <c r="T38" s="20">
        <f t="shared" si="12"/>
        <v>15</v>
      </c>
      <c r="U38" s="19"/>
      <c r="V38" s="48"/>
      <c r="W38" s="68"/>
      <c r="X38" s="48"/>
      <c r="Y38" s="48"/>
      <c r="Z38" s="21"/>
      <c r="AA38" s="20">
        <f t="shared" si="13"/>
        <v>0</v>
      </c>
      <c r="AB38" s="19">
        <f t="shared" si="14"/>
        <v>0</v>
      </c>
      <c r="AC38" s="16">
        <v>20</v>
      </c>
      <c r="AD38" s="18"/>
      <c r="AE38" s="17"/>
      <c r="AF38" s="23">
        <f t="shared" si="15"/>
        <v>0</v>
      </c>
      <c r="AG38" s="16">
        <v>45</v>
      </c>
      <c r="AH38" s="23">
        <f t="shared" si="16"/>
        <v>65</v>
      </c>
      <c r="AI38" s="14">
        <f t="shared" si="6"/>
        <v>1.0049999999999999</v>
      </c>
      <c r="AJ38" s="13"/>
      <c r="AK38" s="12">
        <v>0.01</v>
      </c>
      <c r="AL38" s="11">
        <f t="shared" si="7"/>
        <v>1.01</v>
      </c>
      <c r="AM38" s="10">
        <f t="shared" si="8"/>
        <v>7133849000</v>
      </c>
      <c r="AN38" s="9"/>
      <c r="AO38" s="8"/>
      <c r="AP38" s="8"/>
      <c r="AQ38" s="8"/>
      <c r="AR38" s="8"/>
      <c r="AS38" s="7"/>
      <c r="AT38" s="6">
        <f t="shared" si="9"/>
        <v>0</v>
      </c>
    </row>
    <row r="39" spans="1:46" s="37" customFormat="1" ht="45.75" customHeight="1" thickBot="1" x14ac:dyDescent="0.2">
      <c r="A39" s="35"/>
      <c r="B39" s="35"/>
      <c r="C39" s="73"/>
      <c r="D39" s="73"/>
      <c r="E39" s="73"/>
      <c r="F39" s="73"/>
      <c r="G39" s="73"/>
      <c r="H39" s="50"/>
      <c r="I39" s="38">
        <v>0.51</v>
      </c>
      <c r="J39" s="30">
        <v>0.49</v>
      </c>
      <c r="K39" s="29"/>
      <c r="L39" s="28"/>
      <c r="M39" s="27"/>
      <c r="N39" s="26">
        <f t="shared" si="11"/>
        <v>1</v>
      </c>
      <c r="O39" s="25">
        <v>15</v>
      </c>
      <c r="P39" s="24">
        <v>15</v>
      </c>
      <c r="Q39" s="42"/>
      <c r="R39" s="42"/>
      <c r="S39" s="42"/>
      <c r="T39" s="20">
        <f t="shared" si="12"/>
        <v>15</v>
      </c>
      <c r="U39" s="19"/>
      <c r="V39" s="22"/>
      <c r="W39" s="22"/>
      <c r="X39" s="22"/>
      <c r="Y39" s="57"/>
      <c r="Z39" s="21"/>
      <c r="AA39" s="20">
        <f t="shared" si="13"/>
        <v>0</v>
      </c>
      <c r="AB39" s="19">
        <f t="shared" si="14"/>
        <v>0</v>
      </c>
      <c r="AC39" s="16">
        <v>20</v>
      </c>
      <c r="AD39" s="18"/>
      <c r="AE39" s="17"/>
      <c r="AF39" s="23">
        <f t="shared" si="15"/>
        <v>0</v>
      </c>
      <c r="AG39" s="16">
        <v>45</v>
      </c>
      <c r="AH39" s="23">
        <f t="shared" si="16"/>
        <v>65</v>
      </c>
      <c r="AI39" s="14">
        <f t="shared" si="6"/>
        <v>1.0049999999999999</v>
      </c>
      <c r="AJ39" s="13"/>
      <c r="AK39" s="12">
        <v>0.01</v>
      </c>
      <c r="AL39" s="11">
        <f t="shared" si="7"/>
        <v>1.01</v>
      </c>
      <c r="AM39" s="10">
        <f t="shared" si="8"/>
        <v>7133849000</v>
      </c>
      <c r="AN39" s="9"/>
      <c r="AO39" s="8"/>
      <c r="AP39" s="8"/>
      <c r="AQ39" s="8"/>
      <c r="AR39" s="8"/>
      <c r="AS39" s="7"/>
      <c r="AT39" s="6">
        <f t="shared" si="9"/>
        <v>0</v>
      </c>
    </row>
    <row r="40" spans="1:46" s="37" customFormat="1" ht="45.75" customHeight="1" thickBot="1" x14ac:dyDescent="0.2">
      <c r="A40" s="36"/>
      <c r="B40" s="35"/>
      <c r="C40" s="73"/>
      <c r="D40" s="73"/>
      <c r="E40" s="73"/>
      <c r="F40" s="73"/>
      <c r="G40" s="73"/>
      <c r="H40" s="45"/>
      <c r="I40" s="38">
        <v>0.51</v>
      </c>
      <c r="J40" s="30">
        <v>0.49</v>
      </c>
      <c r="K40" s="29"/>
      <c r="L40" s="28"/>
      <c r="M40" s="27"/>
      <c r="N40" s="26">
        <f t="shared" si="11"/>
        <v>1</v>
      </c>
      <c r="O40" s="44">
        <v>15</v>
      </c>
      <c r="P40" s="43">
        <v>15</v>
      </c>
      <c r="Q40" s="42"/>
      <c r="R40" s="42"/>
      <c r="S40" s="42"/>
      <c r="T40" s="20">
        <f t="shared" si="12"/>
        <v>15</v>
      </c>
      <c r="U40" s="19"/>
      <c r="V40" s="54"/>
      <c r="W40" s="48"/>
      <c r="X40" s="41"/>
      <c r="Y40" s="48"/>
      <c r="Z40" s="21"/>
      <c r="AA40" s="20">
        <f t="shared" si="13"/>
        <v>0</v>
      </c>
      <c r="AB40" s="19">
        <f t="shared" si="14"/>
        <v>0</v>
      </c>
      <c r="AC40" s="16">
        <v>20</v>
      </c>
      <c r="AD40" s="18"/>
      <c r="AE40" s="17"/>
      <c r="AF40" s="23">
        <f t="shared" si="15"/>
        <v>0</v>
      </c>
      <c r="AG40" s="16">
        <v>45</v>
      </c>
      <c r="AH40" s="23">
        <f t="shared" si="16"/>
        <v>65</v>
      </c>
      <c r="AI40" s="14">
        <f t="shared" si="6"/>
        <v>1.0049999999999999</v>
      </c>
      <c r="AJ40" s="13"/>
      <c r="AK40" s="12">
        <v>0.01</v>
      </c>
      <c r="AL40" s="11">
        <f t="shared" si="7"/>
        <v>1.01</v>
      </c>
      <c r="AM40" s="10">
        <f t="shared" si="8"/>
        <v>7133849000</v>
      </c>
      <c r="AN40" s="9"/>
      <c r="AO40" s="8"/>
      <c r="AP40" s="8"/>
      <c r="AQ40" s="8"/>
      <c r="AR40" s="8"/>
      <c r="AS40" s="7"/>
      <c r="AT40" s="6">
        <f t="shared" si="9"/>
        <v>0</v>
      </c>
    </row>
    <row r="41" spans="1:46" s="37" customFormat="1" ht="45.75" customHeight="1" thickBot="1" x14ac:dyDescent="0.2">
      <c r="A41" s="36"/>
      <c r="B41" s="55"/>
      <c r="C41" s="73"/>
      <c r="D41" s="73"/>
      <c r="E41" s="73"/>
      <c r="F41" s="73"/>
      <c r="G41" s="73"/>
      <c r="H41" s="32"/>
      <c r="I41" s="38">
        <v>0.51</v>
      </c>
      <c r="J41" s="30">
        <v>0.49</v>
      </c>
      <c r="K41" s="29"/>
      <c r="L41" s="28"/>
      <c r="M41" s="27"/>
      <c r="N41" s="26">
        <f t="shared" si="11"/>
        <v>1</v>
      </c>
      <c r="O41" s="25">
        <v>15</v>
      </c>
      <c r="P41" s="43">
        <v>15</v>
      </c>
      <c r="Q41" s="24"/>
      <c r="R41" s="24"/>
      <c r="S41" s="23"/>
      <c r="T41" s="20">
        <f t="shared" si="12"/>
        <v>15</v>
      </c>
      <c r="U41" s="19"/>
      <c r="V41" s="61"/>
      <c r="W41" s="59"/>
      <c r="X41" s="22"/>
      <c r="Y41" s="22"/>
      <c r="Z41" s="21"/>
      <c r="AA41" s="20">
        <f t="shared" si="13"/>
        <v>0</v>
      </c>
      <c r="AB41" s="19">
        <f t="shared" si="14"/>
        <v>0</v>
      </c>
      <c r="AC41" s="16">
        <v>20</v>
      </c>
      <c r="AD41" s="18"/>
      <c r="AE41" s="17"/>
      <c r="AF41" s="23">
        <f t="shared" si="15"/>
        <v>0</v>
      </c>
      <c r="AG41" s="16">
        <v>45</v>
      </c>
      <c r="AH41" s="23">
        <f t="shared" si="16"/>
        <v>65</v>
      </c>
      <c r="AI41" s="14">
        <f t="shared" si="6"/>
        <v>1.0049999999999999</v>
      </c>
      <c r="AJ41" s="13"/>
      <c r="AK41" s="12">
        <v>0.01</v>
      </c>
      <c r="AL41" s="11">
        <f t="shared" si="7"/>
        <v>1.01</v>
      </c>
      <c r="AM41" s="10">
        <f t="shared" si="8"/>
        <v>7133849000</v>
      </c>
      <c r="AN41" s="9"/>
      <c r="AO41" s="8"/>
      <c r="AP41" s="8"/>
      <c r="AQ41" s="8"/>
      <c r="AR41" s="8"/>
      <c r="AS41" s="7"/>
      <c r="AT41" s="6">
        <f t="shared" si="9"/>
        <v>0</v>
      </c>
    </row>
    <row r="42" spans="1:46" s="37" customFormat="1" ht="45.75" customHeight="1" thickBot="1" x14ac:dyDescent="0.2">
      <c r="A42" s="35"/>
      <c r="B42" s="35"/>
      <c r="C42" s="73"/>
      <c r="D42" s="73"/>
      <c r="E42" s="73"/>
      <c r="F42" s="73"/>
      <c r="G42" s="73"/>
      <c r="H42" s="45"/>
      <c r="I42" s="38">
        <v>0.51</v>
      </c>
      <c r="J42" s="30">
        <v>0.49</v>
      </c>
      <c r="K42" s="29"/>
      <c r="L42" s="28"/>
      <c r="M42" s="27"/>
      <c r="N42" s="26">
        <f t="shared" si="11"/>
        <v>1</v>
      </c>
      <c r="O42" s="65">
        <v>15</v>
      </c>
      <c r="P42" s="23">
        <v>15</v>
      </c>
      <c r="Q42" s="42"/>
      <c r="R42" s="42"/>
      <c r="S42" s="23"/>
      <c r="T42" s="20">
        <f t="shared" si="12"/>
        <v>15</v>
      </c>
      <c r="U42" s="19"/>
      <c r="V42" s="52"/>
      <c r="W42" s="59"/>
      <c r="X42" s="59"/>
      <c r="Y42" s="79"/>
      <c r="Z42" s="21"/>
      <c r="AA42" s="20">
        <f t="shared" si="13"/>
        <v>0</v>
      </c>
      <c r="AB42" s="19">
        <f t="shared" si="14"/>
        <v>0</v>
      </c>
      <c r="AC42" s="16">
        <v>20</v>
      </c>
      <c r="AD42" s="18"/>
      <c r="AE42" s="17"/>
      <c r="AF42" s="23">
        <f t="shared" si="15"/>
        <v>0</v>
      </c>
      <c r="AG42" s="16">
        <v>45</v>
      </c>
      <c r="AH42" s="23">
        <f t="shared" si="16"/>
        <v>65</v>
      </c>
      <c r="AI42" s="14">
        <f t="shared" si="6"/>
        <v>1.0049999999999999</v>
      </c>
      <c r="AJ42" s="13"/>
      <c r="AK42" s="12">
        <v>0.01</v>
      </c>
      <c r="AL42" s="11">
        <f t="shared" si="7"/>
        <v>1.01</v>
      </c>
      <c r="AM42" s="10">
        <f t="shared" si="8"/>
        <v>7133849000</v>
      </c>
      <c r="AN42" s="9"/>
      <c r="AO42" s="16"/>
      <c r="AP42" s="72"/>
      <c r="AQ42" s="72"/>
      <c r="AR42" s="8"/>
      <c r="AS42" s="7"/>
      <c r="AT42" s="6">
        <f t="shared" si="9"/>
        <v>0</v>
      </c>
    </row>
    <row r="43" spans="1:46" s="37" customFormat="1" ht="45.75" customHeight="1" thickBot="1" x14ac:dyDescent="0.2">
      <c r="A43" s="35"/>
      <c r="B43" s="35"/>
      <c r="C43" s="73"/>
      <c r="D43" s="73"/>
      <c r="E43" s="73"/>
      <c r="F43" s="73"/>
      <c r="G43" s="73"/>
      <c r="H43" s="45"/>
      <c r="I43" s="38">
        <v>0.51</v>
      </c>
      <c r="J43" s="30">
        <v>0.49</v>
      </c>
      <c r="K43" s="29"/>
      <c r="L43" s="28"/>
      <c r="M43" s="27"/>
      <c r="N43" s="26">
        <f t="shared" si="11"/>
        <v>1</v>
      </c>
      <c r="O43" s="65">
        <v>15</v>
      </c>
      <c r="P43" s="23">
        <v>15</v>
      </c>
      <c r="Q43" s="42"/>
      <c r="R43" s="42"/>
      <c r="S43" s="23"/>
      <c r="T43" s="20">
        <f t="shared" ref="T43:T68" si="17">ROUND(((O43*I43)+(P43*J43)+(Q43*K43)+(R43*L43)+(S43*M43)),2)</f>
        <v>15</v>
      </c>
      <c r="U43" s="19">
        <f t="shared" ref="U43:U68" si="18">IF(T43&gt;=15,15,T43)</f>
        <v>15</v>
      </c>
      <c r="V43" s="61"/>
      <c r="W43" s="59"/>
      <c r="X43" s="59"/>
      <c r="Y43" s="22"/>
      <c r="Z43" s="68"/>
      <c r="AA43" s="20">
        <f t="shared" si="13"/>
        <v>0</v>
      </c>
      <c r="AB43" s="19">
        <f t="shared" si="14"/>
        <v>0</v>
      </c>
      <c r="AC43" s="16">
        <v>20</v>
      </c>
      <c r="AD43" s="18"/>
      <c r="AE43" s="17"/>
      <c r="AF43" s="23">
        <f t="shared" si="15"/>
        <v>15</v>
      </c>
      <c r="AG43" s="16">
        <v>45</v>
      </c>
      <c r="AH43" s="23">
        <f t="shared" si="16"/>
        <v>80</v>
      </c>
      <c r="AI43" s="14">
        <f t="shared" si="6"/>
        <v>0.93</v>
      </c>
      <c r="AJ43" s="13"/>
      <c r="AK43" s="12">
        <v>0.01</v>
      </c>
      <c r="AL43" s="11">
        <f t="shared" si="7"/>
        <v>1.01</v>
      </c>
      <c r="AM43" s="10">
        <f t="shared" si="8"/>
        <v>6601472000</v>
      </c>
      <c r="AN43" s="9"/>
      <c r="AO43" s="16"/>
      <c r="AP43" s="71"/>
      <c r="AQ43" s="71"/>
      <c r="AR43" s="8"/>
      <c r="AS43" s="7"/>
      <c r="AT43" s="6">
        <f t="shared" si="9"/>
        <v>0</v>
      </c>
    </row>
    <row r="44" spans="1:46" s="37" customFormat="1" ht="45.75" customHeight="1" thickBot="1" x14ac:dyDescent="0.2">
      <c r="A44" s="35"/>
      <c r="B44" s="35"/>
      <c r="C44" s="73"/>
      <c r="D44" s="73"/>
      <c r="E44" s="73"/>
      <c r="F44" s="73"/>
      <c r="G44" s="73"/>
      <c r="H44" s="45"/>
      <c r="I44" s="38">
        <v>0.51</v>
      </c>
      <c r="J44" s="30">
        <v>0.49</v>
      </c>
      <c r="K44" s="29"/>
      <c r="L44" s="30"/>
      <c r="M44" s="27"/>
      <c r="N44" s="26">
        <f t="shared" si="11"/>
        <v>1</v>
      </c>
      <c r="O44" s="65">
        <v>15</v>
      </c>
      <c r="P44" s="23">
        <v>15</v>
      </c>
      <c r="Q44" s="42"/>
      <c r="R44" s="42"/>
      <c r="S44" s="42"/>
      <c r="T44" s="20">
        <f t="shared" si="17"/>
        <v>15</v>
      </c>
      <c r="U44" s="19">
        <f t="shared" si="18"/>
        <v>15</v>
      </c>
      <c r="V44" s="68"/>
      <c r="W44" s="68">
        <v>1966034000</v>
      </c>
      <c r="X44" s="59">
        <v>3324955000</v>
      </c>
      <c r="Y44" s="68"/>
      <c r="Z44" s="59"/>
      <c r="AA44" s="20">
        <f t="shared" ref="AA44:AA68" si="19">ROUND((((V44*I44)+(W44*J44)+(X44*K44)+(Y44*L44)+(Z44*M44))/$I$2*15),2)</f>
        <v>1.03</v>
      </c>
      <c r="AB44" s="19">
        <f t="shared" si="14"/>
        <v>1.03</v>
      </c>
      <c r="AC44" s="16">
        <v>20</v>
      </c>
      <c r="AD44" s="18"/>
      <c r="AE44" s="17"/>
      <c r="AF44" s="23">
        <f t="shared" si="15"/>
        <v>16.03</v>
      </c>
      <c r="AG44" s="16">
        <v>45</v>
      </c>
      <c r="AH44" s="23">
        <f t="shared" si="16"/>
        <v>81.03</v>
      </c>
      <c r="AI44" s="14">
        <f t="shared" si="6"/>
        <v>0.92484999999999995</v>
      </c>
      <c r="AJ44" s="13"/>
      <c r="AK44" s="12">
        <v>0.01</v>
      </c>
      <c r="AL44" s="11">
        <f t="shared" si="7"/>
        <v>1.01</v>
      </c>
      <c r="AM44" s="10">
        <f t="shared" si="8"/>
        <v>6564916000</v>
      </c>
      <c r="AN44" s="9"/>
      <c r="AO44" s="71"/>
      <c r="AP44" s="71"/>
      <c r="AQ44" s="71"/>
      <c r="AR44" s="8"/>
      <c r="AS44" s="7"/>
      <c r="AT44" s="6">
        <f t="shared" si="9"/>
        <v>0</v>
      </c>
    </row>
    <row r="45" spans="1:46" s="37" customFormat="1" ht="45.75" customHeight="1" thickBot="1" x14ac:dyDescent="0.2">
      <c r="A45" s="35"/>
      <c r="B45" s="35"/>
      <c r="C45" s="73"/>
      <c r="D45" s="73"/>
      <c r="E45" s="73"/>
      <c r="F45" s="73"/>
      <c r="G45" s="73"/>
      <c r="H45" s="45"/>
      <c r="I45" s="38">
        <v>0.51</v>
      </c>
      <c r="J45" s="30">
        <v>0.49</v>
      </c>
      <c r="K45" s="29"/>
      <c r="L45" s="28"/>
      <c r="M45" s="27"/>
      <c r="N45" s="26">
        <f t="shared" si="11"/>
        <v>1</v>
      </c>
      <c r="O45" s="65">
        <v>15</v>
      </c>
      <c r="P45" s="23">
        <v>15</v>
      </c>
      <c r="Q45" s="42"/>
      <c r="R45" s="42"/>
      <c r="S45" s="42"/>
      <c r="T45" s="20">
        <f t="shared" si="17"/>
        <v>15</v>
      </c>
      <c r="U45" s="19">
        <f t="shared" si="18"/>
        <v>15</v>
      </c>
      <c r="V45" s="61"/>
      <c r="W45" s="62">
        <v>9345491000</v>
      </c>
      <c r="X45" s="59"/>
      <c r="Y45" s="22"/>
      <c r="Z45" s="68"/>
      <c r="AA45" s="20">
        <f t="shared" si="19"/>
        <v>4.8899999999999997</v>
      </c>
      <c r="AB45" s="19">
        <f t="shared" si="14"/>
        <v>4.8899999999999997</v>
      </c>
      <c r="AC45" s="16">
        <v>20</v>
      </c>
      <c r="AD45" s="18"/>
      <c r="AE45" s="17"/>
      <c r="AF45" s="23">
        <f t="shared" si="15"/>
        <v>19.89</v>
      </c>
      <c r="AG45" s="16">
        <v>45</v>
      </c>
      <c r="AH45" s="23">
        <f t="shared" si="16"/>
        <v>84.89</v>
      </c>
      <c r="AI45" s="14">
        <f t="shared" si="6"/>
        <v>0.90555000000000008</v>
      </c>
      <c r="AJ45" s="13"/>
      <c r="AK45" s="12">
        <v>0.01</v>
      </c>
      <c r="AL45" s="11">
        <f t="shared" si="7"/>
        <v>1.01</v>
      </c>
      <c r="AM45" s="10">
        <f t="shared" si="8"/>
        <v>6427917000</v>
      </c>
      <c r="AN45" s="9"/>
      <c r="AO45" s="8"/>
      <c r="AP45" s="8"/>
      <c r="AQ45" s="8"/>
      <c r="AR45" s="8"/>
      <c r="AS45" s="7"/>
      <c r="AT45" s="6">
        <f t="shared" si="9"/>
        <v>0</v>
      </c>
    </row>
    <row r="46" spans="1:46" s="37" customFormat="1" ht="45.75" customHeight="1" thickBot="1" x14ac:dyDescent="0.2">
      <c r="A46" s="35"/>
      <c r="B46" s="35"/>
      <c r="C46" s="73"/>
      <c r="D46" s="73"/>
      <c r="E46" s="73"/>
      <c r="F46" s="73"/>
      <c r="G46" s="73"/>
      <c r="H46" s="45"/>
      <c r="I46" s="38">
        <v>0.51</v>
      </c>
      <c r="J46" s="30">
        <v>0.49</v>
      </c>
      <c r="K46" s="29"/>
      <c r="L46" s="28"/>
      <c r="M46" s="27"/>
      <c r="N46" s="26">
        <f t="shared" si="11"/>
        <v>1</v>
      </c>
      <c r="O46" s="65">
        <v>15</v>
      </c>
      <c r="P46" s="23">
        <v>15</v>
      </c>
      <c r="Q46" s="42"/>
      <c r="R46" s="42"/>
      <c r="S46" s="23"/>
      <c r="T46" s="20">
        <f t="shared" si="17"/>
        <v>15</v>
      </c>
      <c r="U46" s="19">
        <f t="shared" si="18"/>
        <v>15</v>
      </c>
      <c r="V46" s="68"/>
      <c r="W46" s="62"/>
      <c r="X46" s="78"/>
      <c r="Y46" s="22"/>
      <c r="Z46" s="68"/>
      <c r="AA46" s="20">
        <f t="shared" si="19"/>
        <v>0</v>
      </c>
      <c r="AB46" s="19">
        <f t="shared" si="14"/>
        <v>0</v>
      </c>
      <c r="AC46" s="16">
        <v>20</v>
      </c>
      <c r="AD46" s="18"/>
      <c r="AE46" s="17"/>
      <c r="AF46" s="23">
        <f t="shared" si="15"/>
        <v>15</v>
      </c>
      <c r="AG46" s="16">
        <v>45</v>
      </c>
      <c r="AH46" s="23">
        <f t="shared" si="16"/>
        <v>80</v>
      </c>
      <c r="AI46" s="14">
        <f t="shared" si="6"/>
        <v>0.93</v>
      </c>
      <c r="AJ46" s="13"/>
      <c r="AK46" s="12">
        <v>0.01</v>
      </c>
      <c r="AL46" s="11">
        <f t="shared" si="7"/>
        <v>1.01</v>
      </c>
      <c r="AM46" s="10">
        <f t="shared" si="8"/>
        <v>6601472000</v>
      </c>
      <c r="AN46" s="9"/>
      <c r="AO46" s="71"/>
      <c r="AP46" s="71"/>
      <c r="AQ46" s="71"/>
      <c r="AR46" s="8"/>
      <c r="AS46" s="7"/>
      <c r="AT46" s="6">
        <f t="shared" si="9"/>
        <v>0</v>
      </c>
    </row>
    <row r="47" spans="1:46" s="37" customFormat="1" ht="45.75" customHeight="1" thickBot="1" x14ac:dyDescent="0.2">
      <c r="A47" s="35"/>
      <c r="B47" s="35"/>
      <c r="C47" s="73"/>
      <c r="D47" s="73"/>
      <c r="E47" s="73"/>
      <c r="F47" s="73"/>
      <c r="G47" s="73"/>
      <c r="H47" s="77"/>
      <c r="I47" s="38">
        <v>0.51</v>
      </c>
      <c r="J47" s="30">
        <v>0.49</v>
      </c>
      <c r="K47" s="29"/>
      <c r="L47" s="28"/>
      <c r="M47" s="27"/>
      <c r="N47" s="26">
        <f t="shared" si="11"/>
        <v>1</v>
      </c>
      <c r="O47" s="65">
        <v>15</v>
      </c>
      <c r="P47" s="23">
        <v>15</v>
      </c>
      <c r="Q47" s="42"/>
      <c r="R47" s="42"/>
      <c r="S47" s="42"/>
      <c r="T47" s="20">
        <f t="shared" si="17"/>
        <v>15</v>
      </c>
      <c r="U47" s="19">
        <f t="shared" si="18"/>
        <v>15</v>
      </c>
      <c r="V47" s="22"/>
      <c r="W47" s="68"/>
      <c r="X47" s="59"/>
      <c r="Y47" s="22"/>
      <c r="Z47" s="68"/>
      <c r="AA47" s="20">
        <f t="shared" si="19"/>
        <v>0</v>
      </c>
      <c r="AB47" s="19">
        <f t="shared" si="14"/>
        <v>0</v>
      </c>
      <c r="AC47" s="16">
        <v>20</v>
      </c>
      <c r="AD47" s="18"/>
      <c r="AE47" s="17"/>
      <c r="AF47" s="23">
        <f t="shared" si="15"/>
        <v>15</v>
      </c>
      <c r="AG47" s="16">
        <v>45</v>
      </c>
      <c r="AH47" s="23">
        <f t="shared" si="16"/>
        <v>80</v>
      </c>
      <c r="AI47" s="14">
        <f t="shared" si="6"/>
        <v>0.93</v>
      </c>
      <c r="AJ47" s="13"/>
      <c r="AK47" s="12">
        <v>0.01</v>
      </c>
      <c r="AL47" s="11">
        <f t="shared" si="7"/>
        <v>1.01</v>
      </c>
      <c r="AM47" s="10">
        <f t="shared" si="8"/>
        <v>6601472000</v>
      </c>
      <c r="AN47" s="9"/>
      <c r="AO47" s="16"/>
      <c r="AP47" s="71"/>
      <c r="AQ47" s="71"/>
      <c r="AR47" s="8"/>
      <c r="AS47" s="7"/>
      <c r="AT47" s="6">
        <f t="shared" si="9"/>
        <v>0</v>
      </c>
    </row>
    <row r="48" spans="1:46" s="37" customFormat="1" ht="45.75" customHeight="1" thickBot="1" x14ac:dyDescent="0.2">
      <c r="A48" s="35"/>
      <c r="B48" s="35"/>
      <c r="C48" s="73"/>
      <c r="D48" s="73"/>
      <c r="E48" s="73"/>
      <c r="F48" s="73"/>
      <c r="G48" s="73"/>
      <c r="H48" s="45"/>
      <c r="I48" s="38">
        <v>0.4</v>
      </c>
      <c r="J48" s="30">
        <v>0.3</v>
      </c>
      <c r="K48" s="29">
        <v>0.3</v>
      </c>
      <c r="L48" s="30"/>
      <c r="M48" s="27"/>
      <c r="N48" s="26">
        <f t="shared" si="11"/>
        <v>1</v>
      </c>
      <c r="O48" s="65">
        <v>15</v>
      </c>
      <c r="P48" s="23">
        <v>15</v>
      </c>
      <c r="Q48" s="23">
        <v>15</v>
      </c>
      <c r="R48" s="42"/>
      <c r="S48" s="42"/>
      <c r="T48" s="20">
        <f t="shared" si="17"/>
        <v>15</v>
      </c>
      <c r="U48" s="19">
        <f t="shared" si="18"/>
        <v>15</v>
      </c>
      <c r="V48" s="85">
        <v>3425675000</v>
      </c>
      <c r="W48" s="22"/>
      <c r="X48" s="76"/>
      <c r="Y48" s="22"/>
      <c r="Z48" s="68"/>
      <c r="AA48" s="20">
        <f t="shared" si="19"/>
        <v>1.46</v>
      </c>
      <c r="AB48" s="19">
        <f t="shared" si="14"/>
        <v>1.46</v>
      </c>
      <c r="AC48" s="16">
        <v>20</v>
      </c>
      <c r="AD48" s="18"/>
      <c r="AE48" s="17"/>
      <c r="AF48" s="23">
        <f t="shared" si="15"/>
        <v>16.46</v>
      </c>
      <c r="AG48" s="16">
        <v>45</v>
      </c>
      <c r="AH48" s="23">
        <f t="shared" si="16"/>
        <v>81.460000000000008</v>
      </c>
      <c r="AI48" s="14">
        <f t="shared" si="6"/>
        <v>0.92269999999999996</v>
      </c>
      <c r="AJ48" s="13"/>
      <c r="AK48" s="12">
        <v>0.01</v>
      </c>
      <c r="AL48" s="11">
        <f t="shared" si="7"/>
        <v>1.01</v>
      </c>
      <c r="AM48" s="10">
        <f t="shared" si="8"/>
        <v>6549654000</v>
      </c>
      <c r="AN48" s="9"/>
      <c r="AO48" s="71"/>
      <c r="AP48" s="71"/>
      <c r="AQ48" s="71"/>
      <c r="AR48" s="8"/>
      <c r="AS48" s="7"/>
      <c r="AT48" s="6">
        <f t="shared" si="9"/>
        <v>0</v>
      </c>
    </row>
    <row r="49" spans="1:46" s="37" customFormat="1" ht="45.75" customHeight="1" thickBot="1" x14ac:dyDescent="0.2">
      <c r="A49" s="35"/>
      <c r="B49" s="35"/>
      <c r="C49" s="73"/>
      <c r="D49" s="73"/>
      <c r="E49" s="73"/>
      <c r="F49" s="73"/>
      <c r="G49" s="73"/>
      <c r="H49" s="45"/>
      <c r="I49" s="38">
        <v>0.51</v>
      </c>
      <c r="J49" s="30">
        <v>0.49</v>
      </c>
      <c r="K49" s="29"/>
      <c r="L49" s="28"/>
      <c r="M49" s="27"/>
      <c r="N49" s="26">
        <f t="shared" si="11"/>
        <v>1</v>
      </c>
      <c r="O49" s="65">
        <v>15</v>
      </c>
      <c r="P49" s="23">
        <v>15</v>
      </c>
      <c r="Q49" s="42"/>
      <c r="R49" s="42"/>
      <c r="S49" s="23"/>
      <c r="T49" s="20">
        <f t="shared" si="17"/>
        <v>15</v>
      </c>
      <c r="U49" s="19">
        <f t="shared" si="18"/>
        <v>15</v>
      </c>
      <c r="V49" s="59"/>
      <c r="W49" s="22">
        <v>7486618000</v>
      </c>
      <c r="X49" s="59"/>
      <c r="Y49" s="22"/>
      <c r="Z49" s="68"/>
      <c r="AA49" s="20">
        <f t="shared" si="19"/>
        <v>3.91</v>
      </c>
      <c r="AB49" s="19">
        <f t="shared" si="14"/>
        <v>3.91</v>
      </c>
      <c r="AC49" s="16">
        <v>20</v>
      </c>
      <c r="AD49" s="18"/>
      <c r="AE49" s="17"/>
      <c r="AF49" s="23">
        <f t="shared" si="15"/>
        <v>18.91</v>
      </c>
      <c r="AG49" s="16">
        <v>45</v>
      </c>
      <c r="AH49" s="23">
        <f t="shared" si="16"/>
        <v>83.91</v>
      </c>
      <c r="AI49" s="14">
        <f t="shared" si="6"/>
        <v>0.91044999999999998</v>
      </c>
      <c r="AJ49" s="13"/>
      <c r="AK49" s="12">
        <v>0.01</v>
      </c>
      <c r="AL49" s="11">
        <f t="shared" si="7"/>
        <v>1.01</v>
      </c>
      <c r="AM49" s="10">
        <f t="shared" si="8"/>
        <v>6462699000</v>
      </c>
      <c r="AN49" s="9"/>
      <c r="AO49" s="74"/>
      <c r="AP49" s="72"/>
      <c r="AQ49" s="72"/>
      <c r="AR49" s="8"/>
      <c r="AS49" s="7"/>
      <c r="AT49" s="6">
        <f t="shared" si="9"/>
        <v>0</v>
      </c>
    </row>
    <row r="50" spans="1:46" s="37" customFormat="1" ht="45.75" customHeight="1" thickBot="1" x14ac:dyDescent="0.2">
      <c r="A50" s="35"/>
      <c r="B50" s="35"/>
      <c r="C50" s="73"/>
      <c r="D50" s="73"/>
      <c r="E50" s="73"/>
      <c r="F50" s="73"/>
      <c r="G50" s="73"/>
      <c r="H50" s="45"/>
      <c r="I50" s="38">
        <v>0.51</v>
      </c>
      <c r="J50" s="30">
        <v>0.49</v>
      </c>
      <c r="K50" s="29"/>
      <c r="L50" s="28"/>
      <c r="M50" s="27"/>
      <c r="N50" s="26">
        <f t="shared" si="11"/>
        <v>1</v>
      </c>
      <c r="O50" s="23">
        <v>15</v>
      </c>
      <c r="P50" s="23">
        <v>15</v>
      </c>
      <c r="Q50" s="42"/>
      <c r="R50" s="42"/>
      <c r="S50" s="42"/>
      <c r="T50" s="20">
        <f t="shared" si="17"/>
        <v>15</v>
      </c>
      <c r="U50" s="19">
        <f t="shared" si="18"/>
        <v>15</v>
      </c>
      <c r="V50" s="61"/>
      <c r="W50" s="59"/>
      <c r="X50" s="61"/>
      <c r="Y50" s="22"/>
      <c r="Z50" s="21"/>
      <c r="AA50" s="20">
        <f t="shared" si="19"/>
        <v>0</v>
      </c>
      <c r="AB50" s="19">
        <f t="shared" si="14"/>
        <v>0</v>
      </c>
      <c r="AC50" s="16">
        <v>20</v>
      </c>
      <c r="AD50" s="18"/>
      <c r="AE50" s="17"/>
      <c r="AF50" s="23">
        <f t="shared" si="15"/>
        <v>15</v>
      </c>
      <c r="AG50" s="16">
        <v>45</v>
      </c>
      <c r="AH50" s="23">
        <f t="shared" si="16"/>
        <v>80</v>
      </c>
      <c r="AI50" s="14">
        <f t="shared" si="6"/>
        <v>0.93</v>
      </c>
      <c r="AJ50" s="13"/>
      <c r="AK50" s="12">
        <v>0.01</v>
      </c>
      <c r="AL50" s="11">
        <f t="shared" si="7"/>
        <v>1.01</v>
      </c>
      <c r="AM50" s="10">
        <f t="shared" si="8"/>
        <v>6601472000</v>
      </c>
      <c r="AN50" s="9"/>
      <c r="AO50" s="8"/>
      <c r="AP50" s="8"/>
      <c r="AQ50" s="8"/>
      <c r="AR50" s="8"/>
      <c r="AS50" s="7"/>
      <c r="AT50" s="6">
        <f t="shared" si="9"/>
        <v>0</v>
      </c>
    </row>
    <row r="51" spans="1:46" s="37" customFormat="1" ht="45.75" customHeight="1" thickBot="1" x14ac:dyDescent="0.2">
      <c r="A51" s="35"/>
      <c r="B51" s="35"/>
      <c r="C51" s="73"/>
      <c r="D51" s="73"/>
      <c r="E51" s="73"/>
      <c r="F51" s="73"/>
      <c r="G51" s="73"/>
      <c r="H51" s="45"/>
      <c r="I51" s="38">
        <v>0.5</v>
      </c>
      <c r="J51" s="30">
        <v>0.25</v>
      </c>
      <c r="K51" s="29">
        <v>0.25</v>
      </c>
      <c r="L51" s="28"/>
      <c r="M51" s="27"/>
      <c r="N51" s="26">
        <f t="shared" si="11"/>
        <v>1</v>
      </c>
      <c r="O51" s="65">
        <v>15</v>
      </c>
      <c r="P51" s="23">
        <v>15</v>
      </c>
      <c r="Q51" s="23">
        <v>15</v>
      </c>
      <c r="R51" s="42"/>
      <c r="S51" s="23"/>
      <c r="T51" s="20">
        <f t="shared" si="17"/>
        <v>15</v>
      </c>
      <c r="U51" s="19">
        <f t="shared" si="18"/>
        <v>15</v>
      </c>
      <c r="V51" s="22">
        <v>1364132000</v>
      </c>
      <c r="W51" s="22">
        <v>3231169000</v>
      </c>
      <c r="X51" s="68">
        <v>3586189000</v>
      </c>
      <c r="Y51" s="59">
        <v>1177604000</v>
      </c>
      <c r="Z51" s="22">
        <v>6584044000</v>
      </c>
      <c r="AA51" s="20">
        <f t="shared" si="19"/>
        <v>2.5499999999999998</v>
      </c>
      <c r="AB51" s="19">
        <f t="shared" si="14"/>
        <v>2.5499999999999998</v>
      </c>
      <c r="AC51" s="16">
        <v>20</v>
      </c>
      <c r="AD51" s="18"/>
      <c r="AE51" s="17"/>
      <c r="AF51" s="23">
        <f t="shared" si="15"/>
        <v>17.55</v>
      </c>
      <c r="AG51" s="16">
        <v>45</v>
      </c>
      <c r="AH51" s="23">
        <f t="shared" si="16"/>
        <v>82.55</v>
      </c>
      <c r="AI51" s="14">
        <f t="shared" si="6"/>
        <v>0.9172499999999999</v>
      </c>
      <c r="AJ51" s="13"/>
      <c r="AK51" s="12">
        <v>0.01</v>
      </c>
      <c r="AL51" s="11">
        <f t="shared" si="7"/>
        <v>1.01</v>
      </c>
      <c r="AM51" s="10">
        <f t="shared" si="8"/>
        <v>6510968000</v>
      </c>
      <c r="AN51" s="9"/>
      <c r="AO51" s="16"/>
      <c r="AP51" s="71"/>
      <c r="AQ51" s="71"/>
      <c r="AR51" s="8"/>
      <c r="AS51" s="7"/>
      <c r="AT51" s="6">
        <f t="shared" si="9"/>
        <v>0</v>
      </c>
    </row>
    <row r="52" spans="1:46" s="37" customFormat="1" ht="45.75" customHeight="1" thickBot="1" x14ac:dyDescent="0.2">
      <c r="A52" s="35"/>
      <c r="B52" s="35"/>
      <c r="C52" s="73"/>
      <c r="D52" s="73"/>
      <c r="E52" s="73"/>
      <c r="F52" s="73"/>
      <c r="G52" s="51"/>
      <c r="H52" s="45"/>
      <c r="I52" s="38">
        <v>0.51</v>
      </c>
      <c r="J52" s="30">
        <v>0.49</v>
      </c>
      <c r="K52" s="29"/>
      <c r="L52" s="28"/>
      <c r="M52" s="27"/>
      <c r="N52" s="26">
        <f t="shared" si="11"/>
        <v>1</v>
      </c>
      <c r="O52" s="65">
        <v>15</v>
      </c>
      <c r="P52" s="23">
        <v>15</v>
      </c>
      <c r="Q52" s="42"/>
      <c r="R52" s="42"/>
      <c r="S52" s="23"/>
      <c r="T52" s="20">
        <f t="shared" si="17"/>
        <v>15</v>
      </c>
      <c r="U52" s="19">
        <f t="shared" si="18"/>
        <v>15</v>
      </c>
      <c r="V52" s="22"/>
      <c r="W52" s="22"/>
      <c r="X52" s="22"/>
      <c r="Y52" s="22"/>
      <c r="Z52" s="68"/>
      <c r="AA52" s="20">
        <f t="shared" si="19"/>
        <v>0</v>
      </c>
      <c r="AB52" s="19">
        <f t="shared" si="14"/>
        <v>0</v>
      </c>
      <c r="AC52" s="16">
        <v>20</v>
      </c>
      <c r="AD52" s="18"/>
      <c r="AE52" s="17"/>
      <c r="AF52" s="23">
        <f t="shared" si="15"/>
        <v>15</v>
      </c>
      <c r="AG52" s="16">
        <v>45</v>
      </c>
      <c r="AH52" s="23">
        <f t="shared" si="16"/>
        <v>80</v>
      </c>
      <c r="AI52" s="14">
        <f t="shared" si="6"/>
        <v>0.93</v>
      </c>
      <c r="AJ52" s="13"/>
      <c r="AK52" s="12">
        <v>0.01</v>
      </c>
      <c r="AL52" s="11">
        <f t="shared" si="7"/>
        <v>1.01</v>
      </c>
      <c r="AM52" s="10">
        <f t="shared" si="8"/>
        <v>6601472000</v>
      </c>
      <c r="AN52" s="9"/>
      <c r="AO52" s="74"/>
      <c r="AP52" s="16"/>
      <c r="AQ52" s="16"/>
      <c r="AR52" s="8"/>
      <c r="AS52" s="7"/>
      <c r="AT52" s="6">
        <f t="shared" si="9"/>
        <v>0</v>
      </c>
    </row>
    <row r="53" spans="1:46" s="37" customFormat="1" ht="45.75" customHeight="1" thickBot="1" x14ac:dyDescent="0.2">
      <c r="A53" s="35"/>
      <c r="B53" s="35"/>
      <c r="C53" s="73"/>
      <c r="D53" s="73"/>
      <c r="E53" s="73"/>
      <c r="F53" s="73"/>
      <c r="G53" s="73" t="s">
        <v>2</v>
      </c>
      <c r="H53" s="45" t="s">
        <v>1</v>
      </c>
      <c r="I53" s="38">
        <v>0.51</v>
      </c>
      <c r="J53" s="30">
        <v>0.49</v>
      </c>
      <c r="K53" s="29"/>
      <c r="L53" s="28"/>
      <c r="M53" s="27"/>
      <c r="N53" s="26">
        <f t="shared" si="11"/>
        <v>1</v>
      </c>
      <c r="O53" s="65">
        <v>15</v>
      </c>
      <c r="P53" s="23">
        <v>15</v>
      </c>
      <c r="Q53" s="42"/>
      <c r="R53" s="42"/>
      <c r="S53" s="23"/>
      <c r="T53" s="20">
        <f t="shared" si="17"/>
        <v>15</v>
      </c>
      <c r="U53" s="19">
        <f t="shared" si="18"/>
        <v>15</v>
      </c>
      <c r="V53" s="22"/>
      <c r="W53" s="59"/>
      <c r="X53" s="59"/>
      <c r="Y53" s="22"/>
      <c r="Z53" s="21"/>
      <c r="AA53" s="20">
        <f t="shared" si="19"/>
        <v>0</v>
      </c>
      <c r="AB53" s="19">
        <f t="shared" si="14"/>
        <v>0</v>
      </c>
      <c r="AC53" s="16">
        <v>20</v>
      </c>
      <c r="AD53" s="18"/>
      <c r="AE53" s="17"/>
      <c r="AF53" s="23">
        <f t="shared" si="15"/>
        <v>15</v>
      </c>
      <c r="AG53" s="16">
        <v>45</v>
      </c>
      <c r="AH53" s="23">
        <f t="shared" si="16"/>
        <v>80</v>
      </c>
      <c r="AI53" s="14">
        <f t="shared" si="6"/>
        <v>0.93</v>
      </c>
      <c r="AJ53" s="13"/>
      <c r="AK53" s="12">
        <v>0.01</v>
      </c>
      <c r="AL53" s="11">
        <f t="shared" si="7"/>
        <v>1.01</v>
      </c>
      <c r="AM53" s="10">
        <f t="shared" si="8"/>
        <v>6601472000</v>
      </c>
      <c r="AN53" s="9"/>
      <c r="AO53" s="16"/>
      <c r="AP53" s="72"/>
      <c r="AQ53" s="71"/>
      <c r="AR53" s="8"/>
      <c r="AS53" s="7"/>
      <c r="AT53" s="6">
        <f t="shared" si="9"/>
        <v>0</v>
      </c>
    </row>
    <row r="54" spans="1:46" s="37" customFormat="1" ht="45.75" customHeight="1" thickBot="1" x14ac:dyDescent="0.2">
      <c r="A54" s="35"/>
      <c r="B54" s="35"/>
      <c r="C54" s="39"/>
      <c r="D54" s="53"/>
      <c r="E54" s="63"/>
      <c r="F54" s="63"/>
      <c r="G54" s="51"/>
      <c r="H54" s="45"/>
      <c r="I54" s="38">
        <v>0.51</v>
      </c>
      <c r="J54" s="30">
        <v>0.49</v>
      </c>
      <c r="K54" s="29"/>
      <c r="L54" s="28"/>
      <c r="M54" s="27"/>
      <c r="N54" s="26">
        <f t="shared" si="11"/>
        <v>1</v>
      </c>
      <c r="O54" s="23">
        <v>15</v>
      </c>
      <c r="P54" s="23">
        <v>15</v>
      </c>
      <c r="Q54" s="42"/>
      <c r="R54" s="24"/>
      <c r="S54" s="23"/>
      <c r="T54" s="20">
        <f t="shared" si="17"/>
        <v>15</v>
      </c>
      <c r="U54" s="19">
        <f t="shared" si="18"/>
        <v>15</v>
      </c>
      <c r="V54" s="61"/>
      <c r="W54" s="59"/>
      <c r="X54" s="22"/>
      <c r="Y54" s="22"/>
      <c r="Z54" s="68"/>
      <c r="AA54" s="20">
        <f t="shared" si="19"/>
        <v>0</v>
      </c>
      <c r="AB54" s="19">
        <f t="shared" si="14"/>
        <v>0</v>
      </c>
      <c r="AC54" s="16">
        <v>20</v>
      </c>
      <c r="AD54" s="18"/>
      <c r="AE54" s="17"/>
      <c r="AF54" s="23">
        <f t="shared" si="15"/>
        <v>15</v>
      </c>
      <c r="AG54" s="16">
        <v>45</v>
      </c>
      <c r="AH54" s="23">
        <f t="shared" si="16"/>
        <v>80</v>
      </c>
      <c r="AI54" s="14">
        <f t="shared" si="6"/>
        <v>0.93</v>
      </c>
      <c r="AJ54" s="13"/>
      <c r="AK54" s="12">
        <v>0.01</v>
      </c>
      <c r="AL54" s="11">
        <f t="shared" si="7"/>
        <v>1.01</v>
      </c>
      <c r="AM54" s="10">
        <f t="shared" si="8"/>
        <v>6601472000</v>
      </c>
      <c r="AN54" s="9"/>
      <c r="AO54" s="8"/>
      <c r="AP54" s="8"/>
      <c r="AQ54" s="8"/>
      <c r="AR54" s="8"/>
      <c r="AS54" s="7"/>
      <c r="AT54" s="6">
        <f t="shared" si="9"/>
        <v>0</v>
      </c>
    </row>
    <row r="55" spans="1:46" s="37" customFormat="1" ht="45.75" customHeight="1" thickBot="1" x14ac:dyDescent="0.2">
      <c r="A55" s="35"/>
      <c r="B55" s="35"/>
      <c r="C55" s="39"/>
      <c r="D55" s="70" t="s">
        <v>0</v>
      </c>
      <c r="E55" s="39"/>
      <c r="F55" s="63"/>
      <c r="G55" s="51"/>
      <c r="H55" s="45"/>
      <c r="I55" s="38">
        <v>0.51</v>
      </c>
      <c r="J55" s="30">
        <v>0.49</v>
      </c>
      <c r="K55" s="29"/>
      <c r="L55" s="28"/>
      <c r="M55" s="27"/>
      <c r="N55" s="26">
        <f t="shared" si="11"/>
        <v>1</v>
      </c>
      <c r="O55" s="23">
        <v>15</v>
      </c>
      <c r="P55" s="23">
        <v>15</v>
      </c>
      <c r="Q55" s="69"/>
      <c r="R55" s="24"/>
      <c r="S55" s="23"/>
      <c r="T55" s="20">
        <f t="shared" si="17"/>
        <v>15</v>
      </c>
      <c r="U55" s="19">
        <f t="shared" si="18"/>
        <v>15</v>
      </c>
      <c r="V55" s="61"/>
      <c r="W55" s="68">
        <v>20418317000</v>
      </c>
      <c r="X55" s="59"/>
      <c r="Y55" s="22"/>
      <c r="Z55" s="21"/>
      <c r="AA55" s="20">
        <f t="shared" si="19"/>
        <v>10.68</v>
      </c>
      <c r="AB55" s="19">
        <f t="shared" si="14"/>
        <v>10.68</v>
      </c>
      <c r="AC55" s="16">
        <v>20</v>
      </c>
      <c r="AD55" s="18"/>
      <c r="AE55" s="17"/>
      <c r="AF55" s="23">
        <f t="shared" si="15"/>
        <v>25.68</v>
      </c>
      <c r="AG55" s="16">
        <v>45</v>
      </c>
      <c r="AH55" s="23">
        <f t="shared" si="16"/>
        <v>90.68</v>
      </c>
      <c r="AI55" s="14">
        <f t="shared" si="6"/>
        <v>0.87659999999999993</v>
      </c>
      <c r="AJ55" s="13"/>
      <c r="AK55" s="12">
        <v>0.01</v>
      </c>
      <c r="AL55" s="11">
        <f t="shared" si="7"/>
        <v>1.01</v>
      </c>
      <c r="AM55" s="10">
        <f t="shared" si="8"/>
        <v>6222420000</v>
      </c>
      <c r="AN55" s="9"/>
      <c r="AO55" s="8"/>
      <c r="AP55" s="8"/>
      <c r="AQ55" s="8"/>
      <c r="AR55" s="8"/>
      <c r="AS55" s="7"/>
      <c r="AT55" s="6">
        <f t="shared" si="9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11"/>
        <v>1</v>
      </c>
      <c r="O56" s="25">
        <v>15</v>
      </c>
      <c r="P56" s="23">
        <v>15</v>
      </c>
      <c r="Q56" s="24"/>
      <c r="R56" s="24"/>
      <c r="S56" s="23"/>
      <c r="T56" s="20">
        <f t="shared" si="17"/>
        <v>15</v>
      </c>
      <c r="U56" s="19">
        <f t="shared" si="18"/>
        <v>15</v>
      </c>
      <c r="V56" s="48"/>
      <c r="W56" s="22"/>
      <c r="X56" s="22"/>
      <c r="Y56" s="22"/>
      <c r="Z56" s="21"/>
      <c r="AA56" s="20">
        <f t="shared" si="19"/>
        <v>0</v>
      </c>
      <c r="AB56" s="19">
        <f t="shared" si="14"/>
        <v>0</v>
      </c>
      <c r="AC56" s="16">
        <v>20</v>
      </c>
      <c r="AD56" s="18"/>
      <c r="AE56" s="17"/>
      <c r="AF56" s="23">
        <f t="shared" si="15"/>
        <v>15</v>
      </c>
      <c r="AG56" s="16">
        <v>45</v>
      </c>
      <c r="AH56" s="23">
        <f t="shared" si="16"/>
        <v>80</v>
      </c>
      <c r="AI56" s="14">
        <f t="shared" si="6"/>
        <v>0.93</v>
      </c>
      <c r="AJ56" s="13"/>
      <c r="AK56" s="12">
        <v>0.01</v>
      </c>
      <c r="AL56" s="11">
        <f t="shared" si="7"/>
        <v>1.01</v>
      </c>
      <c r="AM56" s="10">
        <f t="shared" si="8"/>
        <v>6601472000</v>
      </c>
      <c r="AN56" s="9"/>
      <c r="AO56" s="8"/>
      <c r="AP56" s="8"/>
      <c r="AQ56" s="8"/>
      <c r="AR56" s="8"/>
      <c r="AS56" s="7"/>
      <c r="AT56" s="6">
        <f t="shared" si="9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11"/>
        <v>1</v>
      </c>
      <c r="O57" s="25">
        <v>15</v>
      </c>
      <c r="P57" s="23">
        <v>15</v>
      </c>
      <c r="Q57" s="24"/>
      <c r="R57" s="24"/>
      <c r="S57" s="23"/>
      <c r="T57" s="20">
        <f t="shared" si="17"/>
        <v>15</v>
      </c>
      <c r="U57" s="19">
        <f t="shared" si="18"/>
        <v>15</v>
      </c>
      <c r="V57" s="48"/>
      <c r="W57" s="22"/>
      <c r="X57" s="22"/>
      <c r="Y57" s="57"/>
      <c r="Z57" s="21"/>
      <c r="AA57" s="20">
        <f t="shared" si="19"/>
        <v>0</v>
      </c>
      <c r="AB57" s="19">
        <f t="shared" si="14"/>
        <v>0</v>
      </c>
      <c r="AC57" s="16">
        <v>20</v>
      </c>
      <c r="AD57" s="18"/>
      <c r="AE57" s="17"/>
      <c r="AF57" s="23">
        <f t="shared" si="15"/>
        <v>15</v>
      </c>
      <c r="AG57" s="16">
        <v>45</v>
      </c>
      <c r="AH57" s="23">
        <f t="shared" si="16"/>
        <v>80</v>
      </c>
      <c r="AI57" s="14">
        <f t="shared" si="6"/>
        <v>0.93</v>
      </c>
      <c r="AJ57" s="13"/>
      <c r="AK57" s="12">
        <v>0.01</v>
      </c>
      <c r="AL57" s="11">
        <f t="shared" si="7"/>
        <v>1.01</v>
      </c>
      <c r="AM57" s="10">
        <f t="shared" si="8"/>
        <v>6601472000</v>
      </c>
      <c r="AN57" s="9"/>
      <c r="AO57" s="8"/>
      <c r="AP57" s="8"/>
      <c r="AQ57" s="8"/>
      <c r="AR57" s="8"/>
      <c r="AS57" s="7"/>
      <c r="AT57" s="6">
        <f t="shared" si="9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11"/>
        <v>1</v>
      </c>
      <c r="O58" s="25">
        <v>15</v>
      </c>
      <c r="P58" s="24">
        <v>15</v>
      </c>
      <c r="Q58" s="42"/>
      <c r="R58" s="42"/>
      <c r="S58" s="23"/>
      <c r="T58" s="20">
        <f t="shared" si="17"/>
        <v>15</v>
      </c>
      <c r="U58" s="19">
        <f t="shared" si="18"/>
        <v>15</v>
      </c>
      <c r="V58" s="22"/>
      <c r="W58" s="41"/>
      <c r="X58" s="54"/>
      <c r="Y58" s="48"/>
      <c r="Z58" s="21"/>
      <c r="AA58" s="20">
        <f t="shared" si="19"/>
        <v>0</v>
      </c>
      <c r="AB58" s="19">
        <f t="shared" si="14"/>
        <v>0</v>
      </c>
      <c r="AC58" s="16">
        <v>20</v>
      </c>
      <c r="AD58" s="18"/>
      <c r="AE58" s="17"/>
      <c r="AF58" s="23">
        <f t="shared" si="15"/>
        <v>15</v>
      </c>
      <c r="AG58" s="16">
        <v>45</v>
      </c>
      <c r="AH58" s="23">
        <f t="shared" si="16"/>
        <v>80</v>
      </c>
      <c r="AI58" s="14">
        <f t="shared" si="6"/>
        <v>0.93</v>
      </c>
      <c r="AJ58" s="13"/>
      <c r="AK58" s="12">
        <v>0.01</v>
      </c>
      <c r="AL58" s="11">
        <f t="shared" si="7"/>
        <v>1.01</v>
      </c>
      <c r="AM58" s="10">
        <f t="shared" si="8"/>
        <v>6601472000</v>
      </c>
      <c r="AN58" s="9"/>
      <c r="AO58" s="8"/>
      <c r="AP58" s="8"/>
      <c r="AQ58" s="8"/>
      <c r="AR58" s="8"/>
      <c r="AS58" s="7"/>
      <c r="AT58" s="6">
        <f t="shared" si="9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11"/>
        <v>1</v>
      </c>
      <c r="O59" s="25">
        <v>15</v>
      </c>
      <c r="P59" s="24">
        <v>15</v>
      </c>
      <c r="Q59" s="42"/>
      <c r="R59" s="42"/>
      <c r="S59" s="23"/>
      <c r="T59" s="20">
        <f t="shared" si="17"/>
        <v>15</v>
      </c>
      <c r="U59" s="19">
        <f t="shared" si="18"/>
        <v>15</v>
      </c>
      <c r="V59" s="48"/>
      <c r="W59" s="41"/>
      <c r="X59" s="54"/>
      <c r="Y59" s="56"/>
      <c r="Z59" s="21"/>
      <c r="AA59" s="20">
        <f t="shared" si="19"/>
        <v>0</v>
      </c>
      <c r="AB59" s="19">
        <f t="shared" si="14"/>
        <v>0</v>
      </c>
      <c r="AC59" s="16">
        <v>20</v>
      </c>
      <c r="AD59" s="18"/>
      <c r="AE59" s="17"/>
      <c r="AF59" s="23">
        <f t="shared" si="15"/>
        <v>15</v>
      </c>
      <c r="AG59" s="16">
        <v>45</v>
      </c>
      <c r="AH59" s="23">
        <f t="shared" si="16"/>
        <v>80</v>
      </c>
      <c r="AI59" s="14">
        <f t="shared" si="6"/>
        <v>0.93</v>
      </c>
      <c r="AJ59" s="13"/>
      <c r="AK59" s="12">
        <v>0.01</v>
      </c>
      <c r="AL59" s="11">
        <f t="shared" si="7"/>
        <v>1.01</v>
      </c>
      <c r="AM59" s="10">
        <f t="shared" si="8"/>
        <v>6601472000</v>
      </c>
      <c r="AN59" s="9"/>
      <c r="AO59" s="8"/>
      <c r="AP59" s="8"/>
      <c r="AQ59" s="8"/>
      <c r="AR59" s="8"/>
      <c r="AS59" s="7"/>
      <c r="AT59" s="6">
        <f t="shared" si="9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11"/>
        <v>1</v>
      </c>
      <c r="O60" s="44">
        <v>15</v>
      </c>
      <c r="P60" s="24">
        <v>15</v>
      </c>
      <c r="Q60" s="24"/>
      <c r="R60" s="42"/>
      <c r="S60" s="42"/>
      <c r="T60" s="20">
        <f t="shared" si="17"/>
        <v>15</v>
      </c>
      <c r="U60" s="19">
        <f t="shared" si="18"/>
        <v>15</v>
      </c>
      <c r="V60" s="48"/>
      <c r="W60" s="48"/>
      <c r="X60" s="48"/>
      <c r="Y60" s="48"/>
      <c r="Z60" s="21"/>
      <c r="AA60" s="20">
        <f t="shared" si="19"/>
        <v>0</v>
      </c>
      <c r="AB60" s="19">
        <f t="shared" si="14"/>
        <v>0</v>
      </c>
      <c r="AC60" s="16">
        <v>20</v>
      </c>
      <c r="AD60" s="18"/>
      <c r="AE60" s="17"/>
      <c r="AF60" s="23">
        <f t="shared" si="15"/>
        <v>15</v>
      </c>
      <c r="AG60" s="16">
        <v>45</v>
      </c>
      <c r="AH60" s="23">
        <f t="shared" si="16"/>
        <v>80</v>
      </c>
      <c r="AI60" s="14">
        <f t="shared" si="6"/>
        <v>0.93</v>
      </c>
      <c r="AJ60" s="13"/>
      <c r="AK60" s="12">
        <v>0.01</v>
      </c>
      <c r="AL60" s="11">
        <f t="shared" si="7"/>
        <v>1.01</v>
      </c>
      <c r="AM60" s="10">
        <f t="shared" si="8"/>
        <v>6601472000</v>
      </c>
      <c r="AN60" s="9"/>
      <c r="AO60" s="8"/>
      <c r="AP60" s="8"/>
      <c r="AQ60" s="8"/>
      <c r="AR60" s="8"/>
      <c r="AS60" s="7"/>
      <c r="AT60" s="6">
        <f t="shared" si="9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11"/>
        <v>1</v>
      </c>
      <c r="O61" s="25">
        <v>15</v>
      </c>
      <c r="P61" s="23">
        <v>15</v>
      </c>
      <c r="Q61" s="24"/>
      <c r="R61" s="24"/>
      <c r="S61" s="23"/>
      <c r="T61" s="20">
        <f t="shared" si="17"/>
        <v>15</v>
      </c>
      <c r="U61" s="19">
        <f t="shared" si="18"/>
        <v>15</v>
      </c>
      <c r="V61" s="22"/>
      <c r="W61" s="22"/>
      <c r="X61" s="22"/>
      <c r="Y61" s="22"/>
      <c r="Z61" s="21"/>
      <c r="AA61" s="20">
        <f t="shared" si="19"/>
        <v>0</v>
      </c>
      <c r="AB61" s="19">
        <f t="shared" si="14"/>
        <v>0</v>
      </c>
      <c r="AC61" s="16">
        <v>20</v>
      </c>
      <c r="AD61" s="18"/>
      <c r="AE61" s="17"/>
      <c r="AF61" s="23">
        <f t="shared" si="15"/>
        <v>15</v>
      </c>
      <c r="AG61" s="16">
        <v>45</v>
      </c>
      <c r="AH61" s="23">
        <f t="shared" si="16"/>
        <v>80</v>
      </c>
      <c r="AI61" s="14">
        <f t="shared" si="6"/>
        <v>0.93</v>
      </c>
      <c r="AJ61" s="13"/>
      <c r="AK61" s="12">
        <v>0.01</v>
      </c>
      <c r="AL61" s="11">
        <f t="shared" si="7"/>
        <v>1.01</v>
      </c>
      <c r="AM61" s="10">
        <f t="shared" si="8"/>
        <v>6601472000</v>
      </c>
      <c r="AN61" s="9"/>
      <c r="AO61" s="8"/>
      <c r="AP61" s="8"/>
      <c r="AQ61" s="8"/>
      <c r="AR61" s="8"/>
      <c r="AS61" s="7"/>
      <c r="AT61" s="6">
        <f t="shared" si="9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11"/>
        <v>1</v>
      </c>
      <c r="O62" s="44">
        <v>15</v>
      </c>
      <c r="P62" s="43">
        <v>15</v>
      </c>
      <c r="Q62" s="42"/>
      <c r="R62" s="42"/>
      <c r="S62" s="42"/>
      <c r="T62" s="20">
        <f t="shared" si="17"/>
        <v>15</v>
      </c>
      <c r="U62" s="19">
        <f t="shared" si="18"/>
        <v>15</v>
      </c>
      <c r="V62" s="22"/>
      <c r="W62" s="22"/>
      <c r="X62" s="22"/>
      <c r="Y62" s="54"/>
      <c r="Z62" s="21"/>
      <c r="AA62" s="20">
        <f t="shared" si="19"/>
        <v>0</v>
      </c>
      <c r="AB62" s="19">
        <f t="shared" si="14"/>
        <v>0</v>
      </c>
      <c r="AC62" s="16">
        <v>20</v>
      </c>
      <c r="AD62" s="18"/>
      <c r="AE62" s="17"/>
      <c r="AF62" s="23">
        <f t="shared" si="15"/>
        <v>15</v>
      </c>
      <c r="AG62" s="16">
        <v>45</v>
      </c>
      <c r="AH62" s="23">
        <f t="shared" si="16"/>
        <v>80</v>
      </c>
      <c r="AI62" s="14">
        <f t="shared" si="6"/>
        <v>0.93</v>
      </c>
      <c r="AJ62" s="13"/>
      <c r="AK62" s="12">
        <v>0.01</v>
      </c>
      <c r="AL62" s="11">
        <f t="shared" si="7"/>
        <v>1.01</v>
      </c>
      <c r="AM62" s="10">
        <f t="shared" si="8"/>
        <v>6601472000</v>
      </c>
      <c r="AN62" s="9"/>
      <c r="AO62" s="8"/>
      <c r="AP62" s="8"/>
      <c r="AQ62" s="8"/>
      <c r="AR62" s="8"/>
      <c r="AS62" s="7"/>
      <c r="AT62" s="6">
        <f t="shared" si="9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11"/>
        <v>1</v>
      </c>
      <c r="O63" s="44">
        <v>15</v>
      </c>
      <c r="P63" s="43">
        <v>15</v>
      </c>
      <c r="Q63" s="42"/>
      <c r="R63" s="42"/>
      <c r="S63" s="42"/>
      <c r="T63" s="20">
        <f t="shared" si="17"/>
        <v>15</v>
      </c>
      <c r="U63" s="19">
        <f t="shared" si="18"/>
        <v>15</v>
      </c>
      <c r="V63" s="52"/>
      <c r="W63" s="48"/>
      <c r="X63" s="41"/>
      <c r="Y63" s="41"/>
      <c r="Z63" s="21"/>
      <c r="AA63" s="20">
        <f t="shared" si="19"/>
        <v>0</v>
      </c>
      <c r="AB63" s="19">
        <f t="shared" si="14"/>
        <v>0</v>
      </c>
      <c r="AC63" s="16">
        <v>20</v>
      </c>
      <c r="AD63" s="18"/>
      <c r="AE63" s="17"/>
      <c r="AF63" s="23">
        <f t="shared" si="15"/>
        <v>15</v>
      </c>
      <c r="AG63" s="16">
        <v>45</v>
      </c>
      <c r="AH63" s="23">
        <f t="shared" si="16"/>
        <v>80</v>
      </c>
      <c r="AI63" s="14">
        <f t="shared" si="6"/>
        <v>0.93</v>
      </c>
      <c r="AJ63" s="13"/>
      <c r="AK63" s="12">
        <v>0.01</v>
      </c>
      <c r="AL63" s="11">
        <f t="shared" si="7"/>
        <v>1.01</v>
      </c>
      <c r="AM63" s="10">
        <f t="shared" si="8"/>
        <v>6601472000</v>
      </c>
      <c r="AN63" s="9"/>
      <c r="AO63" s="8"/>
      <c r="AP63" s="8"/>
      <c r="AQ63" s="8"/>
      <c r="AR63" s="8"/>
      <c r="AS63" s="7"/>
      <c r="AT63" s="6">
        <f t="shared" si="9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11"/>
        <v>1</v>
      </c>
      <c r="O64" s="44">
        <v>15</v>
      </c>
      <c r="P64" s="43">
        <v>15</v>
      </c>
      <c r="Q64" s="42"/>
      <c r="R64" s="42"/>
      <c r="S64" s="42"/>
      <c r="T64" s="20">
        <f t="shared" si="17"/>
        <v>15</v>
      </c>
      <c r="U64" s="19">
        <f t="shared" si="18"/>
        <v>15</v>
      </c>
      <c r="V64" s="52"/>
      <c r="W64" s="41"/>
      <c r="X64" s="48"/>
      <c r="Y64" s="48"/>
      <c r="Z64" s="21"/>
      <c r="AA64" s="20">
        <f t="shared" si="19"/>
        <v>0</v>
      </c>
      <c r="AB64" s="19">
        <f t="shared" si="14"/>
        <v>0</v>
      </c>
      <c r="AC64" s="16">
        <v>20</v>
      </c>
      <c r="AD64" s="18"/>
      <c r="AE64" s="17"/>
      <c r="AF64" s="23">
        <f t="shared" si="15"/>
        <v>15</v>
      </c>
      <c r="AG64" s="16">
        <v>45</v>
      </c>
      <c r="AH64" s="23">
        <f t="shared" si="16"/>
        <v>80</v>
      </c>
      <c r="AI64" s="14">
        <f t="shared" si="6"/>
        <v>0.93</v>
      </c>
      <c r="AJ64" s="13"/>
      <c r="AK64" s="12">
        <v>0.01</v>
      </c>
      <c r="AL64" s="11">
        <f t="shared" si="7"/>
        <v>1.01</v>
      </c>
      <c r="AM64" s="10">
        <f t="shared" si="8"/>
        <v>6601472000</v>
      </c>
      <c r="AN64" s="9"/>
      <c r="AO64" s="8"/>
      <c r="AP64" s="8"/>
      <c r="AQ64" s="8"/>
      <c r="AR64" s="8"/>
      <c r="AS64" s="7"/>
      <c r="AT64" s="6">
        <f t="shared" si="9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11"/>
        <v>1</v>
      </c>
      <c r="O65" s="44">
        <v>15</v>
      </c>
      <c r="P65" s="43">
        <v>15</v>
      </c>
      <c r="Q65" s="42"/>
      <c r="R65" s="42"/>
      <c r="S65" s="42"/>
      <c r="T65" s="20">
        <f t="shared" si="17"/>
        <v>15</v>
      </c>
      <c r="U65" s="19">
        <f t="shared" si="18"/>
        <v>15</v>
      </c>
      <c r="V65" s="22"/>
      <c r="W65" s="48"/>
      <c r="X65" s="41"/>
      <c r="Y65" s="48"/>
      <c r="Z65" s="21"/>
      <c r="AA65" s="20">
        <f t="shared" si="19"/>
        <v>0</v>
      </c>
      <c r="AB65" s="19">
        <f t="shared" si="14"/>
        <v>0</v>
      </c>
      <c r="AC65" s="16">
        <v>20</v>
      </c>
      <c r="AD65" s="18"/>
      <c r="AE65" s="17"/>
      <c r="AF65" s="23">
        <f t="shared" si="15"/>
        <v>15</v>
      </c>
      <c r="AG65" s="16">
        <v>45</v>
      </c>
      <c r="AH65" s="23">
        <f t="shared" si="16"/>
        <v>80</v>
      </c>
      <c r="AI65" s="14">
        <f t="shared" si="6"/>
        <v>0.93</v>
      </c>
      <c r="AJ65" s="13"/>
      <c r="AK65" s="12">
        <v>0.01</v>
      </c>
      <c r="AL65" s="11">
        <f t="shared" si="7"/>
        <v>1.01</v>
      </c>
      <c r="AM65" s="10">
        <f t="shared" si="8"/>
        <v>6601472000</v>
      </c>
      <c r="AN65" s="9"/>
      <c r="AO65" s="8"/>
      <c r="AP65" s="8"/>
      <c r="AQ65" s="8"/>
      <c r="AR65" s="8"/>
      <c r="AS65" s="7"/>
      <c r="AT65" s="6">
        <f t="shared" si="9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11"/>
        <v>1</v>
      </c>
      <c r="O66" s="44">
        <v>15</v>
      </c>
      <c r="P66" s="43">
        <v>15</v>
      </c>
      <c r="Q66" s="42"/>
      <c r="R66" s="42"/>
      <c r="S66" s="42"/>
      <c r="T66" s="20">
        <f t="shared" si="17"/>
        <v>15</v>
      </c>
      <c r="U66" s="19">
        <f t="shared" si="18"/>
        <v>15</v>
      </c>
      <c r="V66" s="22"/>
      <c r="W66" s="41"/>
      <c r="X66" s="22"/>
      <c r="Y66" s="48"/>
      <c r="Z66" s="21"/>
      <c r="AA66" s="20">
        <f t="shared" si="19"/>
        <v>0</v>
      </c>
      <c r="AB66" s="19">
        <f t="shared" si="14"/>
        <v>0</v>
      </c>
      <c r="AC66" s="16">
        <v>20</v>
      </c>
      <c r="AD66" s="18"/>
      <c r="AE66" s="17"/>
      <c r="AF66" s="23">
        <f t="shared" si="15"/>
        <v>15</v>
      </c>
      <c r="AG66" s="16">
        <v>45</v>
      </c>
      <c r="AH66" s="23">
        <f t="shared" si="16"/>
        <v>80</v>
      </c>
      <c r="AI66" s="14">
        <f t="shared" si="6"/>
        <v>0.93</v>
      </c>
      <c r="AJ66" s="13"/>
      <c r="AK66" s="12">
        <v>0.01</v>
      </c>
      <c r="AL66" s="11">
        <f t="shared" si="7"/>
        <v>1.01</v>
      </c>
      <c r="AM66" s="10">
        <f t="shared" si="8"/>
        <v>6601472000</v>
      </c>
      <c r="AN66" s="9"/>
      <c r="AO66" s="8"/>
      <c r="AP66" s="8"/>
      <c r="AQ66" s="8"/>
      <c r="AR66" s="8"/>
      <c r="AS66" s="7"/>
      <c r="AT66" s="6">
        <f t="shared" si="9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11"/>
        <v>1</v>
      </c>
      <c r="O67" s="25">
        <v>15</v>
      </c>
      <c r="P67" s="23">
        <v>15</v>
      </c>
      <c r="Q67" s="24"/>
      <c r="R67" s="24"/>
      <c r="S67" s="23"/>
      <c r="T67" s="20">
        <f t="shared" si="17"/>
        <v>15</v>
      </c>
      <c r="U67" s="19">
        <f t="shared" si="18"/>
        <v>15</v>
      </c>
      <c r="V67" s="22"/>
      <c r="W67" s="22"/>
      <c r="X67" s="22"/>
      <c r="Y67" s="22"/>
      <c r="Z67" s="21"/>
      <c r="AA67" s="20">
        <f t="shared" si="19"/>
        <v>0</v>
      </c>
      <c r="AB67" s="19">
        <f t="shared" si="14"/>
        <v>0</v>
      </c>
      <c r="AC67" s="16">
        <v>20</v>
      </c>
      <c r="AD67" s="18"/>
      <c r="AE67" s="17"/>
      <c r="AF67" s="23">
        <f t="shared" si="15"/>
        <v>15</v>
      </c>
      <c r="AG67" s="16">
        <v>45</v>
      </c>
      <c r="AH67" s="23">
        <f t="shared" si="16"/>
        <v>80</v>
      </c>
      <c r="AI67" s="14">
        <f t="shared" si="6"/>
        <v>0.93</v>
      </c>
      <c r="AJ67" s="13"/>
      <c r="AK67" s="12">
        <v>0.01</v>
      </c>
      <c r="AL67" s="11">
        <f t="shared" si="7"/>
        <v>1.01</v>
      </c>
      <c r="AM67" s="10">
        <f t="shared" si="8"/>
        <v>6601472000</v>
      </c>
      <c r="AN67" s="9"/>
      <c r="AO67" s="8"/>
      <c r="AP67" s="8"/>
      <c r="AQ67" s="8"/>
      <c r="AR67" s="8"/>
      <c r="AS67" s="7"/>
      <c r="AT67" s="6">
        <f t="shared" si="9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11"/>
        <v>1</v>
      </c>
      <c r="O68" s="44">
        <v>15</v>
      </c>
      <c r="P68" s="43">
        <v>15</v>
      </c>
      <c r="Q68" s="42"/>
      <c r="R68" s="42"/>
      <c r="S68" s="42"/>
      <c r="T68" s="20">
        <f t="shared" si="17"/>
        <v>15</v>
      </c>
      <c r="U68" s="19">
        <f t="shared" si="18"/>
        <v>15</v>
      </c>
      <c r="V68" s="22"/>
      <c r="W68" s="41"/>
      <c r="X68" s="41"/>
      <c r="Y68" s="40"/>
      <c r="Z68" s="21"/>
      <c r="AA68" s="20">
        <f t="shared" si="19"/>
        <v>0</v>
      </c>
      <c r="AB68" s="19">
        <f t="shared" si="14"/>
        <v>0</v>
      </c>
      <c r="AC68" s="16">
        <v>20</v>
      </c>
      <c r="AD68" s="18"/>
      <c r="AE68" s="17"/>
      <c r="AF68" s="23">
        <f t="shared" si="15"/>
        <v>15</v>
      </c>
      <c r="AG68" s="16">
        <v>45</v>
      </c>
      <c r="AH68" s="23">
        <f t="shared" si="16"/>
        <v>80</v>
      </c>
      <c r="AI68" s="14">
        <f t="shared" si="6"/>
        <v>0.93</v>
      </c>
      <c r="AJ68" s="13"/>
      <c r="AK68" s="12">
        <v>0.01</v>
      </c>
      <c r="AL68" s="11">
        <f t="shared" si="7"/>
        <v>1.01</v>
      </c>
      <c r="AM68" s="10">
        <f t="shared" si="8"/>
        <v>6601472000</v>
      </c>
      <c r="AN68" s="9"/>
      <c r="AO68" s="8"/>
      <c r="AP68" s="8"/>
      <c r="AQ68" s="8"/>
      <c r="AR68" s="8"/>
      <c r="AS68" s="7"/>
      <c r="AT68" s="6">
        <f t="shared" si="9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32" si="20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32" si="21">ROUND(((O69*I69)+(P69*J69)+(Q69*K69)+(R69*L69)+(S69*M69)),2)</f>
        <v>15</v>
      </c>
      <c r="U69" s="19">
        <f t="shared" ref="U69:U132" si="22">IF(T69&gt;=15,15,T69)</f>
        <v>15</v>
      </c>
      <c r="V69" s="22"/>
      <c r="W69" s="22"/>
      <c r="X69" s="22"/>
      <c r="Y69" s="22"/>
      <c r="Z69" s="21"/>
      <c r="AA69" s="20">
        <f t="shared" ref="AA69:AA132" si="23">ROUND((((V69*I69)+(W69*J69)+(X69*K69)+(Y69*L69)+(Z69*M69))/$I$2*15),2)</f>
        <v>0</v>
      </c>
      <c r="AB69" s="19">
        <f t="shared" ref="AB69:AB132" si="24">IF(AA69&gt;=15,15,AA69)</f>
        <v>0</v>
      </c>
      <c r="AC69" s="16">
        <v>20</v>
      </c>
      <c r="AD69" s="18"/>
      <c r="AE69" s="17"/>
      <c r="AF69" s="23">
        <f t="shared" ref="AF69:AF132" si="25">IF((U69+AB69+AD69)&gt;=30,30,(U69+AB69+AD69))</f>
        <v>15</v>
      </c>
      <c r="AG69" s="16">
        <v>45</v>
      </c>
      <c r="AH69" s="23">
        <f t="shared" ref="AH69:AH132" si="26">AC69+AF69+AG69+AE69</f>
        <v>80</v>
      </c>
      <c r="AI69" s="14">
        <f t="shared" ref="AI69:AI132" si="27">-((50-((176+(45+(30-AF69)))))/200)</f>
        <v>0.93</v>
      </c>
      <c r="AJ69" s="13"/>
      <c r="AK69" s="12">
        <v>0.01</v>
      </c>
      <c r="AL69" s="11">
        <f t="shared" ref="AL69:AL132" si="28">100%+AK69</f>
        <v>1.01</v>
      </c>
      <c r="AM69" s="10">
        <f t="shared" ref="AM69:AM132" si="29">ROUNDUP($D$2*AI69*AL69,-3)</f>
        <v>6601472000</v>
      </c>
      <c r="AN69" s="9"/>
      <c r="AO69" s="8"/>
      <c r="AP69" s="8"/>
      <c r="AQ69" s="8"/>
      <c r="AR69" s="8"/>
      <c r="AS69" s="7"/>
      <c r="AT69" s="6">
        <f t="shared" ref="AT69:AT132" si="30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20"/>
        <v>1</v>
      </c>
      <c r="O70" s="25">
        <v>15</v>
      </c>
      <c r="P70" s="23">
        <v>15</v>
      </c>
      <c r="Q70" s="24"/>
      <c r="R70" s="24"/>
      <c r="S70" s="23"/>
      <c r="T70" s="20">
        <f t="shared" si="21"/>
        <v>15</v>
      </c>
      <c r="U70" s="19">
        <f t="shared" si="22"/>
        <v>15</v>
      </c>
      <c r="V70" s="22"/>
      <c r="W70" s="22"/>
      <c r="X70" s="22"/>
      <c r="Y70" s="22"/>
      <c r="Z70" s="21"/>
      <c r="AA70" s="20">
        <f t="shared" si="23"/>
        <v>0</v>
      </c>
      <c r="AB70" s="19">
        <f t="shared" si="24"/>
        <v>0</v>
      </c>
      <c r="AC70" s="16">
        <v>20</v>
      </c>
      <c r="AD70" s="18"/>
      <c r="AE70" s="17"/>
      <c r="AF70" s="23">
        <f t="shared" si="25"/>
        <v>15</v>
      </c>
      <c r="AG70" s="16">
        <v>45</v>
      </c>
      <c r="AH70" s="23">
        <f t="shared" si="26"/>
        <v>80</v>
      </c>
      <c r="AI70" s="14">
        <f t="shared" si="27"/>
        <v>0.93</v>
      </c>
      <c r="AJ70" s="13"/>
      <c r="AK70" s="12">
        <v>0.01</v>
      </c>
      <c r="AL70" s="11">
        <f t="shared" si="28"/>
        <v>1.01</v>
      </c>
      <c r="AM70" s="10">
        <f t="shared" si="29"/>
        <v>6601472000</v>
      </c>
      <c r="AN70" s="9"/>
      <c r="AO70" s="8"/>
      <c r="AP70" s="8"/>
      <c r="AQ70" s="8"/>
      <c r="AR70" s="8"/>
      <c r="AS70" s="7"/>
      <c r="AT70" s="6">
        <f t="shared" si="30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20"/>
        <v>1</v>
      </c>
      <c r="O71" s="25">
        <v>15</v>
      </c>
      <c r="P71" s="23">
        <v>15</v>
      </c>
      <c r="Q71" s="24"/>
      <c r="R71" s="24"/>
      <c r="S71" s="23"/>
      <c r="T71" s="20">
        <f t="shared" si="21"/>
        <v>15</v>
      </c>
      <c r="U71" s="19">
        <f t="shared" si="22"/>
        <v>15</v>
      </c>
      <c r="V71" s="22"/>
      <c r="W71" s="22"/>
      <c r="X71" s="22"/>
      <c r="Y71" s="22"/>
      <c r="Z71" s="21"/>
      <c r="AA71" s="20">
        <f t="shared" si="23"/>
        <v>0</v>
      </c>
      <c r="AB71" s="19">
        <f t="shared" si="24"/>
        <v>0</v>
      </c>
      <c r="AC71" s="16">
        <v>20</v>
      </c>
      <c r="AD71" s="18"/>
      <c r="AE71" s="17"/>
      <c r="AF71" s="23">
        <f t="shared" si="25"/>
        <v>15</v>
      </c>
      <c r="AG71" s="16">
        <v>45</v>
      </c>
      <c r="AH71" s="23">
        <f t="shared" si="26"/>
        <v>80</v>
      </c>
      <c r="AI71" s="14">
        <f t="shared" si="27"/>
        <v>0.93</v>
      </c>
      <c r="AJ71" s="13"/>
      <c r="AK71" s="12">
        <v>0.01</v>
      </c>
      <c r="AL71" s="11">
        <f t="shared" si="28"/>
        <v>1.01</v>
      </c>
      <c r="AM71" s="10">
        <f t="shared" si="29"/>
        <v>6601472000</v>
      </c>
      <c r="AN71" s="9"/>
      <c r="AO71" s="8"/>
      <c r="AP71" s="8"/>
      <c r="AQ71" s="8"/>
      <c r="AR71" s="8"/>
      <c r="AS71" s="7"/>
      <c r="AT71" s="6">
        <f t="shared" si="30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20"/>
        <v>1</v>
      </c>
      <c r="O72" s="25">
        <v>15</v>
      </c>
      <c r="P72" s="23">
        <v>15</v>
      </c>
      <c r="Q72" s="24"/>
      <c r="R72" s="24"/>
      <c r="S72" s="23"/>
      <c r="T72" s="20">
        <f t="shared" si="21"/>
        <v>15</v>
      </c>
      <c r="U72" s="19">
        <f t="shared" si="22"/>
        <v>15</v>
      </c>
      <c r="V72" s="22"/>
      <c r="W72" s="22"/>
      <c r="X72" s="22"/>
      <c r="Y72" s="22"/>
      <c r="Z72" s="21"/>
      <c r="AA72" s="20">
        <f t="shared" si="23"/>
        <v>0</v>
      </c>
      <c r="AB72" s="19">
        <f t="shared" si="24"/>
        <v>0</v>
      </c>
      <c r="AC72" s="16">
        <v>20</v>
      </c>
      <c r="AD72" s="18"/>
      <c r="AE72" s="17"/>
      <c r="AF72" s="23">
        <f t="shared" si="25"/>
        <v>15</v>
      </c>
      <c r="AG72" s="16">
        <v>45</v>
      </c>
      <c r="AH72" s="23">
        <f t="shared" si="26"/>
        <v>80</v>
      </c>
      <c r="AI72" s="14">
        <f t="shared" si="27"/>
        <v>0.93</v>
      </c>
      <c r="AJ72" s="13"/>
      <c r="AK72" s="12">
        <v>0.01</v>
      </c>
      <c r="AL72" s="11">
        <f t="shared" si="28"/>
        <v>1.01</v>
      </c>
      <c r="AM72" s="10">
        <f t="shared" si="29"/>
        <v>6601472000</v>
      </c>
      <c r="AN72" s="9"/>
      <c r="AO72" s="8"/>
      <c r="AP72" s="8"/>
      <c r="AQ72" s="8"/>
      <c r="AR72" s="8"/>
      <c r="AS72" s="7"/>
      <c r="AT72" s="6">
        <f t="shared" si="30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20"/>
        <v>1</v>
      </c>
      <c r="O73" s="25">
        <v>15</v>
      </c>
      <c r="P73" s="23">
        <v>15</v>
      </c>
      <c r="Q73" s="24"/>
      <c r="R73" s="24"/>
      <c r="S73" s="23"/>
      <c r="T73" s="20">
        <f t="shared" si="21"/>
        <v>15</v>
      </c>
      <c r="U73" s="19">
        <f t="shared" si="22"/>
        <v>15</v>
      </c>
      <c r="V73" s="22"/>
      <c r="W73" s="22"/>
      <c r="X73" s="22"/>
      <c r="Y73" s="22"/>
      <c r="Z73" s="21"/>
      <c r="AA73" s="20">
        <f t="shared" si="23"/>
        <v>0</v>
      </c>
      <c r="AB73" s="19">
        <f t="shared" si="24"/>
        <v>0</v>
      </c>
      <c r="AC73" s="16">
        <v>20</v>
      </c>
      <c r="AD73" s="18"/>
      <c r="AE73" s="17"/>
      <c r="AF73" s="23">
        <f t="shared" si="25"/>
        <v>15</v>
      </c>
      <c r="AG73" s="16">
        <v>45</v>
      </c>
      <c r="AH73" s="23">
        <f t="shared" si="26"/>
        <v>80</v>
      </c>
      <c r="AI73" s="14">
        <f t="shared" si="27"/>
        <v>0.93</v>
      </c>
      <c r="AJ73" s="13"/>
      <c r="AK73" s="12">
        <v>0.01</v>
      </c>
      <c r="AL73" s="11">
        <f t="shared" si="28"/>
        <v>1.01</v>
      </c>
      <c r="AM73" s="10">
        <f t="shared" si="29"/>
        <v>6601472000</v>
      </c>
      <c r="AN73" s="9"/>
      <c r="AO73" s="8"/>
      <c r="AP73" s="8"/>
      <c r="AQ73" s="8"/>
      <c r="AR73" s="8"/>
      <c r="AS73" s="7"/>
      <c r="AT73" s="6">
        <f t="shared" si="30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20"/>
        <v>1</v>
      </c>
      <c r="O74" s="25">
        <v>15</v>
      </c>
      <c r="P74" s="23">
        <v>15</v>
      </c>
      <c r="Q74" s="24"/>
      <c r="R74" s="24"/>
      <c r="S74" s="23"/>
      <c r="T74" s="20">
        <f t="shared" si="21"/>
        <v>15</v>
      </c>
      <c r="U74" s="19">
        <f t="shared" si="22"/>
        <v>15</v>
      </c>
      <c r="V74" s="22"/>
      <c r="W74" s="22"/>
      <c r="X74" s="22"/>
      <c r="Y74" s="22"/>
      <c r="Z74" s="21"/>
      <c r="AA74" s="20">
        <f t="shared" si="23"/>
        <v>0</v>
      </c>
      <c r="AB74" s="19">
        <f t="shared" si="24"/>
        <v>0</v>
      </c>
      <c r="AC74" s="16">
        <v>20</v>
      </c>
      <c r="AD74" s="18"/>
      <c r="AE74" s="17"/>
      <c r="AF74" s="23">
        <f t="shared" si="25"/>
        <v>15</v>
      </c>
      <c r="AG74" s="16">
        <v>45</v>
      </c>
      <c r="AH74" s="23">
        <f t="shared" si="26"/>
        <v>80</v>
      </c>
      <c r="AI74" s="14">
        <f t="shared" si="27"/>
        <v>0.93</v>
      </c>
      <c r="AJ74" s="13"/>
      <c r="AK74" s="12">
        <v>0.01</v>
      </c>
      <c r="AL74" s="11">
        <f t="shared" si="28"/>
        <v>1.01</v>
      </c>
      <c r="AM74" s="10">
        <f t="shared" si="29"/>
        <v>6601472000</v>
      </c>
      <c r="AN74" s="9"/>
      <c r="AO74" s="8"/>
      <c r="AP74" s="8"/>
      <c r="AQ74" s="8"/>
      <c r="AR74" s="8"/>
      <c r="AS74" s="7"/>
      <c r="AT74" s="6">
        <f t="shared" si="30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20"/>
        <v>1</v>
      </c>
      <c r="O75" s="25">
        <v>15</v>
      </c>
      <c r="P75" s="23">
        <v>15</v>
      </c>
      <c r="Q75" s="24"/>
      <c r="R75" s="24"/>
      <c r="S75" s="23"/>
      <c r="T75" s="20">
        <f t="shared" si="21"/>
        <v>15</v>
      </c>
      <c r="U75" s="19">
        <f t="shared" si="22"/>
        <v>15</v>
      </c>
      <c r="V75" s="22"/>
      <c r="W75" s="22"/>
      <c r="X75" s="22"/>
      <c r="Y75" s="22"/>
      <c r="Z75" s="21"/>
      <c r="AA75" s="20">
        <f t="shared" si="23"/>
        <v>0</v>
      </c>
      <c r="AB75" s="19">
        <f t="shared" si="24"/>
        <v>0</v>
      </c>
      <c r="AC75" s="16">
        <v>20</v>
      </c>
      <c r="AD75" s="18"/>
      <c r="AE75" s="17"/>
      <c r="AF75" s="23">
        <f t="shared" si="25"/>
        <v>15</v>
      </c>
      <c r="AG75" s="16">
        <v>45</v>
      </c>
      <c r="AH75" s="23">
        <f t="shared" si="26"/>
        <v>80</v>
      </c>
      <c r="AI75" s="14">
        <f t="shared" si="27"/>
        <v>0.93</v>
      </c>
      <c r="AJ75" s="13"/>
      <c r="AK75" s="12">
        <v>0.01</v>
      </c>
      <c r="AL75" s="11">
        <f t="shared" si="28"/>
        <v>1.01</v>
      </c>
      <c r="AM75" s="10">
        <f t="shared" si="29"/>
        <v>6601472000</v>
      </c>
      <c r="AN75" s="9"/>
      <c r="AO75" s="8"/>
      <c r="AP75" s="8"/>
      <c r="AQ75" s="8"/>
      <c r="AR75" s="8"/>
      <c r="AS75" s="7"/>
      <c r="AT75" s="6">
        <f t="shared" si="30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20"/>
        <v>1</v>
      </c>
      <c r="O76" s="25">
        <v>15</v>
      </c>
      <c r="P76" s="23">
        <v>15</v>
      </c>
      <c r="Q76" s="24"/>
      <c r="R76" s="24"/>
      <c r="S76" s="23"/>
      <c r="T76" s="20">
        <f t="shared" si="21"/>
        <v>15</v>
      </c>
      <c r="U76" s="19">
        <f t="shared" si="22"/>
        <v>15</v>
      </c>
      <c r="V76" s="22"/>
      <c r="W76" s="22"/>
      <c r="X76" s="22"/>
      <c r="Y76" s="22"/>
      <c r="Z76" s="21"/>
      <c r="AA76" s="20">
        <f t="shared" si="23"/>
        <v>0</v>
      </c>
      <c r="AB76" s="19">
        <f t="shared" si="24"/>
        <v>0</v>
      </c>
      <c r="AC76" s="16">
        <v>20</v>
      </c>
      <c r="AD76" s="18"/>
      <c r="AE76" s="17"/>
      <c r="AF76" s="23">
        <f t="shared" si="25"/>
        <v>15</v>
      </c>
      <c r="AG76" s="16">
        <v>45</v>
      </c>
      <c r="AH76" s="23">
        <f t="shared" si="26"/>
        <v>80</v>
      </c>
      <c r="AI76" s="14">
        <f t="shared" si="27"/>
        <v>0.93</v>
      </c>
      <c r="AJ76" s="13"/>
      <c r="AK76" s="12">
        <v>0.01</v>
      </c>
      <c r="AL76" s="11">
        <f t="shared" si="28"/>
        <v>1.01</v>
      </c>
      <c r="AM76" s="10">
        <f t="shared" si="29"/>
        <v>6601472000</v>
      </c>
      <c r="AN76" s="9"/>
      <c r="AO76" s="8"/>
      <c r="AP76" s="8"/>
      <c r="AQ76" s="8"/>
      <c r="AR76" s="8"/>
      <c r="AS76" s="7"/>
      <c r="AT76" s="6">
        <f t="shared" si="30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20"/>
        <v>1</v>
      </c>
      <c r="O77" s="25">
        <v>15</v>
      </c>
      <c r="P77" s="23">
        <v>15</v>
      </c>
      <c r="Q77" s="24"/>
      <c r="R77" s="24"/>
      <c r="S77" s="23"/>
      <c r="T77" s="20">
        <f t="shared" si="21"/>
        <v>15</v>
      </c>
      <c r="U77" s="19">
        <f t="shared" si="22"/>
        <v>15</v>
      </c>
      <c r="V77" s="22"/>
      <c r="W77" s="22"/>
      <c r="X77" s="22"/>
      <c r="Y77" s="22"/>
      <c r="Z77" s="21"/>
      <c r="AA77" s="20">
        <f t="shared" si="23"/>
        <v>0</v>
      </c>
      <c r="AB77" s="19">
        <f t="shared" si="24"/>
        <v>0</v>
      </c>
      <c r="AC77" s="16">
        <v>20</v>
      </c>
      <c r="AD77" s="18"/>
      <c r="AE77" s="17"/>
      <c r="AF77" s="23">
        <f t="shared" si="25"/>
        <v>15</v>
      </c>
      <c r="AG77" s="16">
        <v>45</v>
      </c>
      <c r="AH77" s="23">
        <f t="shared" si="26"/>
        <v>80</v>
      </c>
      <c r="AI77" s="14">
        <f t="shared" si="27"/>
        <v>0.93</v>
      </c>
      <c r="AJ77" s="13"/>
      <c r="AK77" s="12">
        <v>0.01</v>
      </c>
      <c r="AL77" s="11">
        <f t="shared" si="28"/>
        <v>1.01</v>
      </c>
      <c r="AM77" s="10">
        <f t="shared" si="29"/>
        <v>6601472000</v>
      </c>
      <c r="AN77" s="9"/>
      <c r="AO77" s="8"/>
      <c r="AP77" s="8"/>
      <c r="AQ77" s="8"/>
      <c r="AR77" s="8"/>
      <c r="AS77" s="7"/>
      <c r="AT77" s="6">
        <f t="shared" si="30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20"/>
        <v>1</v>
      </c>
      <c r="O78" s="25">
        <v>15</v>
      </c>
      <c r="P78" s="23">
        <v>15</v>
      </c>
      <c r="Q78" s="24"/>
      <c r="R78" s="24"/>
      <c r="S78" s="23"/>
      <c r="T78" s="20">
        <f t="shared" si="21"/>
        <v>15</v>
      </c>
      <c r="U78" s="19">
        <f t="shared" si="22"/>
        <v>15</v>
      </c>
      <c r="V78" s="22"/>
      <c r="W78" s="22"/>
      <c r="X78" s="22"/>
      <c r="Y78" s="22"/>
      <c r="Z78" s="21"/>
      <c r="AA78" s="20">
        <f t="shared" si="23"/>
        <v>0</v>
      </c>
      <c r="AB78" s="19">
        <f t="shared" si="24"/>
        <v>0</v>
      </c>
      <c r="AC78" s="16">
        <v>20</v>
      </c>
      <c r="AD78" s="18"/>
      <c r="AE78" s="17"/>
      <c r="AF78" s="23">
        <f t="shared" si="25"/>
        <v>15</v>
      </c>
      <c r="AG78" s="16">
        <v>45</v>
      </c>
      <c r="AH78" s="23">
        <f t="shared" si="26"/>
        <v>80</v>
      </c>
      <c r="AI78" s="14">
        <f t="shared" si="27"/>
        <v>0.93</v>
      </c>
      <c r="AJ78" s="13"/>
      <c r="AK78" s="12">
        <v>0.01</v>
      </c>
      <c r="AL78" s="11">
        <f t="shared" si="28"/>
        <v>1.01</v>
      </c>
      <c r="AM78" s="10">
        <f t="shared" si="29"/>
        <v>6601472000</v>
      </c>
      <c r="AN78" s="9"/>
      <c r="AO78" s="8"/>
      <c r="AP78" s="8"/>
      <c r="AQ78" s="8"/>
      <c r="AR78" s="8"/>
      <c r="AS78" s="7"/>
      <c r="AT78" s="6">
        <f t="shared" si="30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20"/>
        <v>1</v>
      </c>
      <c r="O79" s="25">
        <v>15</v>
      </c>
      <c r="P79" s="23">
        <v>15</v>
      </c>
      <c r="Q79" s="24"/>
      <c r="R79" s="24"/>
      <c r="S79" s="23"/>
      <c r="T79" s="20">
        <f t="shared" si="21"/>
        <v>15</v>
      </c>
      <c r="U79" s="19">
        <f t="shared" si="22"/>
        <v>15</v>
      </c>
      <c r="V79" s="22"/>
      <c r="W79" s="22"/>
      <c r="X79" s="22"/>
      <c r="Y79" s="22"/>
      <c r="Z79" s="21"/>
      <c r="AA79" s="20">
        <f t="shared" si="23"/>
        <v>0</v>
      </c>
      <c r="AB79" s="19">
        <f t="shared" si="24"/>
        <v>0</v>
      </c>
      <c r="AC79" s="16">
        <v>20</v>
      </c>
      <c r="AD79" s="18"/>
      <c r="AE79" s="17"/>
      <c r="AF79" s="23">
        <f t="shared" si="25"/>
        <v>15</v>
      </c>
      <c r="AG79" s="16">
        <v>45</v>
      </c>
      <c r="AH79" s="23">
        <f t="shared" si="26"/>
        <v>80</v>
      </c>
      <c r="AI79" s="14">
        <f t="shared" si="27"/>
        <v>0.93</v>
      </c>
      <c r="AJ79" s="13"/>
      <c r="AK79" s="12">
        <v>0.01</v>
      </c>
      <c r="AL79" s="11">
        <f t="shared" si="28"/>
        <v>1.01</v>
      </c>
      <c r="AM79" s="10">
        <f t="shared" si="29"/>
        <v>6601472000</v>
      </c>
      <c r="AN79" s="9"/>
      <c r="AO79" s="8"/>
      <c r="AP79" s="8"/>
      <c r="AQ79" s="8"/>
      <c r="AR79" s="8"/>
      <c r="AS79" s="7"/>
      <c r="AT79" s="6">
        <f t="shared" si="30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20"/>
        <v>1</v>
      </c>
      <c r="O80" s="25">
        <v>15</v>
      </c>
      <c r="P80" s="23">
        <v>15</v>
      </c>
      <c r="Q80" s="24"/>
      <c r="R80" s="24"/>
      <c r="S80" s="23"/>
      <c r="T80" s="20">
        <f t="shared" si="21"/>
        <v>15</v>
      </c>
      <c r="U80" s="19">
        <f t="shared" si="22"/>
        <v>15</v>
      </c>
      <c r="V80" s="22"/>
      <c r="W80" s="22"/>
      <c r="X80" s="22"/>
      <c r="Y80" s="22"/>
      <c r="Z80" s="21"/>
      <c r="AA80" s="20">
        <f t="shared" si="23"/>
        <v>0</v>
      </c>
      <c r="AB80" s="19">
        <f t="shared" si="24"/>
        <v>0</v>
      </c>
      <c r="AC80" s="16">
        <v>20</v>
      </c>
      <c r="AD80" s="18"/>
      <c r="AE80" s="17"/>
      <c r="AF80" s="23">
        <f t="shared" si="25"/>
        <v>15</v>
      </c>
      <c r="AG80" s="16">
        <v>45</v>
      </c>
      <c r="AH80" s="23">
        <f t="shared" si="26"/>
        <v>80</v>
      </c>
      <c r="AI80" s="14">
        <f t="shared" si="27"/>
        <v>0.93</v>
      </c>
      <c r="AJ80" s="13"/>
      <c r="AK80" s="12">
        <v>0.01</v>
      </c>
      <c r="AL80" s="11">
        <f t="shared" si="28"/>
        <v>1.01</v>
      </c>
      <c r="AM80" s="10">
        <f t="shared" si="29"/>
        <v>6601472000</v>
      </c>
      <c r="AN80" s="9"/>
      <c r="AO80" s="8"/>
      <c r="AP80" s="8"/>
      <c r="AQ80" s="8"/>
      <c r="AR80" s="8"/>
      <c r="AS80" s="7"/>
      <c r="AT80" s="6">
        <f t="shared" si="30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20"/>
        <v>1</v>
      </c>
      <c r="O81" s="25">
        <v>15</v>
      </c>
      <c r="P81" s="23">
        <v>15</v>
      </c>
      <c r="Q81" s="24"/>
      <c r="R81" s="24"/>
      <c r="S81" s="23"/>
      <c r="T81" s="20">
        <f t="shared" si="21"/>
        <v>15</v>
      </c>
      <c r="U81" s="19">
        <f t="shared" si="22"/>
        <v>15</v>
      </c>
      <c r="V81" s="22"/>
      <c r="W81" s="22"/>
      <c r="X81" s="22"/>
      <c r="Y81" s="22"/>
      <c r="Z81" s="21"/>
      <c r="AA81" s="20">
        <f t="shared" si="23"/>
        <v>0</v>
      </c>
      <c r="AB81" s="19">
        <f t="shared" si="24"/>
        <v>0</v>
      </c>
      <c r="AC81" s="16">
        <v>20</v>
      </c>
      <c r="AD81" s="18"/>
      <c r="AE81" s="17"/>
      <c r="AF81" s="23">
        <f t="shared" si="25"/>
        <v>15</v>
      </c>
      <c r="AG81" s="16">
        <v>45</v>
      </c>
      <c r="AH81" s="23">
        <f t="shared" si="26"/>
        <v>80</v>
      </c>
      <c r="AI81" s="14">
        <f t="shared" si="27"/>
        <v>0.93</v>
      </c>
      <c r="AJ81" s="13"/>
      <c r="AK81" s="12">
        <v>0.01</v>
      </c>
      <c r="AL81" s="11">
        <f t="shared" si="28"/>
        <v>1.01</v>
      </c>
      <c r="AM81" s="10">
        <f t="shared" si="29"/>
        <v>6601472000</v>
      </c>
      <c r="AN81" s="9"/>
      <c r="AO81" s="8"/>
      <c r="AP81" s="8"/>
      <c r="AQ81" s="8"/>
      <c r="AR81" s="8"/>
      <c r="AS81" s="7"/>
      <c r="AT81" s="6">
        <f t="shared" si="30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20"/>
        <v>1</v>
      </c>
      <c r="O82" s="25">
        <v>15</v>
      </c>
      <c r="P82" s="23">
        <v>15</v>
      </c>
      <c r="Q82" s="24"/>
      <c r="R82" s="24"/>
      <c r="S82" s="23"/>
      <c r="T82" s="20">
        <f t="shared" si="21"/>
        <v>15</v>
      </c>
      <c r="U82" s="19">
        <f t="shared" si="22"/>
        <v>15</v>
      </c>
      <c r="V82" s="22"/>
      <c r="W82" s="22"/>
      <c r="X82" s="22"/>
      <c r="Y82" s="22"/>
      <c r="Z82" s="21"/>
      <c r="AA82" s="20">
        <f t="shared" si="23"/>
        <v>0</v>
      </c>
      <c r="AB82" s="19">
        <f t="shared" si="24"/>
        <v>0</v>
      </c>
      <c r="AC82" s="16">
        <v>20</v>
      </c>
      <c r="AD82" s="18"/>
      <c r="AE82" s="17"/>
      <c r="AF82" s="23">
        <f t="shared" si="25"/>
        <v>15</v>
      </c>
      <c r="AG82" s="16">
        <v>45</v>
      </c>
      <c r="AH82" s="23">
        <f t="shared" si="26"/>
        <v>80</v>
      </c>
      <c r="AI82" s="14">
        <f t="shared" si="27"/>
        <v>0.93</v>
      </c>
      <c r="AJ82" s="13"/>
      <c r="AK82" s="12">
        <v>0.01</v>
      </c>
      <c r="AL82" s="11">
        <f t="shared" si="28"/>
        <v>1.01</v>
      </c>
      <c r="AM82" s="10">
        <f t="shared" si="29"/>
        <v>6601472000</v>
      </c>
      <c r="AN82" s="9"/>
      <c r="AO82" s="8"/>
      <c r="AP82" s="8"/>
      <c r="AQ82" s="8"/>
      <c r="AR82" s="8"/>
      <c r="AS82" s="7"/>
      <c r="AT82" s="6">
        <f t="shared" si="30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20"/>
        <v>1</v>
      </c>
      <c r="O83" s="25">
        <v>15</v>
      </c>
      <c r="P83" s="23">
        <v>15</v>
      </c>
      <c r="Q83" s="24"/>
      <c r="R83" s="24"/>
      <c r="S83" s="23"/>
      <c r="T83" s="20">
        <f t="shared" si="21"/>
        <v>15</v>
      </c>
      <c r="U83" s="19">
        <f t="shared" si="22"/>
        <v>15</v>
      </c>
      <c r="V83" s="22"/>
      <c r="W83" s="22"/>
      <c r="X83" s="22"/>
      <c r="Y83" s="22"/>
      <c r="Z83" s="21"/>
      <c r="AA83" s="20">
        <f t="shared" si="23"/>
        <v>0</v>
      </c>
      <c r="AB83" s="19">
        <f t="shared" si="24"/>
        <v>0</v>
      </c>
      <c r="AC83" s="16">
        <v>20</v>
      </c>
      <c r="AD83" s="18"/>
      <c r="AE83" s="17"/>
      <c r="AF83" s="23">
        <f t="shared" si="25"/>
        <v>15</v>
      </c>
      <c r="AG83" s="16">
        <v>45</v>
      </c>
      <c r="AH83" s="23">
        <f t="shared" si="26"/>
        <v>80</v>
      </c>
      <c r="AI83" s="14">
        <f t="shared" si="27"/>
        <v>0.93</v>
      </c>
      <c r="AJ83" s="13"/>
      <c r="AK83" s="12">
        <v>0.01</v>
      </c>
      <c r="AL83" s="11">
        <f t="shared" si="28"/>
        <v>1.01</v>
      </c>
      <c r="AM83" s="10">
        <f t="shared" si="29"/>
        <v>6601472000</v>
      </c>
      <c r="AN83" s="9"/>
      <c r="AO83" s="8"/>
      <c r="AP83" s="8"/>
      <c r="AQ83" s="8"/>
      <c r="AR83" s="8"/>
      <c r="AS83" s="7"/>
      <c r="AT83" s="6">
        <f t="shared" si="30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20"/>
        <v>1</v>
      </c>
      <c r="O84" s="25">
        <v>15</v>
      </c>
      <c r="P84" s="23">
        <v>15</v>
      </c>
      <c r="Q84" s="24"/>
      <c r="R84" s="24"/>
      <c r="S84" s="23"/>
      <c r="T84" s="20">
        <f t="shared" si="21"/>
        <v>15</v>
      </c>
      <c r="U84" s="19">
        <f t="shared" si="22"/>
        <v>15</v>
      </c>
      <c r="V84" s="22"/>
      <c r="W84" s="22"/>
      <c r="X84" s="22"/>
      <c r="Y84" s="22"/>
      <c r="Z84" s="21"/>
      <c r="AA84" s="20">
        <f t="shared" si="23"/>
        <v>0</v>
      </c>
      <c r="AB84" s="19">
        <f t="shared" si="24"/>
        <v>0</v>
      </c>
      <c r="AC84" s="16">
        <v>20</v>
      </c>
      <c r="AD84" s="18"/>
      <c r="AE84" s="17"/>
      <c r="AF84" s="23">
        <f t="shared" si="25"/>
        <v>15</v>
      </c>
      <c r="AG84" s="16">
        <v>45</v>
      </c>
      <c r="AH84" s="23">
        <f t="shared" si="26"/>
        <v>80</v>
      </c>
      <c r="AI84" s="14">
        <f t="shared" si="27"/>
        <v>0.93</v>
      </c>
      <c r="AJ84" s="13"/>
      <c r="AK84" s="12">
        <v>0.01</v>
      </c>
      <c r="AL84" s="11">
        <f t="shared" si="28"/>
        <v>1.01</v>
      </c>
      <c r="AM84" s="10">
        <f t="shared" si="29"/>
        <v>6601472000</v>
      </c>
      <c r="AN84" s="9"/>
      <c r="AO84" s="8"/>
      <c r="AP84" s="8"/>
      <c r="AQ84" s="8"/>
      <c r="AR84" s="8"/>
      <c r="AS84" s="7"/>
      <c r="AT84" s="6">
        <f t="shared" si="30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20"/>
        <v>1</v>
      </c>
      <c r="O85" s="25">
        <v>15</v>
      </c>
      <c r="P85" s="23">
        <v>15</v>
      </c>
      <c r="Q85" s="24"/>
      <c r="R85" s="24"/>
      <c r="S85" s="23"/>
      <c r="T85" s="20">
        <f t="shared" si="21"/>
        <v>15</v>
      </c>
      <c r="U85" s="19">
        <f t="shared" si="22"/>
        <v>15</v>
      </c>
      <c r="V85" s="22"/>
      <c r="W85" s="22"/>
      <c r="X85" s="22"/>
      <c r="Y85" s="22"/>
      <c r="Z85" s="21"/>
      <c r="AA85" s="20">
        <f t="shared" si="23"/>
        <v>0</v>
      </c>
      <c r="AB85" s="19">
        <f t="shared" si="24"/>
        <v>0</v>
      </c>
      <c r="AC85" s="16">
        <v>20</v>
      </c>
      <c r="AD85" s="18"/>
      <c r="AE85" s="17"/>
      <c r="AF85" s="23">
        <f t="shared" si="25"/>
        <v>15</v>
      </c>
      <c r="AG85" s="16">
        <v>45</v>
      </c>
      <c r="AH85" s="23">
        <f t="shared" si="26"/>
        <v>80</v>
      </c>
      <c r="AI85" s="14">
        <f t="shared" si="27"/>
        <v>0.93</v>
      </c>
      <c r="AJ85" s="13"/>
      <c r="AK85" s="12">
        <v>0.01</v>
      </c>
      <c r="AL85" s="11">
        <f t="shared" si="28"/>
        <v>1.01</v>
      </c>
      <c r="AM85" s="10">
        <f t="shared" si="29"/>
        <v>6601472000</v>
      </c>
      <c r="AN85" s="9"/>
      <c r="AO85" s="8"/>
      <c r="AP85" s="8"/>
      <c r="AQ85" s="8"/>
      <c r="AR85" s="8"/>
      <c r="AS85" s="7"/>
      <c r="AT85" s="6">
        <f t="shared" si="30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20"/>
        <v>1</v>
      </c>
      <c r="O86" s="25">
        <v>15</v>
      </c>
      <c r="P86" s="23">
        <v>15</v>
      </c>
      <c r="Q86" s="24"/>
      <c r="R86" s="24"/>
      <c r="S86" s="23"/>
      <c r="T86" s="20">
        <f t="shared" si="21"/>
        <v>15</v>
      </c>
      <c r="U86" s="19">
        <f t="shared" si="22"/>
        <v>15</v>
      </c>
      <c r="V86" s="22"/>
      <c r="W86" s="22"/>
      <c r="X86" s="22"/>
      <c r="Y86" s="22"/>
      <c r="Z86" s="21"/>
      <c r="AA86" s="20">
        <f t="shared" si="23"/>
        <v>0</v>
      </c>
      <c r="AB86" s="19">
        <f t="shared" si="24"/>
        <v>0</v>
      </c>
      <c r="AC86" s="16">
        <v>20</v>
      </c>
      <c r="AD86" s="18"/>
      <c r="AE86" s="17"/>
      <c r="AF86" s="23">
        <f t="shared" si="25"/>
        <v>15</v>
      </c>
      <c r="AG86" s="16">
        <v>45</v>
      </c>
      <c r="AH86" s="23">
        <f t="shared" si="26"/>
        <v>80</v>
      </c>
      <c r="AI86" s="14">
        <f t="shared" si="27"/>
        <v>0.93</v>
      </c>
      <c r="AJ86" s="13"/>
      <c r="AK86" s="12">
        <v>0.01</v>
      </c>
      <c r="AL86" s="11">
        <f t="shared" si="28"/>
        <v>1.01</v>
      </c>
      <c r="AM86" s="10">
        <f t="shared" si="29"/>
        <v>6601472000</v>
      </c>
      <c r="AN86" s="9"/>
      <c r="AO86" s="8"/>
      <c r="AP86" s="8"/>
      <c r="AQ86" s="8"/>
      <c r="AR86" s="8"/>
      <c r="AS86" s="7"/>
      <c r="AT86" s="6">
        <f t="shared" si="30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20"/>
        <v>1</v>
      </c>
      <c r="O87" s="25">
        <v>15</v>
      </c>
      <c r="P87" s="23">
        <v>15</v>
      </c>
      <c r="Q87" s="24"/>
      <c r="R87" s="24"/>
      <c r="S87" s="23"/>
      <c r="T87" s="20">
        <f t="shared" si="21"/>
        <v>15</v>
      </c>
      <c r="U87" s="19">
        <f t="shared" si="22"/>
        <v>15</v>
      </c>
      <c r="V87" s="22"/>
      <c r="W87" s="22"/>
      <c r="X87" s="22"/>
      <c r="Y87" s="22"/>
      <c r="Z87" s="21"/>
      <c r="AA87" s="20">
        <f t="shared" si="23"/>
        <v>0</v>
      </c>
      <c r="AB87" s="19">
        <f t="shared" si="24"/>
        <v>0</v>
      </c>
      <c r="AC87" s="16">
        <v>20</v>
      </c>
      <c r="AD87" s="18"/>
      <c r="AE87" s="17"/>
      <c r="AF87" s="23">
        <f t="shared" si="25"/>
        <v>15</v>
      </c>
      <c r="AG87" s="16">
        <v>45</v>
      </c>
      <c r="AH87" s="23">
        <f t="shared" si="26"/>
        <v>80</v>
      </c>
      <c r="AI87" s="14">
        <f t="shared" si="27"/>
        <v>0.93</v>
      </c>
      <c r="AJ87" s="13"/>
      <c r="AK87" s="12">
        <v>0.01</v>
      </c>
      <c r="AL87" s="11">
        <f t="shared" si="28"/>
        <v>1.01</v>
      </c>
      <c r="AM87" s="10">
        <f t="shared" si="29"/>
        <v>6601472000</v>
      </c>
      <c r="AN87" s="9"/>
      <c r="AO87" s="8"/>
      <c r="AP87" s="8"/>
      <c r="AQ87" s="8"/>
      <c r="AR87" s="8"/>
      <c r="AS87" s="7"/>
      <c r="AT87" s="6">
        <f t="shared" si="30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20"/>
        <v>1</v>
      </c>
      <c r="O88" s="25">
        <v>15</v>
      </c>
      <c r="P88" s="23">
        <v>15</v>
      </c>
      <c r="Q88" s="24"/>
      <c r="R88" s="24"/>
      <c r="S88" s="23"/>
      <c r="T88" s="20">
        <f t="shared" si="21"/>
        <v>15</v>
      </c>
      <c r="U88" s="19">
        <f t="shared" si="22"/>
        <v>15</v>
      </c>
      <c r="V88" s="22"/>
      <c r="W88" s="22"/>
      <c r="X88" s="22"/>
      <c r="Y88" s="22"/>
      <c r="Z88" s="21"/>
      <c r="AA88" s="20">
        <f t="shared" si="23"/>
        <v>0</v>
      </c>
      <c r="AB88" s="19">
        <f t="shared" si="24"/>
        <v>0</v>
      </c>
      <c r="AC88" s="16">
        <v>20</v>
      </c>
      <c r="AD88" s="18"/>
      <c r="AE88" s="17"/>
      <c r="AF88" s="23">
        <f t="shared" si="25"/>
        <v>15</v>
      </c>
      <c r="AG88" s="16">
        <v>45</v>
      </c>
      <c r="AH88" s="23">
        <f t="shared" si="26"/>
        <v>80</v>
      </c>
      <c r="AI88" s="14">
        <f t="shared" si="27"/>
        <v>0.93</v>
      </c>
      <c r="AJ88" s="13"/>
      <c r="AK88" s="12">
        <v>0.01</v>
      </c>
      <c r="AL88" s="11">
        <f t="shared" si="28"/>
        <v>1.01</v>
      </c>
      <c r="AM88" s="10">
        <f t="shared" si="29"/>
        <v>6601472000</v>
      </c>
      <c r="AN88" s="9"/>
      <c r="AO88" s="8"/>
      <c r="AP88" s="8"/>
      <c r="AQ88" s="8"/>
      <c r="AR88" s="8"/>
      <c r="AS88" s="7"/>
      <c r="AT88" s="6">
        <f t="shared" si="30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20"/>
        <v>1</v>
      </c>
      <c r="O89" s="25">
        <v>15</v>
      </c>
      <c r="P89" s="23">
        <v>15</v>
      </c>
      <c r="Q89" s="24"/>
      <c r="R89" s="24"/>
      <c r="S89" s="23"/>
      <c r="T89" s="20">
        <f t="shared" si="21"/>
        <v>15</v>
      </c>
      <c r="U89" s="19">
        <f t="shared" si="22"/>
        <v>15</v>
      </c>
      <c r="V89" s="22"/>
      <c r="W89" s="22"/>
      <c r="X89" s="22"/>
      <c r="Y89" s="22"/>
      <c r="Z89" s="21"/>
      <c r="AA89" s="20">
        <f t="shared" si="23"/>
        <v>0</v>
      </c>
      <c r="AB89" s="19">
        <f t="shared" si="24"/>
        <v>0</v>
      </c>
      <c r="AC89" s="16">
        <v>20</v>
      </c>
      <c r="AD89" s="18"/>
      <c r="AE89" s="17"/>
      <c r="AF89" s="23">
        <f t="shared" si="25"/>
        <v>15</v>
      </c>
      <c r="AG89" s="16">
        <v>45</v>
      </c>
      <c r="AH89" s="23">
        <f t="shared" si="26"/>
        <v>80</v>
      </c>
      <c r="AI89" s="14">
        <f t="shared" si="27"/>
        <v>0.93</v>
      </c>
      <c r="AJ89" s="13"/>
      <c r="AK89" s="12">
        <v>0.01</v>
      </c>
      <c r="AL89" s="11">
        <f t="shared" si="28"/>
        <v>1.01</v>
      </c>
      <c r="AM89" s="10">
        <f t="shared" si="29"/>
        <v>6601472000</v>
      </c>
      <c r="AN89" s="9"/>
      <c r="AO89" s="8"/>
      <c r="AP89" s="8"/>
      <c r="AQ89" s="8"/>
      <c r="AR89" s="8"/>
      <c r="AS89" s="7"/>
      <c r="AT89" s="6">
        <f t="shared" si="30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20"/>
        <v>1</v>
      </c>
      <c r="O90" s="25">
        <v>15</v>
      </c>
      <c r="P90" s="23">
        <v>15</v>
      </c>
      <c r="Q90" s="24"/>
      <c r="R90" s="24"/>
      <c r="S90" s="23"/>
      <c r="T90" s="20">
        <f t="shared" si="21"/>
        <v>15</v>
      </c>
      <c r="U90" s="19">
        <f t="shared" si="22"/>
        <v>15</v>
      </c>
      <c r="V90" s="22"/>
      <c r="W90" s="22"/>
      <c r="X90" s="22"/>
      <c r="Y90" s="22"/>
      <c r="Z90" s="21"/>
      <c r="AA90" s="20">
        <f t="shared" si="23"/>
        <v>0</v>
      </c>
      <c r="AB90" s="19">
        <f t="shared" si="24"/>
        <v>0</v>
      </c>
      <c r="AC90" s="16">
        <v>20</v>
      </c>
      <c r="AD90" s="18"/>
      <c r="AE90" s="17"/>
      <c r="AF90" s="23">
        <f t="shared" si="25"/>
        <v>15</v>
      </c>
      <c r="AG90" s="16">
        <v>45</v>
      </c>
      <c r="AH90" s="23">
        <f t="shared" si="26"/>
        <v>80</v>
      </c>
      <c r="AI90" s="14">
        <f t="shared" si="27"/>
        <v>0.93</v>
      </c>
      <c r="AJ90" s="13"/>
      <c r="AK90" s="12">
        <v>0.01</v>
      </c>
      <c r="AL90" s="11">
        <f t="shared" si="28"/>
        <v>1.01</v>
      </c>
      <c r="AM90" s="10">
        <f t="shared" si="29"/>
        <v>6601472000</v>
      </c>
      <c r="AN90" s="9"/>
      <c r="AO90" s="8"/>
      <c r="AP90" s="8"/>
      <c r="AQ90" s="8"/>
      <c r="AR90" s="8"/>
      <c r="AS90" s="7"/>
      <c r="AT90" s="6">
        <f t="shared" si="30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20"/>
        <v>1</v>
      </c>
      <c r="O91" s="25">
        <v>15</v>
      </c>
      <c r="P91" s="23">
        <v>15</v>
      </c>
      <c r="Q91" s="24"/>
      <c r="R91" s="24"/>
      <c r="S91" s="23"/>
      <c r="T91" s="20">
        <f t="shared" si="21"/>
        <v>15</v>
      </c>
      <c r="U91" s="19">
        <f t="shared" si="22"/>
        <v>15</v>
      </c>
      <c r="V91" s="22"/>
      <c r="W91" s="22"/>
      <c r="X91" s="22"/>
      <c r="Y91" s="22"/>
      <c r="Z91" s="21"/>
      <c r="AA91" s="20">
        <f t="shared" si="23"/>
        <v>0</v>
      </c>
      <c r="AB91" s="19">
        <f t="shared" si="24"/>
        <v>0</v>
      </c>
      <c r="AC91" s="16">
        <v>20</v>
      </c>
      <c r="AD91" s="18"/>
      <c r="AE91" s="17"/>
      <c r="AF91" s="23">
        <f t="shared" si="25"/>
        <v>15</v>
      </c>
      <c r="AG91" s="16">
        <v>45</v>
      </c>
      <c r="AH91" s="23">
        <f t="shared" si="26"/>
        <v>80</v>
      </c>
      <c r="AI91" s="14">
        <f t="shared" si="27"/>
        <v>0.93</v>
      </c>
      <c r="AJ91" s="13"/>
      <c r="AK91" s="12">
        <v>0.01</v>
      </c>
      <c r="AL91" s="11">
        <f t="shared" si="28"/>
        <v>1.01</v>
      </c>
      <c r="AM91" s="10">
        <f t="shared" si="29"/>
        <v>6601472000</v>
      </c>
      <c r="AN91" s="9"/>
      <c r="AO91" s="8"/>
      <c r="AP91" s="8"/>
      <c r="AQ91" s="8"/>
      <c r="AR91" s="8"/>
      <c r="AS91" s="7"/>
      <c r="AT91" s="6">
        <f t="shared" si="30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20"/>
        <v>1</v>
      </c>
      <c r="O92" s="25">
        <v>15</v>
      </c>
      <c r="P92" s="23">
        <v>15</v>
      </c>
      <c r="Q92" s="24"/>
      <c r="R92" s="24"/>
      <c r="S92" s="23"/>
      <c r="T92" s="20">
        <f t="shared" si="21"/>
        <v>15</v>
      </c>
      <c r="U92" s="19">
        <f t="shared" si="22"/>
        <v>15</v>
      </c>
      <c r="V92" s="22"/>
      <c r="W92" s="22"/>
      <c r="X92" s="22"/>
      <c r="Y92" s="22"/>
      <c r="Z92" s="21"/>
      <c r="AA92" s="20">
        <f t="shared" si="23"/>
        <v>0</v>
      </c>
      <c r="AB92" s="19">
        <f t="shared" si="24"/>
        <v>0</v>
      </c>
      <c r="AC92" s="16">
        <v>20</v>
      </c>
      <c r="AD92" s="18"/>
      <c r="AE92" s="17"/>
      <c r="AF92" s="23">
        <f t="shared" si="25"/>
        <v>15</v>
      </c>
      <c r="AG92" s="16">
        <v>45</v>
      </c>
      <c r="AH92" s="23">
        <f t="shared" si="26"/>
        <v>80</v>
      </c>
      <c r="AI92" s="14">
        <f t="shared" si="27"/>
        <v>0.93</v>
      </c>
      <c r="AJ92" s="13"/>
      <c r="AK92" s="12">
        <v>0.01</v>
      </c>
      <c r="AL92" s="11">
        <f t="shared" si="28"/>
        <v>1.01</v>
      </c>
      <c r="AM92" s="10">
        <f t="shared" si="29"/>
        <v>6601472000</v>
      </c>
      <c r="AN92" s="9"/>
      <c r="AO92" s="8"/>
      <c r="AP92" s="8"/>
      <c r="AQ92" s="8"/>
      <c r="AR92" s="8"/>
      <c r="AS92" s="7"/>
      <c r="AT92" s="6">
        <f t="shared" si="30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20"/>
        <v>1</v>
      </c>
      <c r="O93" s="25">
        <v>15</v>
      </c>
      <c r="P93" s="23">
        <v>15</v>
      </c>
      <c r="Q93" s="24"/>
      <c r="R93" s="24"/>
      <c r="S93" s="23"/>
      <c r="T93" s="20">
        <f t="shared" si="21"/>
        <v>15</v>
      </c>
      <c r="U93" s="19">
        <f t="shared" si="22"/>
        <v>15</v>
      </c>
      <c r="V93" s="22"/>
      <c r="W93" s="22"/>
      <c r="X93" s="22"/>
      <c r="Y93" s="22"/>
      <c r="Z93" s="21"/>
      <c r="AA93" s="20">
        <f t="shared" si="23"/>
        <v>0</v>
      </c>
      <c r="AB93" s="19">
        <f t="shared" si="24"/>
        <v>0</v>
      </c>
      <c r="AC93" s="16">
        <v>20</v>
      </c>
      <c r="AD93" s="18"/>
      <c r="AE93" s="17"/>
      <c r="AF93" s="23">
        <f t="shared" si="25"/>
        <v>15</v>
      </c>
      <c r="AG93" s="16">
        <v>45</v>
      </c>
      <c r="AH93" s="23">
        <f t="shared" si="26"/>
        <v>80</v>
      </c>
      <c r="AI93" s="14">
        <f t="shared" si="27"/>
        <v>0.93</v>
      </c>
      <c r="AJ93" s="13"/>
      <c r="AK93" s="12">
        <v>0.01</v>
      </c>
      <c r="AL93" s="11">
        <f t="shared" si="28"/>
        <v>1.01</v>
      </c>
      <c r="AM93" s="10">
        <f t="shared" si="29"/>
        <v>6601472000</v>
      </c>
      <c r="AN93" s="9"/>
      <c r="AO93" s="8"/>
      <c r="AP93" s="8"/>
      <c r="AQ93" s="8"/>
      <c r="AR93" s="8"/>
      <c r="AS93" s="7"/>
      <c r="AT93" s="6">
        <f t="shared" si="30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20"/>
        <v>1</v>
      </c>
      <c r="O94" s="25">
        <v>15</v>
      </c>
      <c r="P94" s="23">
        <v>15</v>
      </c>
      <c r="Q94" s="24"/>
      <c r="R94" s="24"/>
      <c r="S94" s="23"/>
      <c r="T94" s="20">
        <f t="shared" si="21"/>
        <v>15</v>
      </c>
      <c r="U94" s="19">
        <f t="shared" si="22"/>
        <v>15</v>
      </c>
      <c r="V94" s="22"/>
      <c r="W94" s="22"/>
      <c r="X94" s="22"/>
      <c r="Y94" s="22"/>
      <c r="Z94" s="21"/>
      <c r="AA94" s="20">
        <f t="shared" si="23"/>
        <v>0</v>
      </c>
      <c r="AB94" s="19">
        <f t="shared" si="24"/>
        <v>0</v>
      </c>
      <c r="AC94" s="16">
        <v>20</v>
      </c>
      <c r="AD94" s="18"/>
      <c r="AE94" s="17"/>
      <c r="AF94" s="23">
        <f t="shared" si="25"/>
        <v>15</v>
      </c>
      <c r="AG94" s="16">
        <v>45</v>
      </c>
      <c r="AH94" s="23">
        <f t="shared" si="26"/>
        <v>80</v>
      </c>
      <c r="AI94" s="14">
        <f t="shared" si="27"/>
        <v>0.93</v>
      </c>
      <c r="AJ94" s="13"/>
      <c r="AK94" s="12">
        <v>0.01</v>
      </c>
      <c r="AL94" s="11">
        <f t="shared" si="28"/>
        <v>1.01</v>
      </c>
      <c r="AM94" s="10">
        <f t="shared" si="29"/>
        <v>6601472000</v>
      </c>
      <c r="AN94" s="9"/>
      <c r="AO94" s="8"/>
      <c r="AP94" s="8"/>
      <c r="AQ94" s="8"/>
      <c r="AR94" s="8"/>
      <c r="AS94" s="7"/>
      <c r="AT94" s="6">
        <f t="shared" si="30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20"/>
        <v>1</v>
      </c>
      <c r="O95" s="25">
        <v>15</v>
      </c>
      <c r="P95" s="23">
        <v>15</v>
      </c>
      <c r="Q95" s="24"/>
      <c r="R95" s="24"/>
      <c r="S95" s="23"/>
      <c r="T95" s="20">
        <f t="shared" si="21"/>
        <v>15</v>
      </c>
      <c r="U95" s="19">
        <f t="shared" si="22"/>
        <v>15</v>
      </c>
      <c r="V95" s="22"/>
      <c r="W95" s="22"/>
      <c r="X95" s="22"/>
      <c r="Y95" s="22"/>
      <c r="Z95" s="21"/>
      <c r="AA95" s="20">
        <f t="shared" si="23"/>
        <v>0</v>
      </c>
      <c r="AB95" s="19">
        <f t="shared" si="24"/>
        <v>0</v>
      </c>
      <c r="AC95" s="16">
        <v>20</v>
      </c>
      <c r="AD95" s="18"/>
      <c r="AE95" s="17"/>
      <c r="AF95" s="23">
        <f t="shared" si="25"/>
        <v>15</v>
      </c>
      <c r="AG95" s="16">
        <v>45</v>
      </c>
      <c r="AH95" s="23">
        <f t="shared" si="26"/>
        <v>80</v>
      </c>
      <c r="AI95" s="14">
        <f t="shared" si="27"/>
        <v>0.93</v>
      </c>
      <c r="AJ95" s="13"/>
      <c r="AK95" s="12">
        <v>0.01</v>
      </c>
      <c r="AL95" s="11">
        <f t="shared" si="28"/>
        <v>1.01</v>
      </c>
      <c r="AM95" s="10">
        <f t="shared" si="29"/>
        <v>6601472000</v>
      </c>
      <c r="AN95" s="9"/>
      <c r="AO95" s="8"/>
      <c r="AP95" s="8"/>
      <c r="AQ95" s="8"/>
      <c r="AR95" s="8"/>
      <c r="AS95" s="7"/>
      <c r="AT95" s="6">
        <f t="shared" si="30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20"/>
        <v>1</v>
      </c>
      <c r="O96" s="25">
        <v>15</v>
      </c>
      <c r="P96" s="23">
        <v>15</v>
      </c>
      <c r="Q96" s="24"/>
      <c r="R96" s="24"/>
      <c r="S96" s="23"/>
      <c r="T96" s="20">
        <f t="shared" si="21"/>
        <v>15</v>
      </c>
      <c r="U96" s="19">
        <f t="shared" si="22"/>
        <v>15</v>
      </c>
      <c r="V96" s="22"/>
      <c r="W96" s="22"/>
      <c r="X96" s="22"/>
      <c r="Y96" s="22"/>
      <c r="Z96" s="21"/>
      <c r="AA96" s="20">
        <f t="shared" si="23"/>
        <v>0</v>
      </c>
      <c r="AB96" s="19">
        <f t="shared" si="24"/>
        <v>0</v>
      </c>
      <c r="AC96" s="16">
        <v>20</v>
      </c>
      <c r="AD96" s="18"/>
      <c r="AE96" s="17"/>
      <c r="AF96" s="23">
        <f t="shared" si="25"/>
        <v>15</v>
      </c>
      <c r="AG96" s="16">
        <v>45</v>
      </c>
      <c r="AH96" s="23">
        <f t="shared" si="26"/>
        <v>80</v>
      </c>
      <c r="AI96" s="14">
        <f t="shared" si="27"/>
        <v>0.93</v>
      </c>
      <c r="AJ96" s="13"/>
      <c r="AK96" s="12">
        <v>0.01</v>
      </c>
      <c r="AL96" s="11">
        <f t="shared" si="28"/>
        <v>1.01</v>
      </c>
      <c r="AM96" s="10">
        <f t="shared" si="29"/>
        <v>6601472000</v>
      </c>
      <c r="AN96" s="9"/>
      <c r="AO96" s="8"/>
      <c r="AP96" s="8"/>
      <c r="AQ96" s="8"/>
      <c r="AR96" s="8"/>
      <c r="AS96" s="7"/>
      <c r="AT96" s="6">
        <f t="shared" si="30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20"/>
        <v>1</v>
      </c>
      <c r="O97" s="25">
        <v>15</v>
      </c>
      <c r="P97" s="23">
        <v>15</v>
      </c>
      <c r="Q97" s="24"/>
      <c r="R97" s="24"/>
      <c r="S97" s="23"/>
      <c r="T97" s="20">
        <f t="shared" si="21"/>
        <v>15</v>
      </c>
      <c r="U97" s="19">
        <f t="shared" si="22"/>
        <v>15</v>
      </c>
      <c r="V97" s="22"/>
      <c r="W97" s="22"/>
      <c r="X97" s="22"/>
      <c r="Y97" s="22"/>
      <c r="Z97" s="21"/>
      <c r="AA97" s="20">
        <f t="shared" si="23"/>
        <v>0</v>
      </c>
      <c r="AB97" s="19">
        <f t="shared" si="24"/>
        <v>0</v>
      </c>
      <c r="AC97" s="16">
        <v>20</v>
      </c>
      <c r="AD97" s="18"/>
      <c r="AE97" s="17"/>
      <c r="AF97" s="23">
        <f t="shared" si="25"/>
        <v>15</v>
      </c>
      <c r="AG97" s="16">
        <v>45</v>
      </c>
      <c r="AH97" s="23">
        <f t="shared" si="26"/>
        <v>80</v>
      </c>
      <c r="AI97" s="14">
        <f t="shared" si="27"/>
        <v>0.93</v>
      </c>
      <c r="AJ97" s="13"/>
      <c r="AK97" s="12">
        <v>0.01</v>
      </c>
      <c r="AL97" s="11">
        <f t="shared" si="28"/>
        <v>1.01</v>
      </c>
      <c r="AM97" s="10">
        <f t="shared" si="29"/>
        <v>6601472000</v>
      </c>
      <c r="AN97" s="9"/>
      <c r="AO97" s="8"/>
      <c r="AP97" s="8"/>
      <c r="AQ97" s="8"/>
      <c r="AR97" s="8"/>
      <c r="AS97" s="7"/>
      <c r="AT97" s="6">
        <f t="shared" si="30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20"/>
        <v>1</v>
      </c>
      <c r="O98" s="25">
        <v>15</v>
      </c>
      <c r="P98" s="23">
        <v>15</v>
      </c>
      <c r="Q98" s="24"/>
      <c r="R98" s="24"/>
      <c r="S98" s="23"/>
      <c r="T98" s="20">
        <f t="shared" si="21"/>
        <v>15</v>
      </c>
      <c r="U98" s="19">
        <f t="shared" si="22"/>
        <v>15</v>
      </c>
      <c r="V98" s="22"/>
      <c r="W98" s="22"/>
      <c r="X98" s="22"/>
      <c r="Y98" s="22"/>
      <c r="Z98" s="21"/>
      <c r="AA98" s="20">
        <f t="shared" si="23"/>
        <v>0</v>
      </c>
      <c r="AB98" s="19">
        <f t="shared" si="24"/>
        <v>0</v>
      </c>
      <c r="AC98" s="16">
        <v>20</v>
      </c>
      <c r="AD98" s="18"/>
      <c r="AE98" s="17"/>
      <c r="AF98" s="23">
        <f t="shared" si="25"/>
        <v>15</v>
      </c>
      <c r="AG98" s="16">
        <v>45</v>
      </c>
      <c r="AH98" s="23">
        <f t="shared" si="26"/>
        <v>80</v>
      </c>
      <c r="AI98" s="14">
        <f t="shared" si="27"/>
        <v>0.93</v>
      </c>
      <c r="AJ98" s="13"/>
      <c r="AK98" s="12">
        <v>0.01</v>
      </c>
      <c r="AL98" s="11">
        <f t="shared" si="28"/>
        <v>1.01</v>
      </c>
      <c r="AM98" s="10">
        <f t="shared" si="29"/>
        <v>6601472000</v>
      </c>
      <c r="AN98" s="9"/>
      <c r="AO98" s="8"/>
      <c r="AP98" s="8"/>
      <c r="AQ98" s="8"/>
      <c r="AR98" s="8"/>
      <c r="AS98" s="7"/>
      <c r="AT98" s="6">
        <f t="shared" si="30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20"/>
        <v>1</v>
      </c>
      <c r="O99" s="25">
        <v>15</v>
      </c>
      <c r="P99" s="23">
        <v>15</v>
      </c>
      <c r="Q99" s="24"/>
      <c r="R99" s="24"/>
      <c r="S99" s="23"/>
      <c r="T99" s="20">
        <f t="shared" si="21"/>
        <v>15</v>
      </c>
      <c r="U99" s="19">
        <f t="shared" si="22"/>
        <v>15</v>
      </c>
      <c r="V99" s="22"/>
      <c r="W99" s="22"/>
      <c r="X99" s="22"/>
      <c r="Y99" s="22"/>
      <c r="Z99" s="21"/>
      <c r="AA99" s="20">
        <f t="shared" si="23"/>
        <v>0</v>
      </c>
      <c r="AB99" s="19">
        <f t="shared" si="24"/>
        <v>0</v>
      </c>
      <c r="AC99" s="16">
        <v>20</v>
      </c>
      <c r="AD99" s="18"/>
      <c r="AE99" s="17"/>
      <c r="AF99" s="23">
        <f t="shared" si="25"/>
        <v>15</v>
      </c>
      <c r="AG99" s="16">
        <v>45</v>
      </c>
      <c r="AH99" s="23">
        <f t="shared" si="26"/>
        <v>80</v>
      </c>
      <c r="AI99" s="14">
        <f t="shared" si="27"/>
        <v>0.93</v>
      </c>
      <c r="AJ99" s="13"/>
      <c r="AK99" s="12">
        <v>0.01</v>
      </c>
      <c r="AL99" s="11">
        <f t="shared" si="28"/>
        <v>1.01</v>
      </c>
      <c r="AM99" s="10">
        <f t="shared" si="29"/>
        <v>6601472000</v>
      </c>
      <c r="AN99" s="9"/>
      <c r="AO99" s="8"/>
      <c r="AP99" s="8"/>
      <c r="AQ99" s="8"/>
      <c r="AR99" s="8"/>
      <c r="AS99" s="7"/>
      <c r="AT99" s="6">
        <f t="shared" si="30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20"/>
        <v>1</v>
      </c>
      <c r="O100" s="25">
        <v>15</v>
      </c>
      <c r="P100" s="23">
        <v>15</v>
      </c>
      <c r="Q100" s="24"/>
      <c r="R100" s="24"/>
      <c r="S100" s="23"/>
      <c r="T100" s="20">
        <f t="shared" si="21"/>
        <v>15</v>
      </c>
      <c r="U100" s="19">
        <f t="shared" si="22"/>
        <v>15</v>
      </c>
      <c r="V100" s="22"/>
      <c r="W100" s="22"/>
      <c r="X100" s="22"/>
      <c r="Y100" s="22"/>
      <c r="Z100" s="21"/>
      <c r="AA100" s="20">
        <f t="shared" si="23"/>
        <v>0</v>
      </c>
      <c r="AB100" s="19">
        <f t="shared" si="24"/>
        <v>0</v>
      </c>
      <c r="AC100" s="16">
        <v>20</v>
      </c>
      <c r="AD100" s="18"/>
      <c r="AE100" s="17"/>
      <c r="AF100" s="23">
        <f t="shared" si="25"/>
        <v>15</v>
      </c>
      <c r="AG100" s="16">
        <v>45</v>
      </c>
      <c r="AH100" s="23">
        <f t="shared" si="26"/>
        <v>80</v>
      </c>
      <c r="AI100" s="14">
        <f t="shared" si="27"/>
        <v>0.93</v>
      </c>
      <c r="AJ100" s="13"/>
      <c r="AK100" s="12">
        <v>0.01</v>
      </c>
      <c r="AL100" s="11">
        <f t="shared" si="28"/>
        <v>1.01</v>
      </c>
      <c r="AM100" s="10">
        <f t="shared" si="29"/>
        <v>6601472000</v>
      </c>
      <c r="AN100" s="9"/>
      <c r="AO100" s="8"/>
      <c r="AP100" s="8"/>
      <c r="AQ100" s="8"/>
      <c r="AR100" s="8"/>
      <c r="AS100" s="7"/>
      <c r="AT100" s="6">
        <f t="shared" si="30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si="20"/>
        <v>1</v>
      </c>
      <c r="O101" s="25">
        <v>15</v>
      </c>
      <c r="P101" s="23">
        <v>15</v>
      </c>
      <c r="Q101" s="24"/>
      <c r="R101" s="24"/>
      <c r="S101" s="23"/>
      <c r="T101" s="20">
        <f t="shared" si="21"/>
        <v>15</v>
      </c>
      <c r="U101" s="19">
        <f t="shared" si="22"/>
        <v>15</v>
      </c>
      <c r="V101" s="22"/>
      <c r="W101" s="22"/>
      <c r="X101" s="22"/>
      <c r="Y101" s="22"/>
      <c r="Z101" s="21"/>
      <c r="AA101" s="20">
        <f t="shared" si="23"/>
        <v>0</v>
      </c>
      <c r="AB101" s="19">
        <f t="shared" si="24"/>
        <v>0</v>
      </c>
      <c r="AC101" s="16">
        <v>20</v>
      </c>
      <c r="AD101" s="18"/>
      <c r="AE101" s="17"/>
      <c r="AF101" s="23">
        <f t="shared" si="25"/>
        <v>15</v>
      </c>
      <c r="AG101" s="16">
        <v>45</v>
      </c>
      <c r="AH101" s="23">
        <f t="shared" si="26"/>
        <v>80</v>
      </c>
      <c r="AI101" s="14">
        <f t="shared" si="27"/>
        <v>0.93</v>
      </c>
      <c r="AJ101" s="13"/>
      <c r="AK101" s="12">
        <v>0.01</v>
      </c>
      <c r="AL101" s="11">
        <f t="shared" si="28"/>
        <v>1.01</v>
      </c>
      <c r="AM101" s="10">
        <f t="shared" si="29"/>
        <v>6601472000</v>
      </c>
      <c r="AN101" s="9"/>
      <c r="AO101" s="8"/>
      <c r="AP101" s="8"/>
      <c r="AQ101" s="8"/>
      <c r="AR101" s="8"/>
      <c r="AS101" s="7"/>
      <c r="AT101" s="6">
        <f t="shared" si="30"/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20"/>
        <v>1</v>
      </c>
      <c r="O102" s="25">
        <v>15</v>
      </c>
      <c r="P102" s="23">
        <v>15</v>
      </c>
      <c r="Q102" s="24"/>
      <c r="R102" s="24"/>
      <c r="S102" s="23"/>
      <c r="T102" s="20">
        <f t="shared" si="21"/>
        <v>15</v>
      </c>
      <c r="U102" s="19">
        <f t="shared" si="22"/>
        <v>15</v>
      </c>
      <c r="V102" s="22"/>
      <c r="W102" s="22"/>
      <c r="X102" s="22"/>
      <c r="Y102" s="22"/>
      <c r="Z102" s="21"/>
      <c r="AA102" s="20">
        <f t="shared" si="23"/>
        <v>0</v>
      </c>
      <c r="AB102" s="19">
        <f t="shared" si="24"/>
        <v>0</v>
      </c>
      <c r="AC102" s="16">
        <v>20</v>
      </c>
      <c r="AD102" s="18"/>
      <c r="AE102" s="17"/>
      <c r="AF102" s="23">
        <f t="shared" si="25"/>
        <v>15</v>
      </c>
      <c r="AG102" s="16">
        <v>45</v>
      </c>
      <c r="AH102" s="23">
        <f t="shared" si="26"/>
        <v>80</v>
      </c>
      <c r="AI102" s="14">
        <f t="shared" si="27"/>
        <v>0.93</v>
      </c>
      <c r="AJ102" s="13"/>
      <c r="AK102" s="12">
        <v>0.01</v>
      </c>
      <c r="AL102" s="11">
        <f t="shared" si="28"/>
        <v>1.01</v>
      </c>
      <c r="AM102" s="10">
        <f t="shared" si="29"/>
        <v>6601472000</v>
      </c>
      <c r="AN102" s="9"/>
      <c r="AO102" s="8"/>
      <c r="AP102" s="8"/>
      <c r="AQ102" s="8"/>
      <c r="AR102" s="8"/>
      <c r="AS102" s="7"/>
      <c r="AT102" s="6">
        <f t="shared" si="30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20"/>
        <v>1</v>
      </c>
      <c r="O103" s="25">
        <v>15</v>
      </c>
      <c r="P103" s="23">
        <v>15</v>
      </c>
      <c r="Q103" s="24"/>
      <c r="R103" s="24"/>
      <c r="S103" s="23"/>
      <c r="T103" s="20">
        <f t="shared" si="21"/>
        <v>15</v>
      </c>
      <c r="U103" s="19">
        <f t="shared" si="22"/>
        <v>15</v>
      </c>
      <c r="V103" s="22"/>
      <c r="W103" s="22"/>
      <c r="X103" s="22"/>
      <c r="Y103" s="22"/>
      <c r="Z103" s="21"/>
      <c r="AA103" s="20">
        <f t="shared" si="23"/>
        <v>0</v>
      </c>
      <c r="AB103" s="19">
        <f t="shared" si="24"/>
        <v>0</v>
      </c>
      <c r="AC103" s="16">
        <v>20</v>
      </c>
      <c r="AD103" s="18"/>
      <c r="AE103" s="17"/>
      <c r="AF103" s="23">
        <f t="shared" si="25"/>
        <v>15</v>
      </c>
      <c r="AG103" s="16">
        <v>45</v>
      </c>
      <c r="AH103" s="23">
        <f t="shared" si="26"/>
        <v>80</v>
      </c>
      <c r="AI103" s="14">
        <f t="shared" si="27"/>
        <v>0.93</v>
      </c>
      <c r="AJ103" s="13"/>
      <c r="AK103" s="12">
        <v>0.01</v>
      </c>
      <c r="AL103" s="11">
        <f t="shared" si="28"/>
        <v>1.01</v>
      </c>
      <c r="AM103" s="10">
        <f t="shared" si="29"/>
        <v>6601472000</v>
      </c>
      <c r="AN103" s="9"/>
      <c r="AO103" s="8"/>
      <c r="AP103" s="8"/>
      <c r="AQ103" s="8"/>
      <c r="AR103" s="8"/>
      <c r="AS103" s="7"/>
      <c r="AT103" s="6">
        <f t="shared" si="30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20"/>
        <v>1</v>
      </c>
      <c r="O104" s="25">
        <v>15</v>
      </c>
      <c r="P104" s="23">
        <v>15</v>
      </c>
      <c r="Q104" s="24"/>
      <c r="R104" s="24"/>
      <c r="S104" s="23"/>
      <c r="T104" s="20">
        <f t="shared" si="21"/>
        <v>15</v>
      </c>
      <c r="U104" s="19">
        <f t="shared" si="22"/>
        <v>15</v>
      </c>
      <c r="V104" s="22"/>
      <c r="W104" s="22"/>
      <c r="X104" s="22"/>
      <c r="Y104" s="22"/>
      <c r="Z104" s="21"/>
      <c r="AA104" s="20">
        <f t="shared" si="23"/>
        <v>0</v>
      </c>
      <c r="AB104" s="19">
        <f t="shared" si="24"/>
        <v>0</v>
      </c>
      <c r="AC104" s="16">
        <v>20</v>
      </c>
      <c r="AD104" s="18"/>
      <c r="AE104" s="17"/>
      <c r="AF104" s="23">
        <f t="shared" si="25"/>
        <v>15</v>
      </c>
      <c r="AG104" s="16">
        <v>45</v>
      </c>
      <c r="AH104" s="23">
        <f t="shared" si="26"/>
        <v>80</v>
      </c>
      <c r="AI104" s="14">
        <f t="shared" si="27"/>
        <v>0.93</v>
      </c>
      <c r="AJ104" s="13"/>
      <c r="AK104" s="12">
        <v>0.01</v>
      </c>
      <c r="AL104" s="11">
        <f t="shared" si="28"/>
        <v>1.01</v>
      </c>
      <c r="AM104" s="10">
        <f t="shared" si="29"/>
        <v>6601472000</v>
      </c>
      <c r="AN104" s="9"/>
      <c r="AO104" s="8"/>
      <c r="AP104" s="8"/>
      <c r="AQ104" s="8"/>
      <c r="AR104" s="8"/>
      <c r="AS104" s="7"/>
      <c r="AT104" s="6">
        <f t="shared" si="30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20"/>
        <v>1</v>
      </c>
      <c r="O105" s="25">
        <v>15</v>
      </c>
      <c r="P105" s="23">
        <v>15</v>
      </c>
      <c r="Q105" s="24"/>
      <c r="R105" s="24"/>
      <c r="S105" s="23"/>
      <c r="T105" s="20">
        <f t="shared" si="21"/>
        <v>15</v>
      </c>
      <c r="U105" s="19">
        <f t="shared" si="22"/>
        <v>15</v>
      </c>
      <c r="V105" s="22"/>
      <c r="W105" s="22"/>
      <c r="X105" s="22"/>
      <c r="Y105" s="22"/>
      <c r="Z105" s="21"/>
      <c r="AA105" s="20">
        <f t="shared" si="23"/>
        <v>0</v>
      </c>
      <c r="AB105" s="19">
        <f t="shared" si="24"/>
        <v>0</v>
      </c>
      <c r="AC105" s="16">
        <v>20</v>
      </c>
      <c r="AD105" s="18"/>
      <c r="AE105" s="17"/>
      <c r="AF105" s="23">
        <f t="shared" si="25"/>
        <v>15</v>
      </c>
      <c r="AG105" s="16">
        <v>45</v>
      </c>
      <c r="AH105" s="23">
        <f t="shared" si="26"/>
        <v>80</v>
      </c>
      <c r="AI105" s="14">
        <f t="shared" si="27"/>
        <v>0.93</v>
      </c>
      <c r="AJ105" s="13"/>
      <c r="AK105" s="12">
        <v>0.01</v>
      </c>
      <c r="AL105" s="11">
        <f t="shared" si="28"/>
        <v>1.01</v>
      </c>
      <c r="AM105" s="10">
        <f t="shared" si="29"/>
        <v>6601472000</v>
      </c>
      <c r="AN105" s="9"/>
      <c r="AO105" s="8"/>
      <c r="AP105" s="8"/>
      <c r="AQ105" s="8"/>
      <c r="AR105" s="8"/>
      <c r="AS105" s="7"/>
      <c r="AT105" s="6">
        <f t="shared" si="30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20"/>
        <v>1</v>
      </c>
      <c r="O106" s="25">
        <v>15</v>
      </c>
      <c r="P106" s="23">
        <v>15</v>
      </c>
      <c r="Q106" s="24"/>
      <c r="R106" s="24"/>
      <c r="S106" s="23"/>
      <c r="T106" s="20">
        <f t="shared" si="21"/>
        <v>15</v>
      </c>
      <c r="U106" s="19">
        <f t="shared" si="22"/>
        <v>15</v>
      </c>
      <c r="V106" s="22"/>
      <c r="W106" s="22"/>
      <c r="X106" s="22"/>
      <c r="Y106" s="22"/>
      <c r="Z106" s="21"/>
      <c r="AA106" s="20">
        <f t="shared" si="23"/>
        <v>0</v>
      </c>
      <c r="AB106" s="19">
        <f t="shared" si="24"/>
        <v>0</v>
      </c>
      <c r="AC106" s="16">
        <v>20</v>
      </c>
      <c r="AD106" s="18"/>
      <c r="AE106" s="17"/>
      <c r="AF106" s="23">
        <f t="shared" si="25"/>
        <v>15</v>
      </c>
      <c r="AG106" s="16">
        <v>45</v>
      </c>
      <c r="AH106" s="23">
        <f t="shared" si="26"/>
        <v>80</v>
      </c>
      <c r="AI106" s="14">
        <f t="shared" si="27"/>
        <v>0.93</v>
      </c>
      <c r="AJ106" s="13"/>
      <c r="AK106" s="12">
        <v>0.01</v>
      </c>
      <c r="AL106" s="11">
        <f t="shared" si="28"/>
        <v>1.01</v>
      </c>
      <c r="AM106" s="10">
        <f t="shared" si="29"/>
        <v>6601472000</v>
      </c>
      <c r="AN106" s="9"/>
      <c r="AO106" s="8"/>
      <c r="AP106" s="8"/>
      <c r="AQ106" s="8"/>
      <c r="AR106" s="8"/>
      <c r="AS106" s="7"/>
      <c r="AT106" s="6">
        <f t="shared" si="30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20"/>
        <v>1</v>
      </c>
      <c r="O107" s="25">
        <v>15</v>
      </c>
      <c r="P107" s="23">
        <v>15</v>
      </c>
      <c r="Q107" s="24"/>
      <c r="R107" s="24"/>
      <c r="S107" s="23"/>
      <c r="T107" s="20">
        <f t="shared" si="21"/>
        <v>15</v>
      </c>
      <c r="U107" s="19">
        <f t="shared" si="22"/>
        <v>15</v>
      </c>
      <c r="V107" s="22"/>
      <c r="W107" s="22"/>
      <c r="X107" s="22"/>
      <c r="Y107" s="22"/>
      <c r="Z107" s="21"/>
      <c r="AA107" s="20">
        <f t="shared" si="23"/>
        <v>0</v>
      </c>
      <c r="AB107" s="19">
        <f t="shared" si="24"/>
        <v>0</v>
      </c>
      <c r="AC107" s="16">
        <v>20</v>
      </c>
      <c r="AD107" s="18"/>
      <c r="AE107" s="17"/>
      <c r="AF107" s="23">
        <f t="shared" si="25"/>
        <v>15</v>
      </c>
      <c r="AG107" s="16">
        <v>45</v>
      </c>
      <c r="AH107" s="23">
        <f t="shared" si="26"/>
        <v>80</v>
      </c>
      <c r="AI107" s="14">
        <f t="shared" si="27"/>
        <v>0.93</v>
      </c>
      <c r="AJ107" s="13"/>
      <c r="AK107" s="12">
        <v>0.01</v>
      </c>
      <c r="AL107" s="11">
        <f t="shared" si="28"/>
        <v>1.01</v>
      </c>
      <c r="AM107" s="10">
        <f t="shared" si="29"/>
        <v>6601472000</v>
      </c>
      <c r="AN107" s="9"/>
      <c r="AO107" s="8"/>
      <c r="AP107" s="8"/>
      <c r="AQ107" s="8"/>
      <c r="AR107" s="8"/>
      <c r="AS107" s="7"/>
      <c r="AT107" s="6">
        <f t="shared" si="30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20"/>
        <v>1</v>
      </c>
      <c r="O108" s="25">
        <v>15</v>
      </c>
      <c r="P108" s="23">
        <v>15</v>
      </c>
      <c r="Q108" s="24"/>
      <c r="R108" s="24"/>
      <c r="S108" s="23"/>
      <c r="T108" s="20">
        <f t="shared" si="21"/>
        <v>15</v>
      </c>
      <c r="U108" s="19">
        <f t="shared" si="22"/>
        <v>15</v>
      </c>
      <c r="V108" s="22"/>
      <c r="W108" s="22"/>
      <c r="X108" s="22"/>
      <c r="Y108" s="22"/>
      <c r="Z108" s="21"/>
      <c r="AA108" s="20">
        <f t="shared" si="23"/>
        <v>0</v>
      </c>
      <c r="AB108" s="19">
        <f t="shared" si="24"/>
        <v>0</v>
      </c>
      <c r="AC108" s="16">
        <v>20</v>
      </c>
      <c r="AD108" s="18"/>
      <c r="AE108" s="17"/>
      <c r="AF108" s="23">
        <f t="shared" si="25"/>
        <v>15</v>
      </c>
      <c r="AG108" s="16">
        <v>45</v>
      </c>
      <c r="AH108" s="23">
        <f t="shared" si="26"/>
        <v>80</v>
      </c>
      <c r="AI108" s="14">
        <f t="shared" si="27"/>
        <v>0.93</v>
      </c>
      <c r="AJ108" s="13"/>
      <c r="AK108" s="12">
        <v>0.01</v>
      </c>
      <c r="AL108" s="11">
        <f t="shared" si="28"/>
        <v>1.01</v>
      </c>
      <c r="AM108" s="10">
        <f t="shared" si="29"/>
        <v>6601472000</v>
      </c>
      <c r="AN108" s="9"/>
      <c r="AO108" s="8"/>
      <c r="AP108" s="8"/>
      <c r="AQ108" s="8"/>
      <c r="AR108" s="8"/>
      <c r="AS108" s="7"/>
      <c r="AT108" s="6">
        <f t="shared" si="30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20"/>
        <v>1</v>
      </c>
      <c r="O109" s="25">
        <v>15</v>
      </c>
      <c r="P109" s="23">
        <v>15</v>
      </c>
      <c r="Q109" s="24"/>
      <c r="R109" s="24"/>
      <c r="S109" s="23"/>
      <c r="T109" s="20">
        <f t="shared" si="21"/>
        <v>15</v>
      </c>
      <c r="U109" s="19">
        <f t="shared" si="22"/>
        <v>15</v>
      </c>
      <c r="V109" s="22"/>
      <c r="W109" s="22"/>
      <c r="X109" s="22"/>
      <c r="Y109" s="22"/>
      <c r="Z109" s="21"/>
      <c r="AA109" s="20">
        <f t="shared" si="23"/>
        <v>0</v>
      </c>
      <c r="AB109" s="19">
        <f t="shared" si="24"/>
        <v>0</v>
      </c>
      <c r="AC109" s="16">
        <v>20</v>
      </c>
      <c r="AD109" s="18"/>
      <c r="AE109" s="17"/>
      <c r="AF109" s="23">
        <f t="shared" si="25"/>
        <v>15</v>
      </c>
      <c r="AG109" s="16">
        <v>45</v>
      </c>
      <c r="AH109" s="23">
        <f t="shared" si="26"/>
        <v>80</v>
      </c>
      <c r="AI109" s="14">
        <f t="shared" si="27"/>
        <v>0.93</v>
      </c>
      <c r="AJ109" s="13"/>
      <c r="AK109" s="12">
        <v>0.01</v>
      </c>
      <c r="AL109" s="11">
        <f t="shared" si="28"/>
        <v>1.01</v>
      </c>
      <c r="AM109" s="10">
        <f t="shared" si="29"/>
        <v>6601472000</v>
      </c>
      <c r="AN109" s="9"/>
      <c r="AO109" s="8"/>
      <c r="AP109" s="8"/>
      <c r="AQ109" s="8"/>
      <c r="AR109" s="8"/>
      <c r="AS109" s="7"/>
      <c r="AT109" s="6">
        <f t="shared" si="30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20"/>
        <v>1</v>
      </c>
      <c r="O110" s="25">
        <v>15</v>
      </c>
      <c r="P110" s="23">
        <v>15</v>
      </c>
      <c r="Q110" s="24"/>
      <c r="R110" s="24"/>
      <c r="S110" s="23"/>
      <c r="T110" s="20">
        <f t="shared" si="21"/>
        <v>15</v>
      </c>
      <c r="U110" s="19">
        <f t="shared" si="22"/>
        <v>15</v>
      </c>
      <c r="V110" s="22"/>
      <c r="W110" s="22"/>
      <c r="X110" s="22"/>
      <c r="Y110" s="22"/>
      <c r="Z110" s="21"/>
      <c r="AA110" s="20">
        <f t="shared" si="23"/>
        <v>0</v>
      </c>
      <c r="AB110" s="19">
        <f t="shared" si="24"/>
        <v>0</v>
      </c>
      <c r="AC110" s="16">
        <v>20</v>
      </c>
      <c r="AD110" s="18"/>
      <c r="AE110" s="17"/>
      <c r="AF110" s="23">
        <f t="shared" si="25"/>
        <v>15</v>
      </c>
      <c r="AG110" s="16">
        <v>45</v>
      </c>
      <c r="AH110" s="23">
        <f t="shared" si="26"/>
        <v>80</v>
      </c>
      <c r="AI110" s="14">
        <f t="shared" si="27"/>
        <v>0.93</v>
      </c>
      <c r="AJ110" s="13"/>
      <c r="AK110" s="12">
        <v>0.01</v>
      </c>
      <c r="AL110" s="11">
        <f t="shared" si="28"/>
        <v>1.01</v>
      </c>
      <c r="AM110" s="10">
        <f t="shared" si="29"/>
        <v>6601472000</v>
      </c>
      <c r="AN110" s="9"/>
      <c r="AO110" s="8"/>
      <c r="AP110" s="8"/>
      <c r="AQ110" s="8"/>
      <c r="AR110" s="8"/>
      <c r="AS110" s="7"/>
      <c r="AT110" s="6">
        <f t="shared" si="30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20"/>
        <v>1</v>
      </c>
      <c r="O111" s="25">
        <v>15</v>
      </c>
      <c r="P111" s="23">
        <v>15</v>
      </c>
      <c r="Q111" s="24"/>
      <c r="R111" s="24"/>
      <c r="S111" s="23"/>
      <c r="T111" s="20">
        <f t="shared" si="21"/>
        <v>15</v>
      </c>
      <c r="U111" s="19">
        <f t="shared" si="22"/>
        <v>15</v>
      </c>
      <c r="V111" s="22"/>
      <c r="W111" s="22"/>
      <c r="X111" s="22"/>
      <c r="Y111" s="22"/>
      <c r="Z111" s="21"/>
      <c r="AA111" s="20">
        <f t="shared" si="23"/>
        <v>0</v>
      </c>
      <c r="AB111" s="19">
        <f t="shared" si="24"/>
        <v>0</v>
      </c>
      <c r="AC111" s="16">
        <v>20</v>
      </c>
      <c r="AD111" s="18"/>
      <c r="AE111" s="17"/>
      <c r="AF111" s="23">
        <f t="shared" si="25"/>
        <v>15</v>
      </c>
      <c r="AG111" s="16">
        <v>45</v>
      </c>
      <c r="AH111" s="23">
        <f t="shared" si="26"/>
        <v>80</v>
      </c>
      <c r="AI111" s="14">
        <f t="shared" si="27"/>
        <v>0.93</v>
      </c>
      <c r="AJ111" s="13"/>
      <c r="AK111" s="12">
        <v>0.01</v>
      </c>
      <c r="AL111" s="11">
        <f t="shared" si="28"/>
        <v>1.01</v>
      </c>
      <c r="AM111" s="10">
        <f t="shared" si="29"/>
        <v>6601472000</v>
      </c>
      <c r="AN111" s="9"/>
      <c r="AO111" s="8"/>
      <c r="AP111" s="8"/>
      <c r="AQ111" s="8"/>
      <c r="AR111" s="8"/>
      <c r="AS111" s="7"/>
      <c r="AT111" s="6">
        <f t="shared" si="30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20"/>
        <v>1</v>
      </c>
      <c r="O112" s="25">
        <v>15</v>
      </c>
      <c r="P112" s="23">
        <v>15</v>
      </c>
      <c r="Q112" s="24"/>
      <c r="R112" s="24"/>
      <c r="S112" s="23"/>
      <c r="T112" s="20">
        <f t="shared" si="21"/>
        <v>15</v>
      </c>
      <c r="U112" s="19">
        <f t="shared" si="22"/>
        <v>15</v>
      </c>
      <c r="V112" s="22"/>
      <c r="W112" s="22"/>
      <c r="X112" s="22"/>
      <c r="Y112" s="22"/>
      <c r="Z112" s="21"/>
      <c r="AA112" s="20">
        <f t="shared" si="23"/>
        <v>0</v>
      </c>
      <c r="AB112" s="19">
        <f t="shared" si="24"/>
        <v>0</v>
      </c>
      <c r="AC112" s="16">
        <v>20</v>
      </c>
      <c r="AD112" s="18"/>
      <c r="AE112" s="17"/>
      <c r="AF112" s="23">
        <f t="shared" si="25"/>
        <v>15</v>
      </c>
      <c r="AG112" s="16">
        <v>45</v>
      </c>
      <c r="AH112" s="23">
        <f t="shared" si="26"/>
        <v>80</v>
      </c>
      <c r="AI112" s="14">
        <f t="shared" si="27"/>
        <v>0.93</v>
      </c>
      <c r="AJ112" s="13"/>
      <c r="AK112" s="12">
        <v>0.01</v>
      </c>
      <c r="AL112" s="11">
        <f t="shared" si="28"/>
        <v>1.01</v>
      </c>
      <c r="AM112" s="10">
        <f t="shared" si="29"/>
        <v>6601472000</v>
      </c>
      <c r="AN112" s="9"/>
      <c r="AO112" s="8"/>
      <c r="AP112" s="8"/>
      <c r="AQ112" s="8"/>
      <c r="AR112" s="8"/>
      <c r="AS112" s="7"/>
      <c r="AT112" s="6">
        <f t="shared" si="30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20"/>
        <v>1</v>
      </c>
      <c r="O113" s="25">
        <v>15</v>
      </c>
      <c r="P113" s="23">
        <v>15</v>
      </c>
      <c r="Q113" s="24"/>
      <c r="R113" s="24"/>
      <c r="S113" s="23"/>
      <c r="T113" s="20">
        <f t="shared" si="21"/>
        <v>15</v>
      </c>
      <c r="U113" s="19">
        <f t="shared" si="22"/>
        <v>15</v>
      </c>
      <c r="V113" s="22"/>
      <c r="W113" s="22"/>
      <c r="X113" s="22"/>
      <c r="Y113" s="22"/>
      <c r="Z113" s="21"/>
      <c r="AA113" s="20">
        <f t="shared" si="23"/>
        <v>0</v>
      </c>
      <c r="AB113" s="19">
        <f t="shared" si="24"/>
        <v>0</v>
      </c>
      <c r="AC113" s="16">
        <v>20</v>
      </c>
      <c r="AD113" s="18"/>
      <c r="AE113" s="17"/>
      <c r="AF113" s="23">
        <f t="shared" si="25"/>
        <v>15</v>
      </c>
      <c r="AG113" s="16">
        <v>45</v>
      </c>
      <c r="AH113" s="23">
        <f t="shared" si="26"/>
        <v>80</v>
      </c>
      <c r="AI113" s="14">
        <f t="shared" si="27"/>
        <v>0.93</v>
      </c>
      <c r="AJ113" s="13"/>
      <c r="AK113" s="12">
        <v>0.01</v>
      </c>
      <c r="AL113" s="11">
        <f t="shared" si="28"/>
        <v>1.01</v>
      </c>
      <c r="AM113" s="10">
        <f t="shared" si="29"/>
        <v>6601472000</v>
      </c>
      <c r="AN113" s="9"/>
      <c r="AO113" s="8"/>
      <c r="AP113" s="8"/>
      <c r="AQ113" s="8"/>
      <c r="AR113" s="8"/>
      <c r="AS113" s="7"/>
      <c r="AT113" s="6">
        <f t="shared" si="30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20"/>
        <v>1</v>
      </c>
      <c r="O114" s="25">
        <v>15</v>
      </c>
      <c r="P114" s="23">
        <v>15</v>
      </c>
      <c r="Q114" s="24"/>
      <c r="R114" s="24"/>
      <c r="S114" s="23"/>
      <c r="T114" s="20">
        <f t="shared" si="21"/>
        <v>15</v>
      </c>
      <c r="U114" s="19">
        <f t="shared" si="22"/>
        <v>15</v>
      </c>
      <c r="V114" s="22"/>
      <c r="W114" s="22"/>
      <c r="X114" s="22"/>
      <c r="Y114" s="22"/>
      <c r="Z114" s="21"/>
      <c r="AA114" s="20">
        <f t="shared" si="23"/>
        <v>0</v>
      </c>
      <c r="AB114" s="19">
        <f t="shared" si="24"/>
        <v>0</v>
      </c>
      <c r="AC114" s="16">
        <v>20</v>
      </c>
      <c r="AD114" s="18"/>
      <c r="AE114" s="17"/>
      <c r="AF114" s="23">
        <f t="shared" si="25"/>
        <v>15</v>
      </c>
      <c r="AG114" s="16">
        <v>45</v>
      </c>
      <c r="AH114" s="23">
        <f t="shared" si="26"/>
        <v>80</v>
      </c>
      <c r="AI114" s="14">
        <f t="shared" si="27"/>
        <v>0.93</v>
      </c>
      <c r="AJ114" s="13"/>
      <c r="AK114" s="12">
        <v>0.01</v>
      </c>
      <c r="AL114" s="11">
        <f t="shared" si="28"/>
        <v>1.01</v>
      </c>
      <c r="AM114" s="10">
        <f t="shared" si="29"/>
        <v>6601472000</v>
      </c>
      <c r="AN114" s="9"/>
      <c r="AO114" s="8"/>
      <c r="AP114" s="8"/>
      <c r="AQ114" s="8"/>
      <c r="AR114" s="8"/>
      <c r="AS114" s="7"/>
      <c r="AT114" s="6">
        <f t="shared" si="30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20"/>
        <v>1</v>
      </c>
      <c r="O115" s="25">
        <v>15</v>
      </c>
      <c r="P115" s="23">
        <v>15</v>
      </c>
      <c r="Q115" s="24"/>
      <c r="R115" s="24"/>
      <c r="S115" s="23"/>
      <c r="T115" s="20">
        <f t="shared" si="21"/>
        <v>15</v>
      </c>
      <c r="U115" s="19">
        <f t="shared" si="22"/>
        <v>15</v>
      </c>
      <c r="V115" s="22"/>
      <c r="W115" s="22"/>
      <c r="X115" s="22"/>
      <c r="Y115" s="22"/>
      <c r="Z115" s="21"/>
      <c r="AA115" s="20">
        <f t="shared" si="23"/>
        <v>0</v>
      </c>
      <c r="AB115" s="19">
        <f t="shared" si="24"/>
        <v>0</v>
      </c>
      <c r="AC115" s="16">
        <v>20</v>
      </c>
      <c r="AD115" s="18"/>
      <c r="AE115" s="17"/>
      <c r="AF115" s="23">
        <f t="shared" si="25"/>
        <v>15</v>
      </c>
      <c r="AG115" s="16">
        <v>45</v>
      </c>
      <c r="AH115" s="23">
        <f t="shared" si="26"/>
        <v>80</v>
      </c>
      <c r="AI115" s="14">
        <f t="shared" si="27"/>
        <v>0.93</v>
      </c>
      <c r="AJ115" s="13"/>
      <c r="AK115" s="12">
        <v>0.01</v>
      </c>
      <c r="AL115" s="11">
        <f t="shared" si="28"/>
        <v>1.01</v>
      </c>
      <c r="AM115" s="10">
        <f t="shared" si="29"/>
        <v>6601472000</v>
      </c>
      <c r="AN115" s="9"/>
      <c r="AO115" s="8"/>
      <c r="AP115" s="8"/>
      <c r="AQ115" s="8"/>
      <c r="AR115" s="8"/>
      <c r="AS115" s="7"/>
      <c r="AT115" s="6">
        <f t="shared" si="30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20"/>
        <v>1</v>
      </c>
      <c r="O116" s="25">
        <v>15</v>
      </c>
      <c r="P116" s="23">
        <v>15</v>
      </c>
      <c r="Q116" s="24"/>
      <c r="R116" s="24"/>
      <c r="S116" s="23"/>
      <c r="T116" s="20">
        <f t="shared" si="21"/>
        <v>15</v>
      </c>
      <c r="U116" s="19">
        <f t="shared" si="22"/>
        <v>15</v>
      </c>
      <c r="V116" s="22"/>
      <c r="W116" s="22"/>
      <c r="X116" s="22"/>
      <c r="Y116" s="22"/>
      <c r="Z116" s="21"/>
      <c r="AA116" s="20">
        <f t="shared" si="23"/>
        <v>0</v>
      </c>
      <c r="AB116" s="19">
        <f t="shared" si="24"/>
        <v>0</v>
      </c>
      <c r="AC116" s="16">
        <v>20</v>
      </c>
      <c r="AD116" s="18"/>
      <c r="AE116" s="17"/>
      <c r="AF116" s="23">
        <f t="shared" si="25"/>
        <v>15</v>
      </c>
      <c r="AG116" s="16">
        <v>45</v>
      </c>
      <c r="AH116" s="23">
        <f t="shared" si="26"/>
        <v>80</v>
      </c>
      <c r="AI116" s="14">
        <f t="shared" si="27"/>
        <v>0.93</v>
      </c>
      <c r="AJ116" s="13"/>
      <c r="AK116" s="12">
        <v>0.01</v>
      </c>
      <c r="AL116" s="11">
        <f t="shared" si="28"/>
        <v>1.01</v>
      </c>
      <c r="AM116" s="10">
        <f t="shared" si="29"/>
        <v>6601472000</v>
      </c>
      <c r="AN116" s="9"/>
      <c r="AO116" s="8"/>
      <c r="AP116" s="8"/>
      <c r="AQ116" s="8"/>
      <c r="AR116" s="8"/>
      <c r="AS116" s="7"/>
      <c r="AT116" s="6">
        <f t="shared" si="30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20"/>
        <v>1</v>
      </c>
      <c r="O117" s="25">
        <v>15</v>
      </c>
      <c r="P117" s="23">
        <v>15</v>
      </c>
      <c r="Q117" s="24"/>
      <c r="R117" s="24"/>
      <c r="S117" s="23"/>
      <c r="T117" s="20">
        <f t="shared" si="21"/>
        <v>15</v>
      </c>
      <c r="U117" s="19">
        <f t="shared" si="22"/>
        <v>15</v>
      </c>
      <c r="V117" s="22"/>
      <c r="W117" s="22"/>
      <c r="X117" s="22"/>
      <c r="Y117" s="22"/>
      <c r="Z117" s="21"/>
      <c r="AA117" s="20">
        <f t="shared" si="23"/>
        <v>0</v>
      </c>
      <c r="AB117" s="19">
        <f t="shared" si="24"/>
        <v>0</v>
      </c>
      <c r="AC117" s="16">
        <v>20</v>
      </c>
      <c r="AD117" s="18"/>
      <c r="AE117" s="17"/>
      <c r="AF117" s="23">
        <f t="shared" si="25"/>
        <v>15</v>
      </c>
      <c r="AG117" s="16">
        <v>45</v>
      </c>
      <c r="AH117" s="23">
        <f t="shared" si="26"/>
        <v>80</v>
      </c>
      <c r="AI117" s="14">
        <f t="shared" si="27"/>
        <v>0.93</v>
      </c>
      <c r="AJ117" s="13"/>
      <c r="AK117" s="12">
        <v>0.01</v>
      </c>
      <c r="AL117" s="11">
        <f t="shared" si="28"/>
        <v>1.01</v>
      </c>
      <c r="AM117" s="10">
        <f t="shared" si="29"/>
        <v>6601472000</v>
      </c>
      <c r="AN117" s="9"/>
      <c r="AO117" s="8"/>
      <c r="AP117" s="8"/>
      <c r="AQ117" s="8"/>
      <c r="AR117" s="8"/>
      <c r="AS117" s="7"/>
      <c r="AT117" s="6">
        <f t="shared" si="30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20"/>
        <v>1</v>
      </c>
      <c r="O118" s="25">
        <v>15</v>
      </c>
      <c r="P118" s="23">
        <v>15</v>
      </c>
      <c r="Q118" s="24"/>
      <c r="R118" s="24"/>
      <c r="S118" s="23"/>
      <c r="T118" s="20">
        <f t="shared" si="21"/>
        <v>15</v>
      </c>
      <c r="U118" s="19">
        <f t="shared" si="22"/>
        <v>15</v>
      </c>
      <c r="V118" s="22"/>
      <c r="W118" s="22"/>
      <c r="X118" s="22"/>
      <c r="Y118" s="22"/>
      <c r="Z118" s="21"/>
      <c r="AA118" s="20">
        <f t="shared" si="23"/>
        <v>0</v>
      </c>
      <c r="AB118" s="19">
        <f t="shared" si="24"/>
        <v>0</v>
      </c>
      <c r="AC118" s="16">
        <v>20</v>
      </c>
      <c r="AD118" s="18"/>
      <c r="AE118" s="17"/>
      <c r="AF118" s="23">
        <f t="shared" si="25"/>
        <v>15</v>
      </c>
      <c r="AG118" s="16">
        <v>45</v>
      </c>
      <c r="AH118" s="23">
        <f t="shared" si="26"/>
        <v>80</v>
      </c>
      <c r="AI118" s="14">
        <f t="shared" si="27"/>
        <v>0.93</v>
      </c>
      <c r="AJ118" s="13"/>
      <c r="AK118" s="12">
        <v>0.01</v>
      </c>
      <c r="AL118" s="11">
        <f t="shared" si="28"/>
        <v>1.01</v>
      </c>
      <c r="AM118" s="10">
        <f t="shared" si="29"/>
        <v>6601472000</v>
      </c>
      <c r="AN118" s="9"/>
      <c r="AO118" s="8"/>
      <c r="AP118" s="8"/>
      <c r="AQ118" s="8"/>
      <c r="AR118" s="8"/>
      <c r="AS118" s="7"/>
      <c r="AT118" s="6">
        <f t="shared" si="30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20"/>
        <v>1</v>
      </c>
      <c r="O119" s="25">
        <v>15</v>
      </c>
      <c r="P119" s="23">
        <v>15</v>
      </c>
      <c r="Q119" s="24"/>
      <c r="R119" s="24"/>
      <c r="S119" s="23"/>
      <c r="T119" s="20">
        <f t="shared" si="21"/>
        <v>15</v>
      </c>
      <c r="U119" s="19">
        <f t="shared" si="22"/>
        <v>15</v>
      </c>
      <c r="V119" s="22"/>
      <c r="W119" s="22"/>
      <c r="X119" s="22"/>
      <c r="Y119" s="22"/>
      <c r="Z119" s="21"/>
      <c r="AA119" s="20">
        <f t="shared" si="23"/>
        <v>0</v>
      </c>
      <c r="AB119" s="19">
        <f t="shared" si="24"/>
        <v>0</v>
      </c>
      <c r="AC119" s="16">
        <v>20</v>
      </c>
      <c r="AD119" s="18"/>
      <c r="AE119" s="17"/>
      <c r="AF119" s="23">
        <f t="shared" si="25"/>
        <v>15</v>
      </c>
      <c r="AG119" s="16">
        <v>45</v>
      </c>
      <c r="AH119" s="23">
        <f t="shared" si="26"/>
        <v>80</v>
      </c>
      <c r="AI119" s="14">
        <f t="shared" si="27"/>
        <v>0.93</v>
      </c>
      <c r="AJ119" s="13"/>
      <c r="AK119" s="12">
        <v>0.01</v>
      </c>
      <c r="AL119" s="11">
        <f t="shared" si="28"/>
        <v>1.01</v>
      </c>
      <c r="AM119" s="10">
        <f t="shared" si="29"/>
        <v>6601472000</v>
      </c>
      <c r="AN119" s="9"/>
      <c r="AO119" s="8"/>
      <c r="AP119" s="8"/>
      <c r="AQ119" s="8"/>
      <c r="AR119" s="8"/>
      <c r="AS119" s="7"/>
      <c r="AT119" s="6">
        <f t="shared" si="30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20"/>
        <v>1</v>
      </c>
      <c r="O120" s="25">
        <v>15</v>
      </c>
      <c r="P120" s="23">
        <v>15</v>
      </c>
      <c r="Q120" s="24"/>
      <c r="R120" s="24"/>
      <c r="S120" s="23"/>
      <c r="T120" s="20">
        <f t="shared" si="21"/>
        <v>15</v>
      </c>
      <c r="U120" s="19">
        <f t="shared" si="22"/>
        <v>15</v>
      </c>
      <c r="V120" s="22"/>
      <c r="W120" s="22"/>
      <c r="X120" s="22"/>
      <c r="Y120" s="22"/>
      <c r="Z120" s="21"/>
      <c r="AA120" s="20">
        <f t="shared" si="23"/>
        <v>0</v>
      </c>
      <c r="AB120" s="19">
        <f t="shared" si="24"/>
        <v>0</v>
      </c>
      <c r="AC120" s="16">
        <v>20</v>
      </c>
      <c r="AD120" s="18"/>
      <c r="AE120" s="17"/>
      <c r="AF120" s="23">
        <f t="shared" si="25"/>
        <v>15</v>
      </c>
      <c r="AG120" s="16">
        <v>45</v>
      </c>
      <c r="AH120" s="23">
        <f t="shared" si="26"/>
        <v>80</v>
      </c>
      <c r="AI120" s="14">
        <f t="shared" si="27"/>
        <v>0.93</v>
      </c>
      <c r="AJ120" s="13"/>
      <c r="AK120" s="12">
        <v>0.01</v>
      </c>
      <c r="AL120" s="11">
        <f t="shared" si="28"/>
        <v>1.01</v>
      </c>
      <c r="AM120" s="10">
        <f t="shared" si="29"/>
        <v>6601472000</v>
      </c>
      <c r="AN120" s="9"/>
      <c r="AO120" s="8"/>
      <c r="AP120" s="8"/>
      <c r="AQ120" s="8"/>
      <c r="AR120" s="8"/>
      <c r="AS120" s="7"/>
      <c r="AT120" s="6">
        <f t="shared" si="30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20"/>
        <v>1</v>
      </c>
      <c r="O121" s="25">
        <v>15</v>
      </c>
      <c r="P121" s="23">
        <v>15</v>
      </c>
      <c r="Q121" s="24"/>
      <c r="R121" s="24"/>
      <c r="S121" s="23"/>
      <c r="T121" s="20">
        <f t="shared" si="21"/>
        <v>15</v>
      </c>
      <c r="U121" s="19">
        <f t="shared" si="22"/>
        <v>15</v>
      </c>
      <c r="V121" s="22"/>
      <c r="W121" s="22"/>
      <c r="X121" s="22"/>
      <c r="Y121" s="22"/>
      <c r="Z121" s="21"/>
      <c r="AA121" s="20">
        <f t="shared" si="23"/>
        <v>0</v>
      </c>
      <c r="AB121" s="19">
        <f t="shared" si="24"/>
        <v>0</v>
      </c>
      <c r="AC121" s="16">
        <v>20</v>
      </c>
      <c r="AD121" s="18"/>
      <c r="AE121" s="17"/>
      <c r="AF121" s="23">
        <f t="shared" si="25"/>
        <v>15</v>
      </c>
      <c r="AG121" s="16">
        <v>45</v>
      </c>
      <c r="AH121" s="23">
        <f t="shared" si="26"/>
        <v>80</v>
      </c>
      <c r="AI121" s="14">
        <f t="shared" si="27"/>
        <v>0.93</v>
      </c>
      <c r="AJ121" s="13"/>
      <c r="AK121" s="12">
        <v>0.01</v>
      </c>
      <c r="AL121" s="11">
        <f t="shared" si="28"/>
        <v>1.01</v>
      </c>
      <c r="AM121" s="10">
        <f t="shared" si="29"/>
        <v>6601472000</v>
      </c>
      <c r="AN121" s="9"/>
      <c r="AO121" s="8"/>
      <c r="AP121" s="8"/>
      <c r="AQ121" s="8"/>
      <c r="AR121" s="8"/>
      <c r="AS121" s="7"/>
      <c r="AT121" s="6">
        <f t="shared" si="30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20"/>
        <v>1</v>
      </c>
      <c r="O122" s="25">
        <v>15</v>
      </c>
      <c r="P122" s="23">
        <v>15</v>
      </c>
      <c r="Q122" s="24"/>
      <c r="R122" s="24"/>
      <c r="S122" s="23"/>
      <c r="T122" s="20">
        <f t="shared" si="21"/>
        <v>15</v>
      </c>
      <c r="U122" s="19">
        <f t="shared" si="22"/>
        <v>15</v>
      </c>
      <c r="V122" s="22"/>
      <c r="W122" s="22"/>
      <c r="X122" s="22"/>
      <c r="Y122" s="22"/>
      <c r="Z122" s="21"/>
      <c r="AA122" s="20">
        <f t="shared" si="23"/>
        <v>0</v>
      </c>
      <c r="AB122" s="19">
        <f t="shared" si="24"/>
        <v>0</v>
      </c>
      <c r="AC122" s="16">
        <v>20</v>
      </c>
      <c r="AD122" s="18"/>
      <c r="AE122" s="17"/>
      <c r="AF122" s="23">
        <f t="shared" si="25"/>
        <v>15</v>
      </c>
      <c r="AG122" s="16">
        <v>45</v>
      </c>
      <c r="AH122" s="23">
        <f t="shared" si="26"/>
        <v>80</v>
      </c>
      <c r="AI122" s="14">
        <f t="shared" si="27"/>
        <v>0.93</v>
      </c>
      <c r="AJ122" s="13"/>
      <c r="AK122" s="12">
        <v>0.01</v>
      </c>
      <c r="AL122" s="11">
        <f t="shared" si="28"/>
        <v>1.01</v>
      </c>
      <c r="AM122" s="10">
        <f t="shared" si="29"/>
        <v>6601472000</v>
      </c>
      <c r="AN122" s="9"/>
      <c r="AO122" s="8"/>
      <c r="AP122" s="8"/>
      <c r="AQ122" s="8"/>
      <c r="AR122" s="8"/>
      <c r="AS122" s="7"/>
      <c r="AT122" s="6">
        <f t="shared" si="30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20"/>
        <v>1</v>
      </c>
      <c r="O123" s="25">
        <v>15</v>
      </c>
      <c r="P123" s="23">
        <v>15</v>
      </c>
      <c r="Q123" s="24"/>
      <c r="R123" s="24"/>
      <c r="S123" s="23"/>
      <c r="T123" s="20">
        <f t="shared" si="21"/>
        <v>15</v>
      </c>
      <c r="U123" s="19">
        <f t="shared" si="22"/>
        <v>15</v>
      </c>
      <c r="V123" s="22"/>
      <c r="W123" s="22"/>
      <c r="X123" s="22"/>
      <c r="Y123" s="22"/>
      <c r="Z123" s="21"/>
      <c r="AA123" s="20">
        <f t="shared" si="23"/>
        <v>0</v>
      </c>
      <c r="AB123" s="19">
        <f t="shared" si="24"/>
        <v>0</v>
      </c>
      <c r="AC123" s="16">
        <v>20</v>
      </c>
      <c r="AD123" s="18"/>
      <c r="AE123" s="17"/>
      <c r="AF123" s="23">
        <f t="shared" si="25"/>
        <v>15</v>
      </c>
      <c r="AG123" s="16">
        <v>45</v>
      </c>
      <c r="AH123" s="23">
        <f t="shared" si="26"/>
        <v>80</v>
      </c>
      <c r="AI123" s="14">
        <f t="shared" si="27"/>
        <v>0.93</v>
      </c>
      <c r="AJ123" s="13"/>
      <c r="AK123" s="12">
        <v>0.01</v>
      </c>
      <c r="AL123" s="11">
        <f t="shared" si="28"/>
        <v>1.01</v>
      </c>
      <c r="AM123" s="10">
        <f t="shared" si="29"/>
        <v>6601472000</v>
      </c>
      <c r="AN123" s="9"/>
      <c r="AO123" s="8"/>
      <c r="AP123" s="8"/>
      <c r="AQ123" s="8"/>
      <c r="AR123" s="8"/>
      <c r="AS123" s="7"/>
      <c r="AT123" s="6">
        <f t="shared" si="30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20"/>
        <v>1</v>
      </c>
      <c r="O124" s="25">
        <v>15</v>
      </c>
      <c r="P124" s="23">
        <v>15</v>
      </c>
      <c r="Q124" s="24"/>
      <c r="R124" s="24"/>
      <c r="S124" s="23"/>
      <c r="T124" s="20">
        <f t="shared" si="21"/>
        <v>15</v>
      </c>
      <c r="U124" s="19">
        <f t="shared" si="22"/>
        <v>15</v>
      </c>
      <c r="V124" s="22"/>
      <c r="W124" s="22"/>
      <c r="X124" s="22"/>
      <c r="Y124" s="22"/>
      <c r="Z124" s="21"/>
      <c r="AA124" s="20">
        <f t="shared" si="23"/>
        <v>0</v>
      </c>
      <c r="AB124" s="19">
        <f t="shared" si="24"/>
        <v>0</v>
      </c>
      <c r="AC124" s="16">
        <v>20</v>
      </c>
      <c r="AD124" s="18"/>
      <c r="AE124" s="17"/>
      <c r="AF124" s="23">
        <f t="shared" si="25"/>
        <v>15</v>
      </c>
      <c r="AG124" s="16">
        <v>45</v>
      </c>
      <c r="AH124" s="23">
        <f t="shared" si="26"/>
        <v>80</v>
      </c>
      <c r="AI124" s="14">
        <f t="shared" si="27"/>
        <v>0.93</v>
      </c>
      <c r="AJ124" s="13"/>
      <c r="AK124" s="12">
        <v>0.01</v>
      </c>
      <c r="AL124" s="11">
        <f t="shared" si="28"/>
        <v>1.01</v>
      </c>
      <c r="AM124" s="10">
        <f t="shared" si="29"/>
        <v>6601472000</v>
      </c>
      <c r="AN124" s="9"/>
      <c r="AO124" s="8"/>
      <c r="AP124" s="8"/>
      <c r="AQ124" s="8"/>
      <c r="AR124" s="8"/>
      <c r="AS124" s="7"/>
      <c r="AT124" s="6">
        <f t="shared" si="30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20"/>
        <v>1</v>
      </c>
      <c r="O125" s="25">
        <v>15</v>
      </c>
      <c r="P125" s="23">
        <v>15</v>
      </c>
      <c r="Q125" s="24"/>
      <c r="R125" s="24"/>
      <c r="S125" s="23"/>
      <c r="T125" s="20">
        <f t="shared" si="21"/>
        <v>15</v>
      </c>
      <c r="U125" s="19">
        <f t="shared" si="22"/>
        <v>15</v>
      </c>
      <c r="V125" s="22"/>
      <c r="W125" s="22"/>
      <c r="X125" s="22"/>
      <c r="Y125" s="22"/>
      <c r="Z125" s="21"/>
      <c r="AA125" s="20">
        <f t="shared" si="23"/>
        <v>0</v>
      </c>
      <c r="AB125" s="19">
        <f t="shared" si="24"/>
        <v>0</v>
      </c>
      <c r="AC125" s="16">
        <v>20</v>
      </c>
      <c r="AD125" s="18"/>
      <c r="AE125" s="17"/>
      <c r="AF125" s="23">
        <f t="shared" si="25"/>
        <v>15</v>
      </c>
      <c r="AG125" s="16">
        <v>45</v>
      </c>
      <c r="AH125" s="23">
        <f t="shared" si="26"/>
        <v>80</v>
      </c>
      <c r="AI125" s="14">
        <f t="shared" si="27"/>
        <v>0.93</v>
      </c>
      <c r="AJ125" s="13"/>
      <c r="AK125" s="12">
        <v>0.01</v>
      </c>
      <c r="AL125" s="11">
        <f t="shared" si="28"/>
        <v>1.01</v>
      </c>
      <c r="AM125" s="10">
        <f t="shared" si="29"/>
        <v>6601472000</v>
      </c>
      <c r="AN125" s="9"/>
      <c r="AO125" s="8"/>
      <c r="AP125" s="8"/>
      <c r="AQ125" s="8"/>
      <c r="AR125" s="8"/>
      <c r="AS125" s="7"/>
      <c r="AT125" s="6">
        <f t="shared" si="30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20"/>
        <v>1</v>
      </c>
      <c r="O126" s="25">
        <v>15</v>
      </c>
      <c r="P126" s="23">
        <v>15</v>
      </c>
      <c r="Q126" s="24"/>
      <c r="R126" s="24"/>
      <c r="S126" s="23"/>
      <c r="T126" s="20">
        <f t="shared" si="21"/>
        <v>15</v>
      </c>
      <c r="U126" s="19">
        <f t="shared" si="22"/>
        <v>15</v>
      </c>
      <c r="V126" s="22"/>
      <c r="W126" s="22"/>
      <c r="X126" s="22"/>
      <c r="Y126" s="22"/>
      <c r="Z126" s="21"/>
      <c r="AA126" s="20">
        <f t="shared" si="23"/>
        <v>0</v>
      </c>
      <c r="AB126" s="19">
        <f t="shared" si="24"/>
        <v>0</v>
      </c>
      <c r="AC126" s="16">
        <v>20</v>
      </c>
      <c r="AD126" s="18"/>
      <c r="AE126" s="17"/>
      <c r="AF126" s="23">
        <f t="shared" si="25"/>
        <v>15</v>
      </c>
      <c r="AG126" s="16">
        <v>45</v>
      </c>
      <c r="AH126" s="23">
        <f t="shared" si="26"/>
        <v>80</v>
      </c>
      <c r="AI126" s="14">
        <f t="shared" si="27"/>
        <v>0.93</v>
      </c>
      <c r="AJ126" s="13"/>
      <c r="AK126" s="12">
        <v>0.01</v>
      </c>
      <c r="AL126" s="11">
        <f t="shared" si="28"/>
        <v>1.01</v>
      </c>
      <c r="AM126" s="10">
        <f t="shared" si="29"/>
        <v>6601472000</v>
      </c>
      <c r="AN126" s="9"/>
      <c r="AO126" s="8"/>
      <c r="AP126" s="8"/>
      <c r="AQ126" s="8"/>
      <c r="AR126" s="8"/>
      <c r="AS126" s="7"/>
      <c r="AT126" s="6">
        <f t="shared" si="30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20"/>
        <v>1</v>
      </c>
      <c r="O127" s="25">
        <v>15</v>
      </c>
      <c r="P127" s="23">
        <v>15</v>
      </c>
      <c r="Q127" s="24"/>
      <c r="R127" s="24"/>
      <c r="S127" s="23"/>
      <c r="T127" s="20">
        <f t="shared" si="21"/>
        <v>15</v>
      </c>
      <c r="U127" s="19">
        <f t="shared" si="22"/>
        <v>15</v>
      </c>
      <c r="V127" s="22"/>
      <c r="W127" s="22"/>
      <c r="X127" s="22"/>
      <c r="Y127" s="22"/>
      <c r="Z127" s="21"/>
      <c r="AA127" s="20">
        <f t="shared" si="23"/>
        <v>0</v>
      </c>
      <c r="AB127" s="19">
        <f t="shared" si="24"/>
        <v>0</v>
      </c>
      <c r="AC127" s="16">
        <v>20</v>
      </c>
      <c r="AD127" s="18"/>
      <c r="AE127" s="17"/>
      <c r="AF127" s="23">
        <f t="shared" si="25"/>
        <v>15</v>
      </c>
      <c r="AG127" s="16">
        <v>45</v>
      </c>
      <c r="AH127" s="23">
        <f t="shared" si="26"/>
        <v>80</v>
      </c>
      <c r="AI127" s="14">
        <f t="shared" si="27"/>
        <v>0.93</v>
      </c>
      <c r="AJ127" s="13"/>
      <c r="AK127" s="12">
        <v>0.01</v>
      </c>
      <c r="AL127" s="11">
        <f t="shared" si="28"/>
        <v>1.01</v>
      </c>
      <c r="AM127" s="10">
        <f t="shared" si="29"/>
        <v>6601472000</v>
      </c>
      <c r="AN127" s="9"/>
      <c r="AO127" s="8"/>
      <c r="AP127" s="8"/>
      <c r="AQ127" s="8"/>
      <c r="AR127" s="8"/>
      <c r="AS127" s="7"/>
      <c r="AT127" s="6">
        <f t="shared" si="30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20"/>
        <v>1</v>
      </c>
      <c r="O128" s="25">
        <v>15</v>
      </c>
      <c r="P128" s="23">
        <v>15</v>
      </c>
      <c r="Q128" s="24"/>
      <c r="R128" s="24"/>
      <c r="S128" s="23"/>
      <c r="T128" s="20">
        <f t="shared" si="21"/>
        <v>15</v>
      </c>
      <c r="U128" s="19">
        <f t="shared" si="22"/>
        <v>15</v>
      </c>
      <c r="V128" s="22"/>
      <c r="W128" s="22"/>
      <c r="X128" s="22"/>
      <c r="Y128" s="22"/>
      <c r="Z128" s="21"/>
      <c r="AA128" s="20">
        <f t="shared" si="23"/>
        <v>0</v>
      </c>
      <c r="AB128" s="19">
        <f t="shared" si="24"/>
        <v>0</v>
      </c>
      <c r="AC128" s="16">
        <v>20</v>
      </c>
      <c r="AD128" s="18"/>
      <c r="AE128" s="17"/>
      <c r="AF128" s="23">
        <f t="shared" si="25"/>
        <v>15</v>
      </c>
      <c r="AG128" s="16">
        <v>45</v>
      </c>
      <c r="AH128" s="23">
        <f t="shared" si="26"/>
        <v>80</v>
      </c>
      <c r="AI128" s="14">
        <f t="shared" si="27"/>
        <v>0.93</v>
      </c>
      <c r="AJ128" s="13"/>
      <c r="AK128" s="12">
        <v>0.01</v>
      </c>
      <c r="AL128" s="11">
        <f t="shared" si="28"/>
        <v>1.01</v>
      </c>
      <c r="AM128" s="10">
        <f t="shared" si="29"/>
        <v>6601472000</v>
      </c>
      <c r="AN128" s="9"/>
      <c r="AO128" s="8"/>
      <c r="AP128" s="8"/>
      <c r="AQ128" s="8"/>
      <c r="AR128" s="8"/>
      <c r="AS128" s="7"/>
      <c r="AT128" s="6">
        <f t="shared" si="30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20"/>
        <v>1</v>
      </c>
      <c r="O129" s="25">
        <v>15</v>
      </c>
      <c r="P129" s="23">
        <v>15</v>
      </c>
      <c r="Q129" s="24"/>
      <c r="R129" s="24"/>
      <c r="S129" s="23"/>
      <c r="T129" s="20">
        <f t="shared" si="21"/>
        <v>15</v>
      </c>
      <c r="U129" s="19">
        <f t="shared" si="22"/>
        <v>15</v>
      </c>
      <c r="V129" s="22"/>
      <c r="W129" s="22"/>
      <c r="X129" s="22"/>
      <c r="Y129" s="22"/>
      <c r="Z129" s="21"/>
      <c r="AA129" s="20">
        <f t="shared" si="23"/>
        <v>0</v>
      </c>
      <c r="AB129" s="19">
        <f t="shared" si="24"/>
        <v>0</v>
      </c>
      <c r="AC129" s="16">
        <v>20</v>
      </c>
      <c r="AD129" s="18"/>
      <c r="AE129" s="17"/>
      <c r="AF129" s="23">
        <f t="shared" si="25"/>
        <v>15</v>
      </c>
      <c r="AG129" s="16">
        <v>45</v>
      </c>
      <c r="AH129" s="23">
        <f t="shared" si="26"/>
        <v>80</v>
      </c>
      <c r="AI129" s="14">
        <f t="shared" si="27"/>
        <v>0.93</v>
      </c>
      <c r="AJ129" s="13"/>
      <c r="AK129" s="12">
        <v>0.01</v>
      </c>
      <c r="AL129" s="11">
        <f t="shared" si="28"/>
        <v>1.01</v>
      </c>
      <c r="AM129" s="10">
        <f t="shared" si="29"/>
        <v>6601472000</v>
      </c>
      <c r="AN129" s="9"/>
      <c r="AO129" s="8"/>
      <c r="AP129" s="8"/>
      <c r="AQ129" s="8"/>
      <c r="AR129" s="8"/>
      <c r="AS129" s="7"/>
      <c r="AT129" s="6">
        <f t="shared" si="30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20"/>
        <v>1</v>
      </c>
      <c r="O130" s="25">
        <v>15</v>
      </c>
      <c r="P130" s="23">
        <v>15</v>
      </c>
      <c r="Q130" s="24"/>
      <c r="R130" s="24"/>
      <c r="S130" s="23"/>
      <c r="T130" s="20">
        <f t="shared" si="21"/>
        <v>15</v>
      </c>
      <c r="U130" s="19">
        <f t="shared" si="22"/>
        <v>15</v>
      </c>
      <c r="V130" s="22"/>
      <c r="W130" s="22"/>
      <c r="X130" s="22"/>
      <c r="Y130" s="22"/>
      <c r="Z130" s="21"/>
      <c r="AA130" s="20">
        <f t="shared" si="23"/>
        <v>0</v>
      </c>
      <c r="AB130" s="19">
        <f t="shared" si="24"/>
        <v>0</v>
      </c>
      <c r="AC130" s="16">
        <v>20</v>
      </c>
      <c r="AD130" s="18"/>
      <c r="AE130" s="17"/>
      <c r="AF130" s="23">
        <f t="shared" si="25"/>
        <v>15</v>
      </c>
      <c r="AG130" s="16">
        <v>45</v>
      </c>
      <c r="AH130" s="23">
        <f t="shared" si="26"/>
        <v>80</v>
      </c>
      <c r="AI130" s="14">
        <f t="shared" si="27"/>
        <v>0.93</v>
      </c>
      <c r="AJ130" s="13"/>
      <c r="AK130" s="12">
        <v>0.01</v>
      </c>
      <c r="AL130" s="11">
        <f t="shared" si="28"/>
        <v>1.01</v>
      </c>
      <c r="AM130" s="10">
        <f t="shared" si="29"/>
        <v>6601472000</v>
      </c>
      <c r="AN130" s="9"/>
      <c r="AO130" s="8"/>
      <c r="AP130" s="8"/>
      <c r="AQ130" s="8"/>
      <c r="AR130" s="8"/>
      <c r="AS130" s="7"/>
      <c r="AT130" s="6">
        <f t="shared" si="30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20"/>
        <v>1</v>
      </c>
      <c r="O131" s="25">
        <v>15</v>
      </c>
      <c r="P131" s="23">
        <v>15</v>
      </c>
      <c r="Q131" s="24"/>
      <c r="R131" s="24"/>
      <c r="S131" s="23"/>
      <c r="T131" s="20">
        <f t="shared" si="21"/>
        <v>15</v>
      </c>
      <c r="U131" s="19">
        <f t="shared" si="22"/>
        <v>15</v>
      </c>
      <c r="V131" s="22"/>
      <c r="W131" s="22"/>
      <c r="X131" s="22"/>
      <c r="Y131" s="22"/>
      <c r="Z131" s="21"/>
      <c r="AA131" s="20">
        <f t="shared" si="23"/>
        <v>0</v>
      </c>
      <c r="AB131" s="19">
        <f t="shared" si="24"/>
        <v>0</v>
      </c>
      <c r="AC131" s="16">
        <v>20</v>
      </c>
      <c r="AD131" s="18"/>
      <c r="AE131" s="17"/>
      <c r="AF131" s="23">
        <f t="shared" si="25"/>
        <v>15</v>
      </c>
      <c r="AG131" s="16">
        <v>45</v>
      </c>
      <c r="AH131" s="23">
        <f t="shared" si="26"/>
        <v>80</v>
      </c>
      <c r="AI131" s="14">
        <f t="shared" si="27"/>
        <v>0.93</v>
      </c>
      <c r="AJ131" s="13"/>
      <c r="AK131" s="12">
        <v>0.01</v>
      </c>
      <c r="AL131" s="11">
        <f t="shared" si="28"/>
        <v>1.01</v>
      </c>
      <c r="AM131" s="10">
        <f t="shared" si="29"/>
        <v>6601472000</v>
      </c>
      <c r="AN131" s="9"/>
      <c r="AO131" s="8"/>
      <c r="AP131" s="8"/>
      <c r="AQ131" s="8"/>
      <c r="AR131" s="8"/>
      <c r="AS131" s="7"/>
      <c r="AT131" s="6">
        <f t="shared" si="30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20"/>
        <v>1</v>
      </c>
      <c r="O132" s="25">
        <v>15</v>
      </c>
      <c r="P132" s="23">
        <v>15</v>
      </c>
      <c r="Q132" s="24"/>
      <c r="R132" s="24"/>
      <c r="S132" s="23"/>
      <c r="T132" s="20">
        <f t="shared" si="21"/>
        <v>15</v>
      </c>
      <c r="U132" s="19">
        <f t="shared" si="22"/>
        <v>15</v>
      </c>
      <c r="V132" s="22"/>
      <c r="W132" s="22"/>
      <c r="X132" s="22"/>
      <c r="Y132" s="22"/>
      <c r="Z132" s="21"/>
      <c r="AA132" s="20">
        <f t="shared" si="23"/>
        <v>0</v>
      </c>
      <c r="AB132" s="19">
        <f t="shared" si="24"/>
        <v>0</v>
      </c>
      <c r="AC132" s="16">
        <v>20</v>
      </c>
      <c r="AD132" s="18"/>
      <c r="AE132" s="17"/>
      <c r="AF132" s="23">
        <f t="shared" si="25"/>
        <v>15</v>
      </c>
      <c r="AG132" s="16">
        <v>45</v>
      </c>
      <c r="AH132" s="23">
        <f t="shared" si="26"/>
        <v>80</v>
      </c>
      <c r="AI132" s="14">
        <f t="shared" si="27"/>
        <v>0.93</v>
      </c>
      <c r="AJ132" s="13"/>
      <c r="AK132" s="12">
        <v>0.01</v>
      </c>
      <c r="AL132" s="11">
        <f t="shared" si="28"/>
        <v>1.01</v>
      </c>
      <c r="AM132" s="10">
        <f t="shared" si="29"/>
        <v>6601472000</v>
      </c>
      <c r="AN132" s="9"/>
      <c r="AO132" s="8"/>
      <c r="AP132" s="8"/>
      <c r="AQ132" s="8"/>
      <c r="AR132" s="8"/>
      <c r="AS132" s="7"/>
      <c r="AT132" s="6">
        <f t="shared" si="30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31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32">ROUND(((O133*I133)+(P133*J133)+(Q133*K133)+(R133*L133)+(S133*M133)),2)</f>
        <v>15</v>
      </c>
      <c r="U133" s="19">
        <f t="shared" ref="U133:U140" si="33">IF(T133&gt;=15,15,T133)</f>
        <v>15</v>
      </c>
      <c r="V133" s="22"/>
      <c r="W133" s="22"/>
      <c r="X133" s="22"/>
      <c r="Y133" s="22"/>
      <c r="Z133" s="21"/>
      <c r="AA133" s="20">
        <f t="shared" ref="AA133:AA140" si="34">ROUND((((V133*I133)+(W133*J133)+(X133*K133)+(Y133*L133)+(Z133*M133))/$I$2*15),2)</f>
        <v>0</v>
      </c>
      <c r="AB133" s="19">
        <f t="shared" ref="AB133:AB140" si="35">IF(AA133&gt;=15,15,AA133)</f>
        <v>0</v>
      </c>
      <c r="AC133" s="16">
        <v>20</v>
      </c>
      <c r="AD133" s="18"/>
      <c r="AE133" s="17"/>
      <c r="AF133" s="23">
        <f t="shared" ref="AF133:AF140" si="36">IF((U133+AB133+AD133)&gt;=30,30,(U133+AB133+AD133))</f>
        <v>15</v>
      </c>
      <c r="AG133" s="16">
        <v>45</v>
      </c>
      <c r="AH133" s="23">
        <f t="shared" ref="AH133:AH140" si="37">AC133+AF133+AG133+AE133</f>
        <v>80</v>
      </c>
      <c r="AI133" s="14">
        <f t="shared" ref="AI133:AI140" si="38">-((50-((176+(45+(30-AF133)))))/200)</f>
        <v>0.93</v>
      </c>
      <c r="AJ133" s="13"/>
      <c r="AK133" s="12">
        <v>0.01</v>
      </c>
      <c r="AL133" s="11">
        <f t="shared" ref="AL133:AL140" si="39">100%+AK133</f>
        <v>1.01</v>
      </c>
      <c r="AM133" s="10">
        <f t="shared" ref="AM133:AM140" si="40">ROUNDUP($D$2*AI133*AL133,-3)</f>
        <v>6601472000</v>
      </c>
      <c r="AN133" s="9"/>
      <c r="AO133" s="8"/>
      <c r="AP133" s="8"/>
      <c r="AQ133" s="8"/>
      <c r="AR133" s="8"/>
      <c r="AS133" s="7"/>
      <c r="AT133" s="6">
        <f t="shared" ref="AT133:AT140" si="41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31"/>
        <v>1</v>
      </c>
      <c r="O134" s="25">
        <v>15</v>
      </c>
      <c r="P134" s="23">
        <v>15</v>
      </c>
      <c r="Q134" s="24"/>
      <c r="R134" s="24"/>
      <c r="S134" s="23"/>
      <c r="T134" s="20">
        <f t="shared" si="32"/>
        <v>15</v>
      </c>
      <c r="U134" s="19">
        <f t="shared" si="33"/>
        <v>15</v>
      </c>
      <c r="V134" s="22"/>
      <c r="W134" s="22"/>
      <c r="X134" s="22"/>
      <c r="Y134" s="22"/>
      <c r="Z134" s="21"/>
      <c r="AA134" s="20">
        <f t="shared" si="34"/>
        <v>0</v>
      </c>
      <c r="AB134" s="19">
        <f t="shared" si="35"/>
        <v>0</v>
      </c>
      <c r="AC134" s="16">
        <v>20</v>
      </c>
      <c r="AD134" s="18"/>
      <c r="AE134" s="17"/>
      <c r="AF134" s="23">
        <f t="shared" si="36"/>
        <v>15</v>
      </c>
      <c r="AG134" s="16">
        <v>45</v>
      </c>
      <c r="AH134" s="23">
        <f t="shared" si="37"/>
        <v>80</v>
      </c>
      <c r="AI134" s="14">
        <f t="shared" si="38"/>
        <v>0.93</v>
      </c>
      <c r="AJ134" s="13"/>
      <c r="AK134" s="12">
        <v>0.01</v>
      </c>
      <c r="AL134" s="11">
        <f t="shared" si="39"/>
        <v>1.01</v>
      </c>
      <c r="AM134" s="10">
        <f t="shared" si="40"/>
        <v>6601472000</v>
      </c>
      <c r="AN134" s="9"/>
      <c r="AO134" s="8"/>
      <c r="AP134" s="8"/>
      <c r="AQ134" s="8"/>
      <c r="AR134" s="8"/>
      <c r="AS134" s="7"/>
      <c r="AT134" s="6">
        <f t="shared" si="41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31"/>
        <v>1</v>
      </c>
      <c r="O135" s="25">
        <v>15</v>
      </c>
      <c r="P135" s="23">
        <v>15</v>
      </c>
      <c r="Q135" s="24"/>
      <c r="R135" s="24"/>
      <c r="S135" s="23"/>
      <c r="T135" s="20">
        <f t="shared" si="32"/>
        <v>15</v>
      </c>
      <c r="U135" s="19">
        <f t="shared" si="33"/>
        <v>15</v>
      </c>
      <c r="V135" s="22"/>
      <c r="W135" s="22"/>
      <c r="X135" s="22"/>
      <c r="Y135" s="22"/>
      <c r="Z135" s="21"/>
      <c r="AA135" s="20">
        <f t="shared" si="34"/>
        <v>0</v>
      </c>
      <c r="AB135" s="19">
        <f t="shared" si="35"/>
        <v>0</v>
      </c>
      <c r="AC135" s="16">
        <v>20</v>
      </c>
      <c r="AD135" s="18"/>
      <c r="AE135" s="17"/>
      <c r="AF135" s="23">
        <f t="shared" si="36"/>
        <v>15</v>
      </c>
      <c r="AG135" s="16">
        <v>45</v>
      </c>
      <c r="AH135" s="23">
        <f t="shared" si="37"/>
        <v>80</v>
      </c>
      <c r="AI135" s="14">
        <f t="shared" si="38"/>
        <v>0.93</v>
      </c>
      <c r="AJ135" s="13"/>
      <c r="AK135" s="12">
        <v>0.01</v>
      </c>
      <c r="AL135" s="11">
        <f t="shared" si="39"/>
        <v>1.01</v>
      </c>
      <c r="AM135" s="10">
        <f t="shared" si="40"/>
        <v>6601472000</v>
      </c>
      <c r="AN135" s="9"/>
      <c r="AO135" s="8"/>
      <c r="AP135" s="8"/>
      <c r="AQ135" s="8"/>
      <c r="AR135" s="8"/>
      <c r="AS135" s="7"/>
      <c r="AT135" s="6">
        <f t="shared" si="41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31"/>
        <v>1</v>
      </c>
      <c r="O136" s="25">
        <v>15</v>
      </c>
      <c r="P136" s="23">
        <v>15</v>
      </c>
      <c r="Q136" s="24"/>
      <c r="R136" s="24"/>
      <c r="S136" s="23"/>
      <c r="T136" s="20">
        <f t="shared" si="32"/>
        <v>15</v>
      </c>
      <c r="U136" s="19">
        <f t="shared" si="33"/>
        <v>15</v>
      </c>
      <c r="V136" s="22"/>
      <c r="W136" s="22"/>
      <c r="X136" s="22"/>
      <c r="Y136" s="22"/>
      <c r="Z136" s="21"/>
      <c r="AA136" s="20">
        <f t="shared" si="34"/>
        <v>0</v>
      </c>
      <c r="AB136" s="19">
        <f t="shared" si="35"/>
        <v>0</v>
      </c>
      <c r="AC136" s="16">
        <v>20</v>
      </c>
      <c r="AD136" s="18"/>
      <c r="AE136" s="17"/>
      <c r="AF136" s="23">
        <f t="shared" si="36"/>
        <v>15</v>
      </c>
      <c r="AG136" s="16">
        <v>45</v>
      </c>
      <c r="AH136" s="23">
        <f t="shared" si="37"/>
        <v>80</v>
      </c>
      <c r="AI136" s="14">
        <f t="shared" si="38"/>
        <v>0.93</v>
      </c>
      <c r="AJ136" s="13"/>
      <c r="AK136" s="12">
        <v>0.01</v>
      </c>
      <c r="AL136" s="11">
        <f t="shared" si="39"/>
        <v>1.01</v>
      </c>
      <c r="AM136" s="10">
        <f t="shared" si="40"/>
        <v>6601472000</v>
      </c>
      <c r="AN136" s="9"/>
      <c r="AO136" s="8"/>
      <c r="AP136" s="8"/>
      <c r="AQ136" s="8"/>
      <c r="AR136" s="8"/>
      <c r="AS136" s="7"/>
      <c r="AT136" s="6">
        <f t="shared" si="41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31"/>
        <v>1</v>
      </c>
      <c r="O137" s="25">
        <v>15</v>
      </c>
      <c r="P137" s="23">
        <v>15</v>
      </c>
      <c r="Q137" s="24"/>
      <c r="R137" s="24"/>
      <c r="S137" s="23"/>
      <c r="T137" s="20">
        <f t="shared" si="32"/>
        <v>15</v>
      </c>
      <c r="U137" s="19">
        <f t="shared" si="33"/>
        <v>15</v>
      </c>
      <c r="V137" s="22"/>
      <c r="W137" s="22"/>
      <c r="X137" s="22"/>
      <c r="Y137" s="22"/>
      <c r="Z137" s="21"/>
      <c r="AA137" s="20">
        <f t="shared" si="34"/>
        <v>0</v>
      </c>
      <c r="AB137" s="19">
        <f t="shared" si="35"/>
        <v>0</v>
      </c>
      <c r="AC137" s="16">
        <v>20</v>
      </c>
      <c r="AD137" s="18"/>
      <c r="AE137" s="17"/>
      <c r="AF137" s="23">
        <f t="shared" si="36"/>
        <v>15</v>
      </c>
      <c r="AG137" s="16">
        <v>45</v>
      </c>
      <c r="AH137" s="23">
        <f t="shared" si="37"/>
        <v>80</v>
      </c>
      <c r="AI137" s="14">
        <f t="shared" si="38"/>
        <v>0.93</v>
      </c>
      <c r="AJ137" s="13"/>
      <c r="AK137" s="12">
        <v>0.01</v>
      </c>
      <c r="AL137" s="11">
        <f t="shared" si="39"/>
        <v>1.01</v>
      </c>
      <c r="AM137" s="10">
        <f t="shared" si="40"/>
        <v>6601472000</v>
      </c>
      <c r="AN137" s="9"/>
      <c r="AO137" s="8"/>
      <c r="AP137" s="8"/>
      <c r="AQ137" s="8"/>
      <c r="AR137" s="8"/>
      <c r="AS137" s="7"/>
      <c r="AT137" s="6">
        <f t="shared" si="41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31"/>
        <v>1</v>
      </c>
      <c r="O138" s="25">
        <v>15</v>
      </c>
      <c r="P138" s="23">
        <v>15</v>
      </c>
      <c r="Q138" s="24"/>
      <c r="R138" s="24"/>
      <c r="S138" s="23"/>
      <c r="T138" s="20">
        <f t="shared" si="32"/>
        <v>15</v>
      </c>
      <c r="U138" s="19">
        <f t="shared" si="33"/>
        <v>15</v>
      </c>
      <c r="V138" s="22"/>
      <c r="W138" s="22"/>
      <c r="X138" s="22"/>
      <c r="Y138" s="22"/>
      <c r="Z138" s="21"/>
      <c r="AA138" s="20">
        <f t="shared" si="34"/>
        <v>0</v>
      </c>
      <c r="AB138" s="19">
        <f t="shared" si="35"/>
        <v>0</v>
      </c>
      <c r="AC138" s="16">
        <v>20</v>
      </c>
      <c r="AD138" s="18"/>
      <c r="AE138" s="17"/>
      <c r="AF138" s="23">
        <f t="shared" si="36"/>
        <v>15</v>
      </c>
      <c r="AG138" s="16">
        <v>45</v>
      </c>
      <c r="AH138" s="23">
        <f t="shared" si="37"/>
        <v>80</v>
      </c>
      <c r="AI138" s="14">
        <f t="shared" si="38"/>
        <v>0.93</v>
      </c>
      <c r="AJ138" s="13"/>
      <c r="AK138" s="12">
        <v>0.01</v>
      </c>
      <c r="AL138" s="11">
        <f t="shared" si="39"/>
        <v>1.01</v>
      </c>
      <c r="AM138" s="10">
        <f t="shared" si="40"/>
        <v>6601472000</v>
      </c>
      <c r="AN138" s="9"/>
      <c r="AO138" s="8"/>
      <c r="AP138" s="8"/>
      <c r="AQ138" s="8"/>
      <c r="AR138" s="8"/>
      <c r="AS138" s="7"/>
      <c r="AT138" s="6">
        <f t="shared" si="41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31"/>
        <v>1</v>
      </c>
      <c r="O139" s="25">
        <v>15</v>
      </c>
      <c r="P139" s="23">
        <v>15</v>
      </c>
      <c r="Q139" s="24"/>
      <c r="R139" s="24"/>
      <c r="S139" s="23"/>
      <c r="T139" s="20">
        <f t="shared" si="32"/>
        <v>15</v>
      </c>
      <c r="U139" s="19">
        <f t="shared" si="33"/>
        <v>15</v>
      </c>
      <c r="V139" s="22"/>
      <c r="W139" s="22"/>
      <c r="X139" s="22"/>
      <c r="Y139" s="22"/>
      <c r="Z139" s="21"/>
      <c r="AA139" s="20">
        <f t="shared" si="34"/>
        <v>0</v>
      </c>
      <c r="AB139" s="19">
        <f t="shared" si="35"/>
        <v>0</v>
      </c>
      <c r="AC139" s="16">
        <v>20</v>
      </c>
      <c r="AD139" s="18"/>
      <c r="AE139" s="17"/>
      <c r="AF139" s="23">
        <f t="shared" si="36"/>
        <v>15</v>
      </c>
      <c r="AG139" s="16">
        <v>45</v>
      </c>
      <c r="AH139" s="23">
        <f t="shared" si="37"/>
        <v>80</v>
      </c>
      <c r="AI139" s="14">
        <f t="shared" si="38"/>
        <v>0.93</v>
      </c>
      <c r="AJ139" s="13"/>
      <c r="AK139" s="12">
        <v>0.01</v>
      </c>
      <c r="AL139" s="11">
        <f t="shared" si="39"/>
        <v>1.01</v>
      </c>
      <c r="AM139" s="10">
        <f t="shared" si="40"/>
        <v>6601472000</v>
      </c>
      <c r="AN139" s="9"/>
      <c r="AO139" s="8"/>
      <c r="AP139" s="8"/>
      <c r="AQ139" s="8"/>
      <c r="AR139" s="8"/>
      <c r="AS139" s="7"/>
      <c r="AT139" s="6">
        <f t="shared" si="41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31"/>
        <v>1</v>
      </c>
      <c r="O140" s="25">
        <v>15</v>
      </c>
      <c r="P140" s="23">
        <v>15</v>
      </c>
      <c r="Q140" s="24"/>
      <c r="R140" s="24"/>
      <c r="S140" s="23"/>
      <c r="T140" s="20">
        <f t="shared" si="32"/>
        <v>15</v>
      </c>
      <c r="U140" s="19">
        <f t="shared" si="33"/>
        <v>15</v>
      </c>
      <c r="V140" s="22"/>
      <c r="W140" s="22"/>
      <c r="X140" s="22"/>
      <c r="Y140" s="22"/>
      <c r="Z140" s="21"/>
      <c r="AA140" s="20">
        <f t="shared" si="34"/>
        <v>0</v>
      </c>
      <c r="AB140" s="19">
        <f t="shared" si="35"/>
        <v>0</v>
      </c>
      <c r="AC140" s="16">
        <v>20</v>
      </c>
      <c r="AD140" s="18"/>
      <c r="AE140" s="17"/>
      <c r="AF140" s="15">
        <f t="shared" si="36"/>
        <v>15</v>
      </c>
      <c r="AG140" s="16">
        <v>45</v>
      </c>
      <c r="AH140" s="15">
        <f t="shared" si="37"/>
        <v>80</v>
      </c>
      <c r="AI140" s="14">
        <f t="shared" si="38"/>
        <v>0.93</v>
      </c>
      <c r="AJ140" s="13"/>
      <c r="AK140" s="12">
        <v>0.01</v>
      </c>
      <c r="AL140" s="11">
        <f t="shared" si="39"/>
        <v>1.01</v>
      </c>
      <c r="AM140" s="10">
        <f t="shared" si="40"/>
        <v>6601472000</v>
      </c>
      <c r="AN140" s="9"/>
      <c r="AO140" s="8"/>
      <c r="AP140" s="8"/>
      <c r="AQ140" s="8"/>
      <c r="AR140" s="8"/>
      <c r="AS140" s="7"/>
      <c r="AT140" s="6">
        <f t="shared" si="41"/>
        <v>0</v>
      </c>
    </row>
  </sheetData>
  <mergeCells count="27">
    <mergeCell ref="AT3:AT4"/>
    <mergeCell ref="AN3:AN4"/>
    <mergeCell ref="AO3:AO4"/>
    <mergeCell ref="AP3:AP4"/>
    <mergeCell ref="AQ3:AQ4"/>
    <mergeCell ref="AR3:AR4"/>
    <mergeCell ref="AS3:AS4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D1:E1"/>
    <mergeCell ref="I1:J1"/>
    <mergeCell ref="M1:AF1"/>
    <mergeCell ref="AH1:AK1"/>
    <mergeCell ref="D2:E2"/>
    <mergeCell ref="F2:G2"/>
    <mergeCell ref="I2:J2"/>
    <mergeCell ref="O2:T2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T140"/>
  <sheetViews>
    <sheetView showZeros="0" view="pageBreakPreview" zoomScale="80" zoomScaleSheetLayoutView="80" workbookViewId="0">
      <selection activeCell="B7" sqref="B7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133</v>
      </c>
      <c r="D1" s="179"/>
      <c r="E1" s="179"/>
      <c r="F1" s="130"/>
      <c r="G1" s="130"/>
      <c r="H1" s="132" t="s">
        <v>132</v>
      </c>
      <c r="I1" s="180"/>
      <c r="J1" s="181"/>
      <c r="K1" s="139"/>
      <c r="L1" s="138"/>
      <c r="M1" s="182" t="s">
        <v>291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278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129</v>
      </c>
      <c r="D2" s="184">
        <v>6607788000</v>
      </c>
      <c r="E2" s="184"/>
      <c r="F2" s="185"/>
      <c r="G2" s="186"/>
      <c r="H2" s="132" t="s">
        <v>265</v>
      </c>
      <c r="I2" s="186">
        <f>D2*2</f>
        <v>13215576000</v>
      </c>
      <c r="J2" s="187"/>
      <c r="K2" s="131" t="s">
        <v>127</v>
      </c>
      <c r="L2" s="130"/>
      <c r="M2" s="130"/>
      <c r="N2" s="129" t="s">
        <v>126</v>
      </c>
      <c r="O2" s="188">
        <v>45944.583333333336</v>
      </c>
      <c r="P2" s="188"/>
      <c r="Q2" s="188"/>
      <c r="R2" s="188"/>
      <c r="S2" s="188"/>
      <c r="T2" s="188"/>
      <c r="U2" s="128"/>
      <c r="V2" s="141"/>
      <c r="W2" s="128"/>
      <c r="X2" s="128"/>
      <c r="Y2" s="142"/>
      <c r="Z2" s="142"/>
      <c r="AA2" s="142"/>
      <c r="AB2" s="142"/>
      <c r="AC2" s="142"/>
      <c r="AD2" s="143"/>
      <c r="AE2" s="142"/>
      <c r="AF2" s="142"/>
      <c r="AG2" s="142"/>
      <c r="AH2" s="123"/>
      <c r="AJ2" s="123"/>
      <c r="AK2" s="122"/>
      <c r="AL2" s="122"/>
      <c r="AM2" s="121" t="s">
        <v>124</v>
      </c>
      <c r="AO2" s="120" t="s">
        <v>260</v>
      </c>
      <c r="AP2" s="119">
        <v>6402040000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259</v>
      </c>
      <c r="B3" s="166" t="s">
        <v>121</v>
      </c>
      <c r="C3" s="168" t="s">
        <v>257</v>
      </c>
      <c r="D3" s="169"/>
      <c r="E3" s="169"/>
      <c r="F3" s="169"/>
      <c r="G3" s="169"/>
      <c r="H3" s="170"/>
      <c r="I3" s="168" t="s">
        <v>256</v>
      </c>
      <c r="J3" s="169"/>
      <c r="K3" s="169"/>
      <c r="L3" s="169"/>
      <c r="M3" s="170"/>
      <c r="N3" s="171" t="s">
        <v>255</v>
      </c>
      <c r="O3" s="168" t="s">
        <v>254</v>
      </c>
      <c r="P3" s="169"/>
      <c r="Q3" s="169"/>
      <c r="R3" s="169"/>
      <c r="S3" s="169"/>
      <c r="T3" s="170"/>
      <c r="U3" s="113"/>
      <c r="V3" s="168" t="s">
        <v>116</v>
      </c>
      <c r="W3" s="169"/>
      <c r="X3" s="169"/>
      <c r="Y3" s="169"/>
      <c r="Z3" s="169"/>
      <c r="AA3" s="170"/>
      <c r="AB3" s="113"/>
      <c r="AC3" s="113"/>
      <c r="AD3" s="114" t="s">
        <v>115</v>
      </c>
      <c r="AE3" s="113"/>
      <c r="AF3" s="113"/>
      <c r="AG3" s="113"/>
      <c r="AH3" s="112"/>
      <c r="AI3" s="173" t="s">
        <v>114</v>
      </c>
      <c r="AJ3" s="166" t="s">
        <v>113</v>
      </c>
      <c r="AK3" s="175" t="s">
        <v>249</v>
      </c>
      <c r="AL3" s="177" t="s">
        <v>248</v>
      </c>
      <c r="AM3" s="162" t="s">
        <v>247</v>
      </c>
      <c r="AN3" s="157" t="s">
        <v>109</v>
      </c>
      <c r="AO3" s="159" t="s">
        <v>246</v>
      </c>
      <c r="AP3" s="161" t="s">
        <v>245</v>
      </c>
      <c r="AQ3" s="156" t="s">
        <v>244</v>
      </c>
      <c r="AR3" s="156" t="s">
        <v>243</v>
      </c>
      <c r="AS3" s="156" t="s">
        <v>242</v>
      </c>
      <c r="AT3" s="156" t="s">
        <v>241</v>
      </c>
    </row>
    <row r="4" spans="1:46" s="5" customFormat="1" ht="39.75" customHeight="1" thickBot="1" x14ac:dyDescent="0.2">
      <c r="A4" s="165"/>
      <c r="B4" s="167"/>
      <c r="C4" s="109" t="s">
        <v>97</v>
      </c>
      <c r="D4" s="108" t="s">
        <v>235</v>
      </c>
      <c r="E4" s="105" t="s">
        <v>234</v>
      </c>
      <c r="F4" s="105" t="s">
        <v>240</v>
      </c>
      <c r="G4" s="105" t="s">
        <v>232</v>
      </c>
      <c r="H4" s="111" t="s">
        <v>239</v>
      </c>
      <c r="I4" s="109" t="s">
        <v>236</v>
      </c>
      <c r="J4" s="108" t="s">
        <v>235</v>
      </c>
      <c r="K4" s="107" t="s">
        <v>234</v>
      </c>
      <c r="L4" s="106" t="s">
        <v>233</v>
      </c>
      <c r="M4" s="105" t="s">
        <v>232</v>
      </c>
      <c r="N4" s="172"/>
      <c r="O4" s="109" t="s">
        <v>236</v>
      </c>
      <c r="P4" s="108" t="s">
        <v>235</v>
      </c>
      <c r="Q4" s="105" t="s">
        <v>234</v>
      </c>
      <c r="R4" s="107" t="s">
        <v>233</v>
      </c>
      <c r="S4" s="105" t="s">
        <v>232</v>
      </c>
      <c r="T4" s="110" t="s">
        <v>238</v>
      </c>
      <c r="U4" s="103" t="s">
        <v>237</v>
      </c>
      <c r="V4" s="109" t="s">
        <v>236</v>
      </c>
      <c r="W4" s="108" t="s">
        <v>235</v>
      </c>
      <c r="X4" s="107" t="s">
        <v>234</v>
      </c>
      <c r="Y4" s="106" t="s">
        <v>233</v>
      </c>
      <c r="Z4" s="105" t="s">
        <v>232</v>
      </c>
      <c r="AA4" s="104" t="s">
        <v>231</v>
      </c>
      <c r="AB4" s="103" t="s">
        <v>230</v>
      </c>
      <c r="AC4" s="100" t="s">
        <v>229</v>
      </c>
      <c r="AD4" s="102" t="s">
        <v>228</v>
      </c>
      <c r="AE4" s="102" t="s">
        <v>227</v>
      </c>
      <c r="AF4" s="101" t="s">
        <v>226</v>
      </c>
      <c r="AG4" s="100" t="s">
        <v>86</v>
      </c>
      <c r="AH4" s="100" t="s">
        <v>224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>
        <v>1</v>
      </c>
      <c r="B5" s="35"/>
      <c r="C5" s="73" t="s">
        <v>279</v>
      </c>
      <c r="D5" s="145" t="s">
        <v>280</v>
      </c>
      <c r="E5" s="73" t="s">
        <v>286</v>
      </c>
      <c r="F5" s="73"/>
      <c r="G5" s="73"/>
      <c r="H5" s="45"/>
      <c r="I5" s="38">
        <v>0.4</v>
      </c>
      <c r="J5" s="30">
        <v>0.3</v>
      </c>
      <c r="K5" s="29">
        <v>0.3</v>
      </c>
      <c r="L5" s="30"/>
      <c r="M5" s="27"/>
      <c r="N5" s="26">
        <f t="shared" ref="N5:N68" si="0">SUM(I5:M5)</f>
        <v>1</v>
      </c>
      <c r="O5" s="65">
        <v>15</v>
      </c>
      <c r="P5" s="23">
        <v>15</v>
      </c>
      <c r="Q5" s="144">
        <v>14.6</v>
      </c>
      <c r="R5" s="42"/>
      <c r="S5" s="42"/>
      <c r="T5" s="20">
        <f t="shared" ref="T5:T68" si="1">ROUND(((O5*I5)+(P5*J5)+(Q5*K5)+(R5*L5)+(S5*M5)),2)</f>
        <v>14.88</v>
      </c>
      <c r="U5" s="19">
        <f t="shared" ref="U5:U10" si="2">IF(T5&gt;=15,15,T5)</f>
        <v>14.88</v>
      </c>
      <c r="V5" s="146">
        <v>11716746000</v>
      </c>
      <c r="W5" s="147">
        <v>0</v>
      </c>
      <c r="X5" s="59">
        <v>60895199000</v>
      </c>
      <c r="Y5" s="22"/>
      <c r="Z5" s="21"/>
      <c r="AA5" s="20">
        <f t="shared" ref="AA5:AA68" si="3">ROUND((((V5*I5)+(W5*J5)+(X5*K5)+(Y5*L5)+(Z5*M5))/$I$2*15),2)</f>
        <v>26.05</v>
      </c>
      <c r="AB5" s="19">
        <f t="shared" ref="AB5:AB68" si="4">IF(AA5&gt;=15,15,AA5)</f>
        <v>15</v>
      </c>
      <c r="AC5" s="16">
        <v>20</v>
      </c>
      <c r="AD5" s="18">
        <f>3*I5*0.3</f>
        <v>0.36000000000000004</v>
      </c>
      <c r="AE5" s="97"/>
      <c r="AF5" s="23">
        <f>IF((U5+AB5+AD5)&gt;=30,30,(U5+AB5+AD5))</f>
        <v>30</v>
      </c>
      <c r="AG5" s="16">
        <v>45</v>
      </c>
      <c r="AH5" s="23">
        <f t="shared" ref="AH5:AH68" si="5">AC5+AF5+AG5+AE5</f>
        <v>95</v>
      </c>
      <c r="AI5" s="14">
        <f t="shared" ref="AI5:AI68" si="6">-((50-((176+(45+(30-AF5)))))/200)</f>
        <v>0.85499999999999998</v>
      </c>
      <c r="AJ5" s="13"/>
      <c r="AK5" s="12">
        <v>0.01</v>
      </c>
      <c r="AL5" s="11">
        <f t="shared" ref="AL5:AL68" si="7">100%+AK5</f>
        <v>1.01</v>
      </c>
      <c r="AM5" s="10">
        <f t="shared" ref="AM5:AM68" si="8">ROUNDUP($D$2*AI5*AL5,-3)</f>
        <v>5706156000</v>
      </c>
      <c r="AN5" s="9"/>
      <c r="AO5" s="16"/>
      <c r="AP5" s="81"/>
      <c r="AQ5" s="81"/>
      <c r="AR5" s="8"/>
      <c r="AS5" s="7"/>
      <c r="AT5" s="6">
        <f t="shared" ref="AT5:AT68" si="9">(AO5*J5)+(AP5*K5)+(AQ5*L5)+(AR5*M5)+(AS5*N5)</f>
        <v>0</v>
      </c>
    </row>
    <row r="6" spans="1:46" s="37" customFormat="1" ht="45.75" customHeight="1" thickBot="1" x14ac:dyDescent="0.2">
      <c r="A6" s="35">
        <v>2</v>
      </c>
      <c r="B6" s="35"/>
      <c r="C6" s="73" t="s">
        <v>82</v>
      </c>
      <c r="D6" s="96" t="s">
        <v>281</v>
      </c>
      <c r="E6" s="73" t="s">
        <v>284</v>
      </c>
      <c r="F6" s="73"/>
      <c r="G6" s="73"/>
      <c r="H6" s="45"/>
      <c r="I6" s="38">
        <v>0.4</v>
      </c>
      <c r="J6" s="30">
        <v>0.3</v>
      </c>
      <c r="K6" s="29">
        <v>0.3</v>
      </c>
      <c r="L6" s="30"/>
      <c r="M6" s="27"/>
      <c r="N6" s="26">
        <f t="shared" si="0"/>
        <v>1</v>
      </c>
      <c r="O6" s="65">
        <v>15</v>
      </c>
      <c r="P6" s="144">
        <v>14.23</v>
      </c>
      <c r="Q6" s="23">
        <v>15</v>
      </c>
      <c r="R6" s="42"/>
      <c r="S6" s="42"/>
      <c r="T6" s="20">
        <f t="shared" si="1"/>
        <v>14.77</v>
      </c>
      <c r="U6" s="19">
        <f t="shared" si="2"/>
        <v>14.77</v>
      </c>
      <c r="V6" s="146">
        <v>15563060000</v>
      </c>
      <c r="W6" s="147">
        <v>355365000</v>
      </c>
      <c r="X6" s="59">
        <v>63305526000</v>
      </c>
      <c r="Y6" s="41"/>
      <c r="Z6" s="21"/>
      <c r="AA6" s="20">
        <f t="shared" si="3"/>
        <v>28.74</v>
      </c>
      <c r="AB6" s="19">
        <f t="shared" si="4"/>
        <v>15</v>
      </c>
      <c r="AC6" s="16">
        <v>20</v>
      </c>
      <c r="AD6" s="18">
        <f>3*I6*0.3</f>
        <v>0.36000000000000004</v>
      </c>
      <c r="AE6" s="17"/>
      <c r="AF6" s="23">
        <f>IF((U6+AB6+AD6)&gt;=30,30,(U6+AB6+AD6))</f>
        <v>30</v>
      </c>
      <c r="AG6" s="16">
        <v>45</v>
      </c>
      <c r="AH6" s="23">
        <f t="shared" si="5"/>
        <v>95</v>
      </c>
      <c r="AI6" s="14">
        <f t="shared" si="6"/>
        <v>0.85499999999999998</v>
      </c>
      <c r="AJ6" s="13"/>
      <c r="AK6" s="12">
        <v>0.01</v>
      </c>
      <c r="AL6" s="11">
        <f t="shared" si="7"/>
        <v>1.01</v>
      </c>
      <c r="AM6" s="10">
        <f t="shared" si="8"/>
        <v>5706156000</v>
      </c>
      <c r="AN6" s="9"/>
      <c r="AO6" s="16"/>
      <c r="AP6" s="81"/>
      <c r="AQ6" s="81"/>
      <c r="AR6" s="8"/>
      <c r="AS6" s="7"/>
      <c r="AT6" s="6">
        <f t="shared" si="9"/>
        <v>0</v>
      </c>
    </row>
    <row r="7" spans="1:46" s="37" customFormat="1" ht="45.75" customHeight="1" thickBot="1" x14ac:dyDescent="0.2">
      <c r="A7" s="35">
        <v>3</v>
      </c>
      <c r="B7" s="148" t="s">
        <v>293</v>
      </c>
      <c r="C7" s="73" t="s">
        <v>282</v>
      </c>
      <c r="D7" s="70" t="s">
        <v>155</v>
      </c>
      <c r="E7" s="73"/>
      <c r="F7" s="73"/>
      <c r="G7" s="73"/>
      <c r="H7" s="45"/>
      <c r="I7" s="38">
        <v>0.7</v>
      </c>
      <c r="J7" s="30">
        <v>0.3</v>
      </c>
      <c r="K7" s="29"/>
      <c r="L7" s="30"/>
      <c r="M7" s="27"/>
      <c r="N7" s="26">
        <f t="shared" si="0"/>
        <v>1</v>
      </c>
      <c r="O7" s="65">
        <v>15</v>
      </c>
      <c r="P7" s="23">
        <v>15</v>
      </c>
      <c r="Q7" s="23">
        <v>15</v>
      </c>
      <c r="R7" s="42"/>
      <c r="S7" s="42"/>
      <c r="T7" s="20">
        <f t="shared" si="1"/>
        <v>15</v>
      </c>
      <c r="U7" s="19">
        <f t="shared" si="2"/>
        <v>15</v>
      </c>
      <c r="V7" s="146">
        <v>21672377000</v>
      </c>
      <c r="W7" s="147">
        <v>692740000</v>
      </c>
      <c r="X7" s="59"/>
      <c r="Y7" s="48"/>
      <c r="Z7" s="21"/>
      <c r="AA7" s="20">
        <f t="shared" si="3"/>
        <v>17.45</v>
      </c>
      <c r="AB7" s="19">
        <f t="shared" si="4"/>
        <v>15</v>
      </c>
      <c r="AC7" s="16">
        <v>20</v>
      </c>
      <c r="AD7" s="18"/>
      <c r="AE7" s="17"/>
      <c r="AF7" s="23">
        <f t="shared" ref="AF7:AF70" si="10">IF((U7+AB7+AD7)&gt;=30,30,(U7+AB7+AD7))</f>
        <v>30</v>
      </c>
      <c r="AG7" s="16">
        <v>45</v>
      </c>
      <c r="AH7" s="23">
        <f t="shared" si="5"/>
        <v>95</v>
      </c>
      <c r="AI7" s="14">
        <f t="shared" si="6"/>
        <v>0.85499999999999998</v>
      </c>
      <c r="AJ7" s="13"/>
      <c r="AK7" s="12">
        <v>0.01</v>
      </c>
      <c r="AL7" s="11">
        <f t="shared" si="7"/>
        <v>1.01</v>
      </c>
      <c r="AM7" s="10">
        <f t="shared" si="8"/>
        <v>5706156000</v>
      </c>
      <c r="AN7" s="9"/>
      <c r="AO7" s="16"/>
      <c r="AP7" s="81"/>
      <c r="AQ7" s="81"/>
      <c r="AR7" s="8"/>
      <c r="AS7" s="7"/>
      <c r="AT7" s="6">
        <f t="shared" si="9"/>
        <v>0</v>
      </c>
    </row>
    <row r="8" spans="1:46" s="37" customFormat="1" ht="45.75" customHeight="1" thickBot="1" x14ac:dyDescent="0.2">
      <c r="A8" s="35">
        <v>4</v>
      </c>
      <c r="B8" s="35"/>
      <c r="C8" s="73" t="s">
        <v>83</v>
      </c>
      <c r="D8" s="145" t="s">
        <v>283</v>
      </c>
      <c r="E8" s="73" t="s">
        <v>285</v>
      </c>
      <c r="F8" s="73"/>
      <c r="G8" s="73"/>
      <c r="H8" s="45"/>
      <c r="I8" s="38">
        <v>0.4</v>
      </c>
      <c r="J8" s="30">
        <v>0.3</v>
      </c>
      <c r="K8" s="29">
        <v>0.3</v>
      </c>
      <c r="L8" s="28"/>
      <c r="M8" s="27"/>
      <c r="N8" s="26">
        <f t="shared" si="0"/>
        <v>1</v>
      </c>
      <c r="O8" s="65">
        <v>15</v>
      </c>
      <c r="P8" s="23">
        <v>15</v>
      </c>
      <c r="Q8" s="23">
        <v>15</v>
      </c>
      <c r="R8" s="42"/>
      <c r="S8" s="42"/>
      <c r="T8" s="20">
        <f t="shared" si="1"/>
        <v>15</v>
      </c>
      <c r="U8" s="19">
        <f t="shared" si="2"/>
        <v>15</v>
      </c>
      <c r="V8" s="146">
        <v>7038779000</v>
      </c>
      <c r="W8" s="147">
        <v>0</v>
      </c>
      <c r="X8" s="59">
        <v>109829864000</v>
      </c>
      <c r="Y8" s="22"/>
      <c r="Z8" s="21"/>
      <c r="AA8" s="20">
        <f t="shared" si="3"/>
        <v>40.590000000000003</v>
      </c>
      <c r="AB8" s="19">
        <f t="shared" si="4"/>
        <v>15</v>
      </c>
      <c r="AC8" s="16">
        <v>20</v>
      </c>
      <c r="AD8" s="18"/>
      <c r="AE8" s="17"/>
      <c r="AF8" s="23">
        <f t="shared" si="10"/>
        <v>30</v>
      </c>
      <c r="AG8" s="16">
        <v>45</v>
      </c>
      <c r="AH8" s="23">
        <f t="shared" si="5"/>
        <v>95</v>
      </c>
      <c r="AI8" s="14">
        <f t="shared" si="6"/>
        <v>0.85499999999999998</v>
      </c>
      <c r="AJ8" s="13"/>
      <c r="AK8" s="12">
        <v>0.01</v>
      </c>
      <c r="AL8" s="11">
        <f t="shared" si="7"/>
        <v>1.01</v>
      </c>
      <c r="AM8" s="10">
        <f t="shared" si="8"/>
        <v>5706156000</v>
      </c>
      <c r="AN8" s="9"/>
      <c r="AO8" s="16"/>
      <c r="AP8" s="81"/>
      <c r="AQ8" s="81"/>
      <c r="AR8" s="8"/>
      <c r="AS8" s="7"/>
      <c r="AT8" s="6">
        <f t="shared" si="9"/>
        <v>0</v>
      </c>
    </row>
    <row r="9" spans="1:46" s="37" customFormat="1" ht="45.75" customHeight="1" thickBot="1" x14ac:dyDescent="0.2">
      <c r="A9" s="35"/>
      <c r="B9" s="35"/>
      <c r="C9" s="73" t="s">
        <v>287</v>
      </c>
      <c r="D9" s="73"/>
      <c r="E9" s="73"/>
      <c r="F9" s="73"/>
      <c r="G9" s="73"/>
      <c r="H9" s="45"/>
      <c r="I9" s="38">
        <v>0.6</v>
      </c>
      <c r="J9" s="30">
        <v>0.4</v>
      </c>
      <c r="K9" s="29"/>
      <c r="L9" s="28"/>
      <c r="M9" s="27"/>
      <c r="N9" s="26">
        <f t="shared" si="0"/>
        <v>1</v>
      </c>
      <c r="O9" s="65">
        <v>15</v>
      </c>
      <c r="P9" s="23">
        <v>15</v>
      </c>
      <c r="Q9" s="42"/>
      <c r="R9" s="42"/>
      <c r="S9" s="23"/>
      <c r="T9" s="20">
        <f t="shared" si="1"/>
        <v>15</v>
      </c>
      <c r="U9" s="19">
        <f t="shared" si="2"/>
        <v>15</v>
      </c>
      <c r="V9" s="52">
        <v>129427822000</v>
      </c>
      <c r="W9" s="59"/>
      <c r="X9" s="59"/>
      <c r="Y9" s="57"/>
      <c r="Z9" s="21"/>
      <c r="AA9" s="20">
        <f t="shared" si="3"/>
        <v>88.14</v>
      </c>
      <c r="AB9" s="19">
        <f t="shared" si="4"/>
        <v>15</v>
      </c>
      <c r="AC9" s="16">
        <v>20</v>
      </c>
      <c r="AD9" s="18"/>
      <c r="AE9" s="17"/>
      <c r="AF9" s="23">
        <f t="shared" si="10"/>
        <v>30</v>
      </c>
      <c r="AG9" s="16">
        <v>45</v>
      </c>
      <c r="AH9" s="23">
        <f t="shared" si="5"/>
        <v>95</v>
      </c>
      <c r="AI9" s="14">
        <f t="shared" si="6"/>
        <v>0.85499999999999998</v>
      </c>
      <c r="AJ9" s="13"/>
      <c r="AK9" s="12">
        <v>0.01</v>
      </c>
      <c r="AL9" s="11">
        <f t="shared" si="7"/>
        <v>1.01</v>
      </c>
      <c r="AM9" s="10">
        <f t="shared" si="8"/>
        <v>5706156000</v>
      </c>
      <c r="AN9" s="9"/>
      <c r="AO9" s="16"/>
      <c r="AP9" s="87"/>
      <c r="AQ9" s="81"/>
      <c r="AR9" s="8"/>
      <c r="AS9" s="7"/>
      <c r="AT9" s="6">
        <f t="shared" si="9"/>
        <v>0</v>
      </c>
    </row>
    <row r="10" spans="1:46" s="37" customFormat="1" ht="45.75" customHeight="1" thickBot="1" x14ac:dyDescent="0.2">
      <c r="A10" s="35"/>
      <c r="B10" s="35"/>
      <c r="C10" s="73" t="s">
        <v>54</v>
      </c>
      <c r="D10" s="73"/>
      <c r="E10" s="73"/>
      <c r="F10" s="73"/>
      <c r="G10" s="73"/>
      <c r="H10" s="45"/>
      <c r="I10" s="38">
        <v>0.6</v>
      </c>
      <c r="J10" s="30">
        <v>0.4</v>
      </c>
      <c r="K10" s="29"/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84">
        <v>56126180000</v>
      </c>
      <c r="W10" s="92"/>
      <c r="X10" s="41"/>
      <c r="Y10" s="41"/>
      <c r="Z10" s="21"/>
      <c r="AA10" s="20">
        <f t="shared" si="3"/>
        <v>38.22</v>
      </c>
      <c r="AB10" s="19">
        <f t="shared" si="4"/>
        <v>15</v>
      </c>
      <c r="AC10" s="16">
        <v>20</v>
      </c>
      <c r="AD10" s="18"/>
      <c r="AE10" s="17"/>
      <c r="AF10" s="93">
        <f t="shared" si="10"/>
        <v>30</v>
      </c>
      <c r="AG10" s="74">
        <v>45</v>
      </c>
      <c r="AH10" s="93">
        <f t="shared" si="5"/>
        <v>95</v>
      </c>
      <c r="AI10" s="14">
        <f t="shared" si="6"/>
        <v>0.85499999999999998</v>
      </c>
      <c r="AJ10" s="13"/>
      <c r="AK10" s="12">
        <v>0.01</v>
      </c>
      <c r="AL10" s="11">
        <f t="shared" si="7"/>
        <v>1.01</v>
      </c>
      <c r="AM10" s="10">
        <f t="shared" si="8"/>
        <v>5706156000</v>
      </c>
      <c r="AN10" s="9"/>
      <c r="AO10" s="16"/>
      <c r="AP10" s="71"/>
      <c r="AQ10" s="81"/>
      <c r="AR10" s="8"/>
      <c r="AS10" s="7"/>
      <c r="AT10" s="6">
        <f t="shared" si="9"/>
        <v>0</v>
      </c>
    </row>
    <row r="11" spans="1:46" s="37" customFormat="1" ht="45.75" customHeight="1" thickBot="1" x14ac:dyDescent="0.2">
      <c r="A11" s="35"/>
      <c r="B11" s="35"/>
      <c r="C11" s="73"/>
      <c r="D11" s="73" t="s">
        <v>289</v>
      </c>
      <c r="E11" s="73"/>
      <c r="F11" s="73"/>
      <c r="G11" s="73"/>
      <c r="H11" s="45"/>
      <c r="I11" s="38">
        <v>0.4</v>
      </c>
      <c r="J11" s="30">
        <v>0.3</v>
      </c>
      <c r="K11" s="29">
        <v>0.3</v>
      </c>
      <c r="L11" s="28"/>
      <c r="M11" s="27"/>
      <c r="N11" s="26">
        <f t="shared" si="0"/>
        <v>1</v>
      </c>
      <c r="O11" s="65">
        <v>15</v>
      </c>
      <c r="P11" s="23">
        <v>15</v>
      </c>
      <c r="Q11" s="42">
        <v>15</v>
      </c>
      <c r="R11" s="42"/>
      <c r="S11" s="23"/>
      <c r="T11" s="20">
        <f t="shared" si="1"/>
        <v>15</v>
      </c>
      <c r="U11" s="19"/>
      <c r="V11" s="84"/>
      <c r="W11" s="41">
        <v>36613423000</v>
      </c>
      <c r="X11" s="41"/>
      <c r="Y11" s="91"/>
      <c r="Z11" s="21"/>
      <c r="AA11" s="20">
        <f t="shared" si="3"/>
        <v>12.47</v>
      </c>
      <c r="AB11" s="19">
        <f t="shared" si="4"/>
        <v>12.47</v>
      </c>
      <c r="AC11" s="16">
        <v>20</v>
      </c>
      <c r="AD11" s="18"/>
      <c r="AE11" s="17"/>
      <c r="AF11" s="23">
        <f t="shared" si="10"/>
        <v>12.47</v>
      </c>
      <c r="AG11" s="16">
        <v>45</v>
      </c>
      <c r="AH11" s="23">
        <f t="shared" si="5"/>
        <v>77.47</v>
      </c>
      <c r="AI11" s="14">
        <f t="shared" si="6"/>
        <v>0.94264999999999999</v>
      </c>
      <c r="AJ11" s="13"/>
      <c r="AK11" s="12">
        <v>0.01</v>
      </c>
      <c r="AL11" s="11">
        <f t="shared" si="7"/>
        <v>1.01</v>
      </c>
      <c r="AM11" s="10">
        <f t="shared" si="8"/>
        <v>6291120000</v>
      </c>
      <c r="AN11" s="9"/>
      <c r="AO11" s="16"/>
      <c r="AP11" s="71"/>
      <c r="AQ11" s="71"/>
      <c r="AR11" s="8"/>
      <c r="AS11" s="7"/>
      <c r="AT11" s="6">
        <f t="shared" si="9"/>
        <v>0</v>
      </c>
    </row>
    <row r="12" spans="1:46" s="37" customFormat="1" ht="45.75" customHeight="1" thickBot="1" x14ac:dyDescent="0.2">
      <c r="A12" s="35"/>
      <c r="B12" s="35"/>
      <c r="C12" s="73" t="s">
        <v>290</v>
      </c>
      <c r="D12" s="73"/>
      <c r="E12" s="73"/>
      <c r="F12" s="73"/>
      <c r="G12" s="73"/>
      <c r="H12" s="45"/>
      <c r="I12" s="38">
        <v>0.6</v>
      </c>
      <c r="J12" s="30">
        <v>0.4</v>
      </c>
      <c r="K12" s="29"/>
      <c r="L12" s="28"/>
      <c r="M12" s="27"/>
      <c r="N12" s="26">
        <f t="shared" si="0"/>
        <v>1</v>
      </c>
      <c r="O12" s="65">
        <v>15</v>
      </c>
      <c r="P12" s="23">
        <v>15</v>
      </c>
      <c r="Q12" s="42"/>
      <c r="R12" s="42"/>
      <c r="S12" s="23"/>
      <c r="T12" s="20">
        <f t="shared" si="1"/>
        <v>15</v>
      </c>
      <c r="U12" s="19"/>
      <c r="V12" s="78">
        <v>55832837000</v>
      </c>
      <c r="W12" s="59"/>
      <c r="X12" s="59"/>
      <c r="Y12" s="92"/>
      <c r="Z12" s="68"/>
      <c r="AA12" s="20">
        <f t="shared" si="3"/>
        <v>38.020000000000003</v>
      </c>
      <c r="AB12" s="19">
        <f t="shared" si="4"/>
        <v>15</v>
      </c>
      <c r="AC12" s="16">
        <v>20</v>
      </c>
      <c r="AD12" s="18"/>
      <c r="AE12" s="17"/>
      <c r="AF12" s="23">
        <f t="shared" si="10"/>
        <v>15</v>
      </c>
      <c r="AG12" s="16">
        <v>45</v>
      </c>
      <c r="AH12" s="23">
        <f t="shared" si="5"/>
        <v>80</v>
      </c>
      <c r="AI12" s="14">
        <f t="shared" si="6"/>
        <v>0.93</v>
      </c>
      <c r="AJ12" s="13"/>
      <c r="AK12" s="12">
        <v>0.01</v>
      </c>
      <c r="AL12" s="11">
        <f t="shared" si="7"/>
        <v>1.01</v>
      </c>
      <c r="AM12" s="10">
        <f t="shared" si="8"/>
        <v>6206696000</v>
      </c>
      <c r="AN12" s="9"/>
      <c r="AO12" s="16"/>
      <c r="AP12" s="72"/>
      <c r="AQ12" s="71"/>
      <c r="AR12" s="8"/>
      <c r="AS12" s="7"/>
      <c r="AT12" s="6">
        <f t="shared" si="9"/>
        <v>0</v>
      </c>
    </row>
    <row r="13" spans="1:46" s="37" customFormat="1" ht="45.75" customHeight="1" thickBot="1" x14ac:dyDescent="0.2">
      <c r="A13" s="35"/>
      <c r="B13" s="35"/>
      <c r="C13" s="73"/>
      <c r="D13" s="73"/>
      <c r="E13" s="73"/>
      <c r="F13" s="73"/>
      <c r="G13" s="73"/>
      <c r="H13" s="45"/>
      <c r="I13" s="38">
        <v>0.51</v>
      </c>
      <c r="J13" s="30">
        <v>0.49</v>
      </c>
      <c r="K13" s="29"/>
      <c r="L13" s="28"/>
      <c r="M13" s="29"/>
      <c r="N13" s="26">
        <f t="shared" si="0"/>
        <v>1</v>
      </c>
      <c r="O13" s="23">
        <v>15</v>
      </c>
      <c r="P13" s="23">
        <v>15</v>
      </c>
      <c r="Q13" s="42"/>
      <c r="R13" s="42"/>
      <c r="S13" s="24"/>
      <c r="T13" s="20">
        <f t="shared" si="1"/>
        <v>15</v>
      </c>
      <c r="U13" s="19"/>
      <c r="V13" s="78"/>
      <c r="W13" s="59"/>
      <c r="X13" s="22"/>
      <c r="Y13" s="22"/>
      <c r="Z13" s="22"/>
      <c r="AA13" s="20">
        <f t="shared" si="3"/>
        <v>0</v>
      </c>
      <c r="AB13" s="19">
        <f t="shared" si="4"/>
        <v>0</v>
      </c>
      <c r="AC13" s="16">
        <v>20</v>
      </c>
      <c r="AD13" s="18"/>
      <c r="AE13" s="17"/>
      <c r="AF13" s="23">
        <f t="shared" si="10"/>
        <v>0</v>
      </c>
      <c r="AG13" s="16">
        <v>45</v>
      </c>
      <c r="AH13" s="23">
        <f t="shared" si="5"/>
        <v>65</v>
      </c>
      <c r="AI13" s="14">
        <f t="shared" si="6"/>
        <v>1.0049999999999999</v>
      </c>
      <c r="AJ13" s="13"/>
      <c r="AK13" s="12">
        <v>0.01</v>
      </c>
      <c r="AL13" s="11">
        <f t="shared" si="7"/>
        <v>1.01</v>
      </c>
      <c r="AM13" s="10">
        <f t="shared" si="8"/>
        <v>6707236000</v>
      </c>
      <c r="AN13" s="9"/>
      <c r="AO13" s="8"/>
      <c r="AP13" s="8"/>
      <c r="AQ13" s="8"/>
      <c r="AR13" s="8"/>
      <c r="AS13" s="7"/>
      <c r="AT13" s="6">
        <f t="shared" si="9"/>
        <v>0</v>
      </c>
    </row>
    <row r="14" spans="1:46" s="37" customFormat="1" ht="45.75" customHeight="1" thickBot="1" x14ac:dyDescent="0.2">
      <c r="A14" s="35"/>
      <c r="B14" s="35"/>
      <c r="C14" s="73"/>
      <c r="D14" s="73" t="s">
        <v>288</v>
      </c>
      <c r="E14" s="73"/>
      <c r="F14" s="73"/>
      <c r="G14" s="73"/>
      <c r="H14" s="45"/>
      <c r="I14" s="38">
        <v>0.4</v>
      </c>
      <c r="J14" s="30">
        <v>0.3</v>
      </c>
      <c r="K14" s="29">
        <v>0.3</v>
      </c>
      <c r="L14" s="30"/>
      <c r="M14" s="27"/>
      <c r="N14" s="26">
        <f t="shared" si="0"/>
        <v>1</v>
      </c>
      <c r="O14" s="65">
        <v>15</v>
      </c>
      <c r="P14" s="23">
        <v>15</v>
      </c>
      <c r="Q14" s="23">
        <v>15</v>
      </c>
      <c r="R14" s="42"/>
      <c r="S14" s="42"/>
      <c r="T14" s="20">
        <f t="shared" si="1"/>
        <v>15</v>
      </c>
      <c r="U14" s="19"/>
      <c r="V14" s="79"/>
      <c r="W14" s="59">
        <v>21720797000</v>
      </c>
      <c r="X14" s="92"/>
      <c r="Y14" s="91"/>
      <c r="Z14" s="21"/>
      <c r="AA14" s="20">
        <f t="shared" si="3"/>
        <v>7.4</v>
      </c>
      <c r="AB14" s="19">
        <f t="shared" si="4"/>
        <v>7.4</v>
      </c>
      <c r="AC14" s="16">
        <v>20</v>
      </c>
      <c r="AD14" s="18"/>
      <c r="AE14" s="17"/>
      <c r="AF14" s="23">
        <f t="shared" si="10"/>
        <v>7.4</v>
      </c>
      <c r="AG14" s="16">
        <v>45</v>
      </c>
      <c r="AH14" s="23">
        <f t="shared" si="5"/>
        <v>72.400000000000006</v>
      </c>
      <c r="AI14" s="14">
        <f t="shared" si="6"/>
        <v>0.96799999999999997</v>
      </c>
      <c r="AJ14" s="13"/>
      <c r="AK14" s="12">
        <v>0.01</v>
      </c>
      <c r="AL14" s="11">
        <f t="shared" si="7"/>
        <v>1.01</v>
      </c>
      <c r="AM14" s="10">
        <f t="shared" si="8"/>
        <v>6460303000</v>
      </c>
      <c r="AN14" s="9"/>
      <c r="AO14" s="72"/>
      <c r="AP14" s="16"/>
      <c r="AQ14" s="16"/>
      <c r="AR14" s="8"/>
      <c r="AS14" s="7"/>
      <c r="AT14" s="6">
        <f t="shared" si="9"/>
        <v>0</v>
      </c>
    </row>
    <row r="15" spans="1:46" s="37" customFormat="1" ht="45.75" customHeight="1" thickBot="1" x14ac:dyDescent="0.2">
      <c r="A15" s="35"/>
      <c r="B15" s="35"/>
      <c r="C15" s="73"/>
      <c r="D15" s="73"/>
      <c r="E15" s="73"/>
      <c r="F15" s="73"/>
      <c r="G15" s="73"/>
      <c r="H15" s="77"/>
      <c r="I15" s="38">
        <v>0.4</v>
      </c>
      <c r="J15" s="30">
        <v>0.3</v>
      </c>
      <c r="K15" s="29">
        <v>0.3</v>
      </c>
      <c r="L15" s="28"/>
      <c r="M15" s="27"/>
      <c r="N15" s="26">
        <f t="shared" si="0"/>
        <v>1</v>
      </c>
      <c r="O15" s="65">
        <v>15</v>
      </c>
      <c r="P15" s="23">
        <v>15</v>
      </c>
      <c r="Q15" s="23">
        <v>15</v>
      </c>
      <c r="R15" s="42"/>
      <c r="S15" s="23"/>
      <c r="T15" s="20">
        <f t="shared" si="1"/>
        <v>15</v>
      </c>
      <c r="U15" s="19"/>
      <c r="V15" s="59"/>
      <c r="W15" s="68"/>
      <c r="X15" s="41"/>
      <c r="Y15" s="22"/>
      <c r="Z15" s="68"/>
      <c r="AA15" s="20">
        <f t="shared" si="3"/>
        <v>0</v>
      </c>
      <c r="AB15" s="19">
        <f t="shared" si="4"/>
        <v>0</v>
      </c>
      <c r="AC15" s="16">
        <v>20</v>
      </c>
      <c r="AD15" s="18"/>
      <c r="AE15" s="17"/>
      <c r="AF15" s="23">
        <f t="shared" si="10"/>
        <v>0</v>
      </c>
      <c r="AG15" s="16">
        <v>45</v>
      </c>
      <c r="AH15" s="23">
        <f t="shared" si="5"/>
        <v>65</v>
      </c>
      <c r="AI15" s="14">
        <f t="shared" si="6"/>
        <v>1.0049999999999999</v>
      </c>
      <c r="AJ15" s="13"/>
      <c r="AK15" s="12">
        <v>0.01</v>
      </c>
      <c r="AL15" s="11">
        <f t="shared" si="7"/>
        <v>1.01</v>
      </c>
      <c r="AM15" s="10">
        <f t="shared" si="8"/>
        <v>6707236000</v>
      </c>
      <c r="AN15" s="9"/>
      <c r="AO15" s="16"/>
      <c r="AP15" s="71"/>
      <c r="AQ15" s="16"/>
      <c r="AR15" s="8"/>
      <c r="AS15" s="7"/>
      <c r="AT15" s="6">
        <f t="shared" si="9"/>
        <v>0</v>
      </c>
    </row>
    <row r="16" spans="1:46" s="37" customFormat="1" ht="45.75" customHeight="1" thickBot="1" x14ac:dyDescent="0.2">
      <c r="A16" s="35"/>
      <c r="B16" s="35"/>
      <c r="C16" s="73"/>
      <c r="D16" s="73"/>
      <c r="E16" s="73"/>
      <c r="F16" s="73"/>
      <c r="G16" s="73"/>
      <c r="H16" s="45"/>
      <c r="I16" s="38">
        <v>0.7</v>
      </c>
      <c r="J16" s="30">
        <v>0.3</v>
      </c>
      <c r="K16" s="29"/>
      <c r="L16" s="28"/>
      <c r="M16" s="27"/>
      <c r="N16" s="26">
        <f t="shared" si="0"/>
        <v>1</v>
      </c>
      <c r="O16" s="65">
        <v>15</v>
      </c>
      <c r="P16" s="23">
        <v>15</v>
      </c>
      <c r="Q16" s="42"/>
      <c r="R16" s="42"/>
      <c r="S16" s="23"/>
      <c r="T16" s="20">
        <f t="shared" si="1"/>
        <v>15</v>
      </c>
      <c r="U16" s="19"/>
      <c r="V16" s="52"/>
      <c r="W16" s="59"/>
      <c r="X16" s="61"/>
      <c r="Y16" s="22"/>
      <c r="Z16" s="21"/>
      <c r="AA16" s="20">
        <f t="shared" si="3"/>
        <v>0</v>
      </c>
      <c r="AB16" s="19">
        <f t="shared" si="4"/>
        <v>0</v>
      </c>
      <c r="AC16" s="16">
        <v>20</v>
      </c>
      <c r="AD16" s="18"/>
      <c r="AE16" s="17"/>
      <c r="AF16" s="23">
        <f t="shared" si="10"/>
        <v>0</v>
      </c>
      <c r="AG16" s="16">
        <v>45</v>
      </c>
      <c r="AH16" s="23">
        <f t="shared" si="5"/>
        <v>65</v>
      </c>
      <c r="AI16" s="14">
        <f t="shared" si="6"/>
        <v>1.0049999999999999</v>
      </c>
      <c r="AJ16" s="13"/>
      <c r="AK16" s="12">
        <v>0.01</v>
      </c>
      <c r="AL16" s="11">
        <f t="shared" si="7"/>
        <v>1.01</v>
      </c>
      <c r="AM16" s="10">
        <f t="shared" si="8"/>
        <v>6707236000</v>
      </c>
      <c r="AN16" s="9"/>
      <c r="AO16" s="74"/>
      <c r="AP16" s="71"/>
      <c r="AQ16" s="71"/>
      <c r="AR16" s="8"/>
      <c r="AS16" s="7"/>
      <c r="AT16" s="6">
        <f t="shared" si="9"/>
        <v>0</v>
      </c>
    </row>
    <row r="17" spans="1:46" s="37" customFormat="1" ht="45.75" customHeight="1" thickBot="1" x14ac:dyDescent="0.2">
      <c r="A17" s="35"/>
      <c r="B17" s="35"/>
      <c r="C17" s="73"/>
      <c r="D17" s="73"/>
      <c r="E17" s="73"/>
      <c r="F17" s="73"/>
      <c r="G17" s="73"/>
      <c r="H17" s="45"/>
      <c r="I17" s="38">
        <v>0.7</v>
      </c>
      <c r="J17" s="30">
        <v>0.3</v>
      </c>
      <c r="K17" s="29"/>
      <c r="L17" s="28"/>
      <c r="M17" s="27"/>
      <c r="N17" s="26">
        <f t="shared" si="0"/>
        <v>1</v>
      </c>
      <c r="O17" s="65">
        <v>15</v>
      </c>
      <c r="P17" s="23">
        <v>15</v>
      </c>
      <c r="Q17" s="42"/>
      <c r="R17" s="42"/>
      <c r="S17" s="23"/>
      <c r="T17" s="20">
        <f t="shared" si="1"/>
        <v>15</v>
      </c>
      <c r="U17" s="19"/>
      <c r="V17" s="59"/>
      <c r="W17" s="59"/>
      <c r="X17" s="76"/>
      <c r="Y17" s="59"/>
      <c r="Z17" s="68"/>
      <c r="AA17" s="20">
        <f t="shared" si="3"/>
        <v>0</v>
      </c>
      <c r="AB17" s="19">
        <f t="shared" si="4"/>
        <v>0</v>
      </c>
      <c r="AC17" s="16">
        <v>20</v>
      </c>
      <c r="AD17" s="18"/>
      <c r="AE17" s="17"/>
      <c r="AF17" s="23">
        <f t="shared" si="10"/>
        <v>0</v>
      </c>
      <c r="AG17" s="16">
        <v>45</v>
      </c>
      <c r="AH17" s="23">
        <f t="shared" si="5"/>
        <v>65</v>
      </c>
      <c r="AI17" s="14">
        <f t="shared" si="6"/>
        <v>1.0049999999999999</v>
      </c>
      <c r="AJ17" s="13"/>
      <c r="AK17" s="12">
        <v>0.01</v>
      </c>
      <c r="AL17" s="11">
        <f t="shared" si="7"/>
        <v>1.01</v>
      </c>
      <c r="AM17" s="10">
        <f t="shared" si="8"/>
        <v>6707236000</v>
      </c>
      <c r="AN17" s="9"/>
      <c r="AO17" s="72"/>
      <c r="AP17" s="71"/>
      <c r="AQ17" s="72"/>
      <c r="AR17" s="8"/>
      <c r="AS17" s="7"/>
      <c r="AT17" s="6">
        <f t="shared" si="9"/>
        <v>0</v>
      </c>
    </row>
    <row r="18" spans="1:46" s="37" customFormat="1" ht="45.75" customHeight="1" thickBot="1" x14ac:dyDescent="0.2">
      <c r="A18" s="35"/>
      <c r="B18" s="35"/>
      <c r="C18" s="73"/>
      <c r="D18" s="73"/>
      <c r="E18" s="73"/>
      <c r="F18" s="73"/>
      <c r="G18" s="73"/>
      <c r="H18" s="45"/>
      <c r="I18" s="38">
        <v>0.5</v>
      </c>
      <c r="J18" s="30">
        <v>0.3</v>
      </c>
      <c r="K18" s="29">
        <v>0.2</v>
      </c>
      <c r="L18" s="30"/>
      <c r="M18" s="27"/>
      <c r="N18" s="26">
        <f t="shared" si="0"/>
        <v>1</v>
      </c>
      <c r="O18" s="65">
        <v>15</v>
      </c>
      <c r="P18" s="23">
        <v>15</v>
      </c>
      <c r="Q18" s="42">
        <v>15</v>
      </c>
      <c r="R18" s="42"/>
      <c r="S18" s="42"/>
      <c r="T18" s="20">
        <f t="shared" si="1"/>
        <v>15</v>
      </c>
      <c r="U18" s="19"/>
      <c r="V18" s="90"/>
      <c r="W18" s="41"/>
      <c r="X18" s="61"/>
      <c r="Y18" s="22"/>
      <c r="Z18" s="21"/>
      <c r="AA18" s="20">
        <f t="shared" si="3"/>
        <v>0</v>
      </c>
      <c r="AB18" s="19">
        <f t="shared" si="4"/>
        <v>0</v>
      </c>
      <c r="AC18" s="16">
        <v>20</v>
      </c>
      <c r="AD18" s="83"/>
      <c r="AE18" s="17"/>
      <c r="AF18" s="23">
        <f t="shared" si="10"/>
        <v>0</v>
      </c>
      <c r="AG18" s="16">
        <v>45</v>
      </c>
      <c r="AH18" s="23">
        <f t="shared" si="5"/>
        <v>65</v>
      </c>
      <c r="AI18" s="14">
        <f t="shared" si="6"/>
        <v>1.0049999999999999</v>
      </c>
      <c r="AJ18" s="13"/>
      <c r="AK18" s="12">
        <v>0.01</v>
      </c>
      <c r="AL18" s="11">
        <f t="shared" si="7"/>
        <v>1.01</v>
      </c>
      <c r="AM18" s="10">
        <f t="shared" si="8"/>
        <v>6707236000</v>
      </c>
      <c r="AN18" s="9"/>
      <c r="AO18" s="16"/>
      <c r="AP18" s="87"/>
      <c r="AQ18" s="81"/>
      <c r="AR18" s="8"/>
      <c r="AS18" s="7"/>
      <c r="AT18" s="6">
        <f t="shared" si="9"/>
        <v>0</v>
      </c>
    </row>
    <row r="19" spans="1:46" s="37" customFormat="1" ht="45.75" customHeight="1" thickBot="1" x14ac:dyDescent="0.2">
      <c r="A19" s="35"/>
      <c r="B19" s="35"/>
      <c r="C19" s="73"/>
      <c r="D19" s="73"/>
      <c r="E19" s="73"/>
      <c r="F19" s="73"/>
      <c r="G19" s="73"/>
      <c r="H19" s="45"/>
      <c r="I19" s="38">
        <v>0.6</v>
      </c>
      <c r="J19" s="30">
        <v>0.4</v>
      </c>
      <c r="K19" s="29"/>
      <c r="L19" s="28"/>
      <c r="M19" s="27"/>
      <c r="N19" s="26">
        <f t="shared" si="0"/>
        <v>1</v>
      </c>
      <c r="O19" s="65">
        <v>15</v>
      </c>
      <c r="P19" s="23">
        <v>15</v>
      </c>
      <c r="Q19" s="42"/>
      <c r="R19" s="42"/>
      <c r="S19" s="23"/>
      <c r="T19" s="20">
        <f t="shared" si="1"/>
        <v>15</v>
      </c>
      <c r="U19" s="19"/>
      <c r="V19" s="62"/>
      <c r="W19" s="59"/>
      <c r="X19" s="59"/>
      <c r="Y19" s="59"/>
      <c r="Z19" s="21"/>
      <c r="AA19" s="20">
        <f t="shared" si="3"/>
        <v>0</v>
      </c>
      <c r="AB19" s="19">
        <f t="shared" si="4"/>
        <v>0</v>
      </c>
      <c r="AC19" s="16">
        <v>20</v>
      </c>
      <c r="AD19" s="18"/>
      <c r="AE19" s="17"/>
      <c r="AF19" s="23">
        <f t="shared" si="10"/>
        <v>0</v>
      </c>
      <c r="AG19" s="16">
        <v>45</v>
      </c>
      <c r="AH19" s="23">
        <f t="shared" si="5"/>
        <v>65</v>
      </c>
      <c r="AI19" s="14">
        <f t="shared" si="6"/>
        <v>1.0049999999999999</v>
      </c>
      <c r="AJ19" s="13"/>
      <c r="AK19" s="12">
        <v>0.01</v>
      </c>
      <c r="AL19" s="11">
        <f t="shared" si="7"/>
        <v>1.01</v>
      </c>
      <c r="AM19" s="10">
        <f t="shared" si="8"/>
        <v>6707236000</v>
      </c>
      <c r="AN19" s="9"/>
      <c r="AO19" s="16"/>
      <c r="AP19" s="81"/>
      <c r="AQ19" s="87"/>
      <c r="AR19" s="8"/>
      <c r="AS19" s="7"/>
      <c r="AT19" s="6">
        <f t="shared" si="9"/>
        <v>0</v>
      </c>
    </row>
    <row r="20" spans="1:46" s="37" customFormat="1" ht="45.75" customHeight="1" thickBot="1" x14ac:dyDescent="0.2">
      <c r="A20" s="35"/>
      <c r="B20" s="35"/>
      <c r="C20" s="73"/>
      <c r="D20" s="73"/>
      <c r="E20" s="73"/>
      <c r="F20" s="73"/>
      <c r="G20" s="73"/>
      <c r="H20" s="45"/>
      <c r="I20" s="38">
        <v>0.6</v>
      </c>
      <c r="J20" s="30">
        <v>0.4</v>
      </c>
      <c r="K20" s="29"/>
      <c r="L20" s="28"/>
      <c r="M20" s="27"/>
      <c r="N20" s="26">
        <f t="shared" si="0"/>
        <v>1</v>
      </c>
      <c r="O20" s="65">
        <v>15</v>
      </c>
      <c r="P20" s="23">
        <v>15</v>
      </c>
      <c r="Q20" s="23"/>
      <c r="R20" s="42"/>
      <c r="S20" s="23"/>
      <c r="T20" s="20">
        <f t="shared" si="1"/>
        <v>15</v>
      </c>
      <c r="U20" s="19"/>
      <c r="V20" s="62"/>
      <c r="W20" s="68"/>
      <c r="X20" s="59"/>
      <c r="Y20" s="22"/>
      <c r="Z20" s="21"/>
      <c r="AA20" s="20">
        <f t="shared" si="3"/>
        <v>0</v>
      </c>
      <c r="AB20" s="19">
        <f t="shared" si="4"/>
        <v>0</v>
      </c>
      <c r="AC20" s="16">
        <v>20</v>
      </c>
      <c r="AD20" s="18"/>
      <c r="AE20" s="17"/>
      <c r="AF20" s="23">
        <f t="shared" si="10"/>
        <v>0</v>
      </c>
      <c r="AG20" s="16">
        <v>45</v>
      </c>
      <c r="AH20" s="23">
        <f t="shared" si="5"/>
        <v>65</v>
      </c>
      <c r="AI20" s="14">
        <f t="shared" si="6"/>
        <v>1.0049999999999999</v>
      </c>
      <c r="AJ20" s="13"/>
      <c r="AK20" s="12">
        <v>0.01</v>
      </c>
      <c r="AL20" s="11">
        <f t="shared" si="7"/>
        <v>1.01</v>
      </c>
      <c r="AM20" s="10">
        <f t="shared" si="8"/>
        <v>6707236000</v>
      </c>
      <c r="AN20" s="9"/>
      <c r="AO20" s="16"/>
      <c r="AP20" s="81"/>
      <c r="AQ20" s="88"/>
      <c r="AR20" s="8"/>
      <c r="AS20" s="7"/>
      <c r="AT20" s="6">
        <f t="shared" si="9"/>
        <v>0</v>
      </c>
    </row>
    <row r="21" spans="1:46" s="37" customFormat="1" ht="45.75" customHeight="1" thickBot="1" x14ac:dyDescent="0.2">
      <c r="A21" s="35"/>
      <c r="B21" s="35"/>
      <c r="C21" s="73"/>
      <c r="D21" s="73"/>
      <c r="E21" s="73"/>
      <c r="F21" s="73"/>
      <c r="G21" s="73"/>
      <c r="H21" s="45"/>
      <c r="I21" s="38">
        <v>0.6</v>
      </c>
      <c r="J21" s="30">
        <v>0.4</v>
      </c>
      <c r="K21" s="29"/>
      <c r="L21" s="28"/>
      <c r="M21" s="27"/>
      <c r="N21" s="26">
        <f t="shared" si="0"/>
        <v>1</v>
      </c>
      <c r="O21" s="65">
        <v>15</v>
      </c>
      <c r="P21" s="23">
        <v>15</v>
      </c>
      <c r="Q21" s="42"/>
      <c r="R21" s="42"/>
      <c r="S21" s="42"/>
      <c r="T21" s="20">
        <f t="shared" si="1"/>
        <v>15</v>
      </c>
      <c r="U21" s="19"/>
      <c r="V21" s="61"/>
      <c r="W21" s="22"/>
      <c r="X21" s="59"/>
      <c r="Y21" s="48"/>
      <c r="Z21" s="21"/>
      <c r="AA21" s="20">
        <f t="shared" si="3"/>
        <v>0</v>
      </c>
      <c r="AB21" s="19">
        <f t="shared" si="4"/>
        <v>0</v>
      </c>
      <c r="AC21" s="16">
        <v>20</v>
      </c>
      <c r="AD21" s="18"/>
      <c r="AE21" s="17"/>
      <c r="AF21" s="23">
        <f t="shared" si="10"/>
        <v>0</v>
      </c>
      <c r="AG21" s="16">
        <v>45</v>
      </c>
      <c r="AH21" s="23">
        <f t="shared" si="5"/>
        <v>65</v>
      </c>
      <c r="AI21" s="14">
        <f t="shared" si="6"/>
        <v>1.0049999999999999</v>
      </c>
      <c r="AJ21" s="13"/>
      <c r="AK21" s="12">
        <v>0.01</v>
      </c>
      <c r="AL21" s="11">
        <f t="shared" si="7"/>
        <v>1.01</v>
      </c>
      <c r="AM21" s="10">
        <f t="shared" si="8"/>
        <v>6707236000</v>
      </c>
      <c r="AN21" s="9"/>
      <c r="AO21" s="8"/>
      <c r="AP21" s="8"/>
      <c r="AQ21" s="8"/>
      <c r="AR21" s="8"/>
      <c r="AS21" s="7"/>
      <c r="AT21" s="6">
        <f t="shared" si="9"/>
        <v>0</v>
      </c>
    </row>
    <row r="22" spans="1:46" s="37" customFormat="1" ht="45.75" customHeight="1" thickBot="1" x14ac:dyDescent="0.2">
      <c r="A22" s="35"/>
      <c r="B22" s="35"/>
      <c r="C22" s="73"/>
      <c r="D22" s="73"/>
      <c r="E22" s="73"/>
      <c r="F22" s="73"/>
      <c r="G22" s="73"/>
      <c r="H22" s="45"/>
      <c r="I22" s="38">
        <v>0.51</v>
      </c>
      <c r="J22" s="30">
        <v>0.49</v>
      </c>
      <c r="K22" s="29"/>
      <c r="L22" s="28"/>
      <c r="M22" s="27"/>
      <c r="N22" s="26">
        <f t="shared" si="0"/>
        <v>1</v>
      </c>
      <c r="O22" s="65">
        <v>15</v>
      </c>
      <c r="P22" s="23">
        <v>15</v>
      </c>
      <c r="Q22" s="42"/>
      <c r="R22" s="42"/>
      <c r="S22" s="23"/>
      <c r="T22" s="20">
        <f t="shared" si="1"/>
        <v>15</v>
      </c>
      <c r="U22" s="19"/>
      <c r="V22" s="59"/>
      <c r="W22" s="48"/>
      <c r="X22" s="59"/>
      <c r="Y22" s="22"/>
      <c r="Z22" s="21"/>
      <c r="AA22" s="20">
        <f t="shared" si="3"/>
        <v>0</v>
      </c>
      <c r="AB22" s="19">
        <f t="shared" si="4"/>
        <v>0</v>
      </c>
      <c r="AC22" s="16">
        <v>20</v>
      </c>
      <c r="AD22" s="18"/>
      <c r="AE22" s="17"/>
      <c r="AF22" s="23">
        <f t="shared" si="10"/>
        <v>0</v>
      </c>
      <c r="AG22" s="16">
        <v>45</v>
      </c>
      <c r="AH22" s="23">
        <f t="shared" si="5"/>
        <v>65</v>
      </c>
      <c r="AI22" s="14">
        <f t="shared" si="6"/>
        <v>1.0049999999999999</v>
      </c>
      <c r="AJ22" s="13"/>
      <c r="AK22" s="12">
        <v>0.01</v>
      </c>
      <c r="AL22" s="11">
        <f t="shared" si="7"/>
        <v>1.01</v>
      </c>
      <c r="AM22" s="10">
        <f t="shared" si="8"/>
        <v>6707236000</v>
      </c>
      <c r="AN22" s="9"/>
      <c r="AO22" s="81"/>
      <c r="AP22" s="87"/>
      <c r="AQ22" s="81"/>
      <c r="AR22" s="8"/>
      <c r="AS22" s="7"/>
      <c r="AT22" s="6">
        <f t="shared" si="9"/>
        <v>0</v>
      </c>
    </row>
    <row r="23" spans="1:46" s="37" customFormat="1" ht="45.75" customHeight="1" thickBot="1" x14ac:dyDescent="0.2">
      <c r="A23" s="35"/>
      <c r="B23" s="35"/>
      <c r="C23" s="73"/>
      <c r="D23" s="73"/>
      <c r="E23" s="73"/>
      <c r="F23" s="73"/>
      <c r="G23" s="73"/>
      <c r="H23" s="77"/>
      <c r="I23" s="38">
        <v>0.51</v>
      </c>
      <c r="J23" s="29">
        <v>0.49</v>
      </c>
      <c r="K23" s="29"/>
      <c r="L23" s="28"/>
      <c r="M23" s="27"/>
      <c r="N23" s="26">
        <f t="shared" si="0"/>
        <v>1</v>
      </c>
      <c r="O23" s="65">
        <v>15</v>
      </c>
      <c r="P23" s="23">
        <v>15</v>
      </c>
      <c r="Q23" s="23"/>
      <c r="R23" s="42"/>
      <c r="S23" s="42"/>
      <c r="T23" s="20">
        <f t="shared" si="1"/>
        <v>15</v>
      </c>
      <c r="U23" s="19"/>
      <c r="V23" s="61"/>
      <c r="W23" s="22"/>
      <c r="X23" s="22"/>
      <c r="Y23" s="48"/>
      <c r="Z23" s="22"/>
      <c r="AA23" s="20">
        <f t="shared" si="3"/>
        <v>0</v>
      </c>
      <c r="AB23" s="19">
        <f t="shared" si="4"/>
        <v>0</v>
      </c>
      <c r="AC23" s="16">
        <v>20</v>
      </c>
      <c r="AD23" s="18"/>
      <c r="AE23" s="17"/>
      <c r="AF23" s="23">
        <f t="shared" si="10"/>
        <v>0</v>
      </c>
      <c r="AG23" s="16">
        <v>45</v>
      </c>
      <c r="AH23" s="23">
        <f t="shared" si="5"/>
        <v>65</v>
      </c>
      <c r="AI23" s="14">
        <f t="shared" si="6"/>
        <v>1.0049999999999999</v>
      </c>
      <c r="AJ23" s="13"/>
      <c r="AK23" s="12">
        <v>0.01</v>
      </c>
      <c r="AL23" s="11">
        <f t="shared" si="7"/>
        <v>1.01</v>
      </c>
      <c r="AM23" s="10">
        <f t="shared" si="8"/>
        <v>6707236000</v>
      </c>
      <c r="AN23" s="9"/>
      <c r="AO23" s="74"/>
      <c r="AP23" s="71"/>
      <c r="AQ23" s="71"/>
      <c r="AR23" s="8"/>
      <c r="AS23" s="7"/>
      <c r="AT23" s="6">
        <f t="shared" si="9"/>
        <v>0</v>
      </c>
    </row>
    <row r="24" spans="1:46" s="37" customFormat="1" ht="45.75" customHeight="1" thickBot="1" x14ac:dyDescent="0.2">
      <c r="A24" s="35"/>
      <c r="B24" s="35"/>
      <c r="C24" s="73"/>
      <c r="D24" s="73"/>
      <c r="E24" s="73"/>
      <c r="F24" s="73"/>
      <c r="G24" s="73"/>
      <c r="H24" s="45"/>
      <c r="I24" s="38">
        <v>0.51</v>
      </c>
      <c r="J24" s="30">
        <v>0.49</v>
      </c>
      <c r="K24" s="29"/>
      <c r="L24" s="28"/>
      <c r="M24" s="27"/>
      <c r="N24" s="26">
        <f t="shared" si="0"/>
        <v>1</v>
      </c>
      <c r="O24" s="65">
        <v>15</v>
      </c>
      <c r="P24" s="23">
        <v>15</v>
      </c>
      <c r="Q24" s="42"/>
      <c r="R24" s="42"/>
      <c r="S24" s="23"/>
      <c r="T24" s="20">
        <f t="shared" si="1"/>
        <v>15</v>
      </c>
      <c r="U24" s="19"/>
      <c r="V24" s="61"/>
      <c r="W24" s="22"/>
      <c r="X24" s="59"/>
      <c r="Y24" s="22"/>
      <c r="Z24" s="21"/>
      <c r="AA24" s="20">
        <f t="shared" si="3"/>
        <v>0</v>
      </c>
      <c r="AB24" s="19">
        <f t="shared" si="4"/>
        <v>0</v>
      </c>
      <c r="AC24" s="16">
        <v>20</v>
      </c>
      <c r="AD24" s="18"/>
      <c r="AE24" s="17"/>
      <c r="AF24" s="23">
        <f t="shared" si="10"/>
        <v>0</v>
      </c>
      <c r="AG24" s="16">
        <v>45</v>
      </c>
      <c r="AH24" s="23">
        <f t="shared" si="5"/>
        <v>65</v>
      </c>
      <c r="AI24" s="14">
        <f t="shared" si="6"/>
        <v>1.0049999999999999</v>
      </c>
      <c r="AJ24" s="13"/>
      <c r="AK24" s="12">
        <v>0.01</v>
      </c>
      <c r="AL24" s="11">
        <f t="shared" si="7"/>
        <v>1.01</v>
      </c>
      <c r="AM24" s="10">
        <f t="shared" si="8"/>
        <v>6707236000</v>
      </c>
      <c r="AN24" s="9"/>
      <c r="AO24" s="74"/>
      <c r="AP24" s="71"/>
      <c r="AQ24" s="81"/>
      <c r="AR24" s="8"/>
      <c r="AS24" s="7"/>
      <c r="AT24" s="6">
        <f t="shared" si="9"/>
        <v>0</v>
      </c>
    </row>
    <row r="25" spans="1:46" s="37" customFormat="1" ht="45.75" customHeight="1" thickBot="1" x14ac:dyDescent="0.2">
      <c r="A25" s="35"/>
      <c r="B25" s="35"/>
      <c r="C25" s="73"/>
      <c r="D25" s="73"/>
      <c r="E25" s="73"/>
      <c r="F25" s="73"/>
      <c r="G25" s="73"/>
      <c r="H25" s="45"/>
      <c r="I25" s="38">
        <v>0.51</v>
      </c>
      <c r="J25" s="30">
        <v>0.49</v>
      </c>
      <c r="K25" s="29"/>
      <c r="L25" s="28"/>
      <c r="M25" s="27"/>
      <c r="N25" s="26">
        <f t="shared" si="0"/>
        <v>1</v>
      </c>
      <c r="O25" s="65">
        <v>15</v>
      </c>
      <c r="P25" s="23">
        <v>15</v>
      </c>
      <c r="Q25" s="42"/>
      <c r="R25" s="42"/>
      <c r="S25" s="23"/>
      <c r="T25" s="20">
        <f t="shared" si="1"/>
        <v>15</v>
      </c>
      <c r="U25" s="19"/>
      <c r="V25" s="61"/>
      <c r="W25" s="59"/>
      <c r="X25" s="59"/>
      <c r="Y25" s="22"/>
      <c r="Z25" s="21"/>
      <c r="AA25" s="20">
        <f t="shared" si="3"/>
        <v>0</v>
      </c>
      <c r="AB25" s="19">
        <f t="shared" si="4"/>
        <v>0</v>
      </c>
      <c r="AC25" s="16">
        <v>20</v>
      </c>
      <c r="AD25" s="18"/>
      <c r="AE25" s="17"/>
      <c r="AF25" s="23">
        <f t="shared" si="10"/>
        <v>0</v>
      </c>
      <c r="AG25" s="16">
        <v>45</v>
      </c>
      <c r="AH25" s="23">
        <f t="shared" si="5"/>
        <v>65</v>
      </c>
      <c r="AI25" s="14">
        <f t="shared" si="6"/>
        <v>1.0049999999999999</v>
      </c>
      <c r="AJ25" s="13"/>
      <c r="AK25" s="12">
        <v>0.01</v>
      </c>
      <c r="AL25" s="11">
        <f t="shared" si="7"/>
        <v>1.01</v>
      </c>
      <c r="AM25" s="10">
        <f t="shared" si="8"/>
        <v>6707236000</v>
      </c>
      <c r="AN25" s="9"/>
      <c r="AO25" s="74"/>
      <c r="AP25" s="81"/>
      <c r="AQ25" s="71"/>
      <c r="AR25" s="8"/>
      <c r="AS25" s="7"/>
      <c r="AT25" s="6">
        <f t="shared" si="9"/>
        <v>0</v>
      </c>
    </row>
    <row r="26" spans="1:46" s="37" customFormat="1" ht="45.75" customHeight="1" thickBot="1" x14ac:dyDescent="0.2">
      <c r="A26" s="35"/>
      <c r="B26" s="35"/>
      <c r="C26" s="73"/>
      <c r="D26" s="73"/>
      <c r="E26" s="73"/>
      <c r="F26" s="73"/>
      <c r="G26" s="73"/>
      <c r="H26" s="45"/>
      <c r="I26" s="38">
        <v>0.51</v>
      </c>
      <c r="J26" s="30">
        <v>0.49</v>
      </c>
      <c r="K26" s="29"/>
      <c r="L26" s="28"/>
      <c r="M26" s="27"/>
      <c r="N26" s="26">
        <f t="shared" si="0"/>
        <v>1</v>
      </c>
      <c r="O26" s="65">
        <v>15</v>
      </c>
      <c r="P26" s="42">
        <v>15</v>
      </c>
      <c r="Q26" s="42"/>
      <c r="R26" s="42"/>
      <c r="S26" s="23"/>
      <c r="T26" s="20">
        <f t="shared" si="1"/>
        <v>15</v>
      </c>
      <c r="U26" s="19"/>
      <c r="V26" s="61"/>
      <c r="W26" s="59"/>
      <c r="X26" s="59"/>
      <c r="Y26" s="22"/>
      <c r="Z26" s="21"/>
      <c r="AA26" s="20">
        <f t="shared" si="3"/>
        <v>0</v>
      </c>
      <c r="AB26" s="19">
        <f t="shared" si="4"/>
        <v>0</v>
      </c>
      <c r="AC26" s="16">
        <v>20</v>
      </c>
      <c r="AD26" s="18"/>
      <c r="AE26" s="17"/>
      <c r="AF26" s="23">
        <f t="shared" si="10"/>
        <v>0</v>
      </c>
      <c r="AG26" s="16">
        <v>45</v>
      </c>
      <c r="AH26" s="23">
        <f t="shared" si="5"/>
        <v>65</v>
      </c>
      <c r="AI26" s="14">
        <f t="shared" si="6"/>
        <v>1.0049999999999999</v>
      </c>
      <c r="AJ26" s="13"/>
      <c r="AK26" s="12">
        <v>0.01</v>
      </c>
      <c r="AL26" s="11">
        <f t="shared" si="7"/>
        <v>1.01</v>
      </c>
      <c r="AM26" s="10">
        <f t="shared" si="8"/>
        <v>6707236000</v>
      </c>
      <c r="AN26" s="9"/>
      <c r="AO26" s="8"/>
      <c r="AP26" s="8"/>
      <c r="AQ26" s="8"/>
      <c r="AR26" s="8"/>
      <c r="AS26" s="7"/>
      <c r="AT26" s="6">
        <f t="shared" si="9"/>
        <v>0</v>
      </c>
    </row>
    <row r="27" spans="1:46" s="37" customFormat="1" ht="45.75" customHeight="1" thickBot="1" x14ac:dyDescent="0.2">
      <c r="A27" s="35"/>
      <c r="B27" s="35"/>
      <c r="C27" s="73"/>
      <c r="D27" s="73"/>
      <c r="E27" s="73"/>
      <c r="F27" s="73"/>
      <c r="G27" s="73"/>
      <c r="H27" s="45"/>
      <c r="I27" s="38">
        <v>0.51</v>
      </c>
      <c r="J27" s="30">
        <v>0.49</v>
      </c>
      <c r="K27" s="29"/>
      <c r="L27" s="30"/>
      <c r="M27" s="27"/>
      <c r="N27" s="26">
        <f t="shared" si="0"/>
        <v>1</v>
      </c>
      <c r="O27" s="65">
        <v>15</v>
      </c>
      <c r="P27" s="23">
        <v>15</v>
      </c>
      <c r="Q27" s="42"/>
      <c r="R27" s="42"/>
      <c r="S27" s="42"/>
      <c r="T27" s="20">
        <f t="shared" si="1"/>
        <v>15</v>
      </c>
      <c r="U27" s="19"/>
      <c r="V27" s="62"/>
      <c r="W27" s="59"/>
      <c r="X27" s="59"/>
      <c r="Y27" s="48"/>
      <c r="Z27" s="21"/>
      <c r="AA27" s="20">
        <f t="shared" si="3"/>
        <v>0</v>
      </c>
      <c r="AB27" s="19">
        <f t="shared" si="4"/>
        <v>0</v>
      </c>
      <c r="AC27" s="16">
        <v>20</v>
      </c>
      <c r="AD27" s="18"/>
      <c r="AE27" s="17"/>
      <c r="AF27" s="23">
        <f t="shared" si="10"/>
        <v>0</v>
      </c>
      <c r="AG27" s="16">
        <v>45</v>
      </c>
      <c r="AH27" s="23">
        <f t="shared" si="5"/>
        <v>65</v>
      </c>
      <c r="AI27" s="14">
        <f t="shared" si="6"/>
        <v>1.0049999999999999</v>
      </c>
      <c r="AJ27" s="13"/>
      <c r="AK27" s="12">
        <v>0.01</v>
      </c>
      <c r="AL27" s="11">
        <f t="shared" si="7"/>
        <v>1.01</v>
      </c>
      <c r="AM27" s="10">
        <f t="shared" si="8"/>
        <v>6707236000</v>
      </c>
      <c r="AN27" s="9"/>
      <c r="AO27" s="74"/>
      <c r="AP27" s="71"/>
      <c r="AQ27" s="71"/>
      <c r="AR27" s="8"/>
      <c r="AS27" s="7"/>
      <c r="AT27" s="6">
        <f t="shared" si="9"/>
        <v>0</v>
      </c>
    </row>
    <row r="28" spans="1:46" s="37" customFormat="1" ht="45.75" customHeight="1" thickBot="1" x14ac:dyDescent="0.2">
      <c r="A28" s="35"/>
      <c r="B28" s="35"/>
      <c r="C28" s="73"/>
      <c r="D28" s="73"/>
      <c r="E28" s="73"/>
      <c r="F28" s="73"/>
      <c r="G28" s="73"/>
      <c r="H28" s="45"/>
      <c r="I28" s="38">
        <v>0.51</v>
      </c>
      <c r="J28" s="30">
        <v>0.49</v>
      </c>
      <c r="K28" s="29"/>
      <c r="L28" s="28"/>
      <c r="M28" s="27"/>
      <c r="N28" s="26">
        <f t="shared" si="0"/>
        <v>1</v>
      </c>
      <c r="O28" s="65">
        <v>15</v>
      </c>
      <c r="P28" s="23">
        <v>15</v>
      </c>
      <c r="Q28" s="42"/>
      <c r="R28" s="42"/>
      <c r="S28" s="23"/>
      <c r="T28" s="20">
        <f t="shared" si="1"/>
        <v>15</v>
      </c>
      <c r="U28" s="19"/>
      <c r="V28" s="84"/>
      <c r="W28" s="41"/>
      <c r="X28" s="22"/>
      <c r="Y28" s="22"/>
      <c r="Z28" s="21"/>
      <c r="AA28" s="20">
        <f t="shared" si="3"/>
        <v>0</v>
      </c>
      <c r="AB28" s="19">
        <f t="shared" si="4"/>
        <v>0</v>
      </c>
      <c r="AC28" s="16">
        <v>20</v>
      </c>
      <c r="AD28" s="18"/>
      <c r="AE28" s="17"/>
      <c r="AF28" s="23">
        <f t="shared" si="10"/>
        <v>0</v>
      </c>
      <c r="AG28" s="16">
        <v>45</v>
      </c>
      <c r="AH28" s="23">
        <f t="shared" si="5"/>
        <v>65</v>
      </c>
      <c r="AI28" s="14">
        <f t="shared" si="6"/>
        <v>1.0049999999999999</v>
      </c>
      <c r="AJ28" s="13"/>
      <c r="AK28" s="12">
        <v>0.01</v>
      </c>
      <c r="AL28" s="11">
        <f t="shared" si="7"/>
        <v>1.01</v>
      </c>
      <c r="AM28" s="10">
        <f t="shared" si="8"/>
        <v>6707236000</v>
      </c>
      <c r="AN28" s="9"/>
      <c r="AO28" s="8"/>
      <c r="AP28" s="8"/>
      <c r="AQ28" s="8"/>
      <c r="AR28" s="8"/>
      <c r="AS28" s="7"/>
      <c r="AT28" s="6">
        <f t="shared" si="9"/>
        <v>0</v>
      </c>
    </row>
    <row r="29" spans="1:46" s="37" customFormat="1" ht="45.75" customHeight="1" thickBot="1" x14ac:dyDescent="0.2">
      <c r="A29" s="35"/>
      <c r="B29" s="35"/>
      <c r="C29" s="73"/>
      <c r="D29" s="73"/>
      <c r="E29" s="73"/>
      <c r="F29" s="73"/>
      <c r="G29" s="73"/>
      <c r="H29" s="45"/>
      <c r="I29" s="38">
        <v>0.51</v>
      </c>
      <c r="J29" s="30">
        <v>0.49</v>
      </c>
      <c r="K29" s="29"/>
      <c r="L29" s="30"/>
      <c r="M29" s="27"/>
      <c r="N29" s="26">
        <f t="shared" si="0"/>
        <v>1</v>
      </c>
      <c r="O29" s="65">
        <v>15</v>
      </c>
      <c r="P29" s="23">
        <v>15</v>
      </c>
      <c r="Q29" s="42"/>
      <c r="R29" s="42"/>
      <c r="S29" s="42"/>
      <c r="T29" s="20">
        <f t="shared" si="1"/>
        <v>15</v>
      </c>
      <c r="U29" s="19"/>
      <c r="V29" s="61"/>
      <c r="W29" s="22"/>
      <c r="X29" s="59"/>
      <c r="Y29" s="41"/>
      <c r="Z29" s="21"/>
      <c r="AA29" s="20">
        <f t="shared" si="3"/>
        <v>0</v>
      </c>
      <c r="AB29" s="19">
        <f t="shared" si="4"/>
        <v>0</v>
      </c>
      <c r="AC29" s="16">
        <v>20</v>
      </c>
      <c r="AD29" s="83"/>
      <c r="AE29" s="17"/>
      <c r="AF29" s="23">
        <f t="shared" si="10"/>
        <v>0</v>
      </c>
      <c r="AG29" s="16">
        <v>45</v>
      </c>
      <c r="AH29" s="23">
        <f t="shared" si="5"/>
        <v>65</v>
      </c>
      <c r="AI29" s="14">
        <f t="shared" si="6"/>
        <v>1.0049999999999999</v>
      </c>
      <c r="AJ29" s="13"/>
      <c r="AK29" s="12">
        <v>0.01</v>
      </c>
      <c r="AL29" s="11">
        <f t="shared" si="7"/>
        <v>1.01</v>
      </c>
      <c r="AM29" s="10">
        <f t="shared" si="8"/>
        <v>6707236000</v>
      </c>
      <c r="AN29" s="9"/>
      <c r="AO29" s="16"/>
      <c r="AP29" s="82"/>
      <c r="AQ29" s="16"/>
      <c r="AR29" s="8"/>
      <c r="AS29" s="7"/>
      <c r="AT29" s="6">
        <f t="shared" si="9"/>
        <v>0</v>
      </c>
    </row>
    <row r="30" spans="1:46" s="37" customFormat="1" ht="45.75" customHeight="1" thickBot="1" x14ac:dyDescent="0.2">
      <c r="A30" s="35"/>
      <c r="B30" s="35"/>
      <c r="C30" s="73"/>
      <c r="D30" s="73"/>
      <c r="E30" s="73"/>
      <c r="F30" s="73"/>
      <c r="G30" s="73"/>
      <c r="H30" s="45"/>
      <c r="I30" s="38">
        <v>0.51</v>
      </c>
      <c r="J30" s="30">
        <v>0.49</v>
      </c>
      <c r="K30" s="29"/>
      <c r="L30" s="28"/>
      <c r="M30" s="27"/>
      <c r="N30" s="26">
        <f t="shared" si="0"/>
        <v>1</v>
      </c>
      <c r="O30" s="65">
        <v>15</v>
      </c>
      <c r="P30" s="23">
        <v>15</v>
      </c>
      <c r="Q30" s="42"/>
      <c r="R30" s="42"/>
      <c r="S30" s="42"/>
      <c r="T30" s="20">
        <f t="shared" si="1"/>
        <v>15</v>
      </c>
      <c r="U30" s="19"/>
      <c r="V30" s="61"/>
      <c r="W30" s="22"/>
      <c r="X30" s="22"/>
      <c r="Y30" s="54"/>
      <c r="Z30" s="21"/>
      <c r="AA30" s="20">
        <f t="shared" si="3"/>
        <v>0</v>
      </c>
      <c r="AB30" s="19">
        <f t="shared" si="4"/>
        <v>0</v>
      </c>
      <c r="AC30" s="16">
        <v>20</v>
      </c>
      <c r="AD30" s="18"/>
      <c r="AE30" s="17"/>
      <c r="AF30" s="23">
        <f t="shared" si="10"/>
        <v>0</v>
      </c>
      <c r="AG30" s="16">
        <v>45</v>
      </c>
      <c r="AH30" s="23">
        <f t="shared" si="5"/>
        <v>65</v>
      </c>
      <c r="AI30" s="14">
        <f t="shared" si="6"/>
        <v>1.0049999999999999</v>
      </c>
      <c r="AJ30" s="13"/>
      <c r="AK30" s="12">
        <v>0.01</v>
      </c>
      <c r="AL30" s="11">
        <f t="shared" si="7"/>
        <v>1.01</v>
      </c>
      <c r="AM30" s="10">
        <f t="shared" si="8"/>
        <v>6707236000</v>
      </c>
      <c r="AN30" s="9"/>
      <c r="AO30" s="74"/>
      <c r="AP30" s="72"/>
      <c r="AQ30" s="72"/>
      <c r="AR30" s="8"/>
      <c r="AS30" s="7"/>
      <c r="AT30" s="6">
        <f t="shared" si="9"/>
        <v>0</v>
      </c>
    </row>
    <row r="31" spans="1:46" s="37" customFormat="1" ht="45.75" customHeight="1" thickBot="1" x14ac:dyDescent="0.2">
      <c r="A31" s="35"/>
      <c r="B31" s="35"/>
      <c r="C31" s="73"/>
      <c r="D31" s="73"/>
      <c r="E31" s="73"/>
      <c r="F31" s="73"/>
      <c r="G31" s="73"/>
      <c r="H31" s="45"/>
      <c r="I31" s="38">
        <v>0.51</v>
      </c>
      <c r="J31" s="30">
        <v>0.49</v>
      </c>
      <c r="K31" s="29"/>
      <c r="L31" s="28"/>
      <c r="M31" s="27"/>
      <c r="N31" s="26">
        <f t="shared" si="0"/>
        <v>1</v>
      </c>
      <c r="O31" s="65">
        <v>15</v>
      </c>
      <c r="P31" s="23">
        <v>15</v>
      </c>
      <c r="Q31" s="42"/>
      <c r="R31" s="42"/>
      <c r="S31" s="23"/>
      <c r="T31" s="20">
        <f t="shared" si="1"/>
        <v>15</v>
      </c>
      <c r="U31" s="19"/>
      <c r="V31" s="61"/>
      <c r="W31" s="48"/>
      <c r="X31" s="59"/>
      <c r="Y31" s="59"/>
      <c r="Z31" s="21"/>
      <c r="AA31" s="20">
        <f t="shared" si="3"/>
        <v>0</v>
      </c>
      <c r="AB31" s="19">
        <f t="shared" si="4"/>
        <v>0</v>
      </c>
      <c r="AC31" s="16">
        <v>20</v>
      </c>
      <c r="AD31" s="18"/>
      <c r="AE31" s="17"/>
      <c r="AF31" s="23">
        <f t="shared" si="10"/>
        <v>0</v>
      </c>
      <c r="AG31" s="16">
        <v>45</v>
      </c>
      <c r="AH31" s="23">
        <f t="shared" si="5"/>
        <v>65</v>
      </c>
      <c r="AI31" s="14">
        <f t="shared" si="6"/>
        <v>1.0049999999999999</v>
      </c>
      <c r="AJ31" s="13"/>
      <c r="AK31" s="12">
        <v>0.01</v>
      </c>
      <c r="AL31" s="11">
        <f t="shared" si="7"/>
        <v>1.01</v>
      </c>
      <c r="AM31" s="10">
        <f t="shared" si="8"/>
        <v>6707236000</v>
      </c>
      <c r="AN31" s="9"/>
      <c r="AO31" s="16"/>
      <c r="AP31" s="81"/>
      <c r="AQ31" s="81"/>
      <c r="AR31" s="8"/>
      <c r="AS31" s="7"/>
      <c r="AT31" s="6">
        <f t="shared" si="9"/>
        <v>0</v>
      </c>
    </row>
    <row r="32" spans="1:46" s="37" customFormat="1" ht="45.75" customHeight="1" thickBot="1" x14ac:dyDescent="0.2">
      <c r="A32" s="35"/>
      <c r="B32" s="35"/>
      <c r="C32" s="73"/>
      <c r="D32" s="73"/>
      <c r="E32" s="73"/>
      <c r="F32" s="73"/>
      <c r="G32" s="73"/>
      <c r="H32" s="45"/>
      <c r="I32" s="38">
        <v>0.51</v>
      </c>
      <c r="J32" s="30">
        <v>0.49</v>
      </c>
      <c r="K32" s="29"/>
      <c r="L32" s="28"/>
      <c r="M32" s="27"/>
      <c r="N32" s="26">
        <f t="shared" si="0"/>
        <v>1</v>
      </c>
      <c r="O32" s="65">
        <v>15</v>
      </c>
      <c r="P32" s="23">
        <v>15</v>
      </c>
      <c r="Q32" s="42"/>
      <c r="R32" s="42"/>
      <c r="S32" s="42"/>
      <c r="T32" s="20">
        <f t="shared" si="1"/>
        <v>15</v>
      </c>
      <c r="U32" s="19"/>
      <c r="V32" s="85"/>
      <c r="W32" s="59"/>
      <c r="X32" s="54"/>
      <c r="Y32" s="54"/>
      <c r="Z32" s="21"/>
      <c r="AA32" s="20">
        <f t="shared" si="3"/>
        <v>0</v>
      </c>
      <c r="AB32" s="19">
        <f t="shared" si="4"/>
        <v>0</v>
      </c>
      <c r="AC32" s="16">
        <v>20</v>
      </c>
      <c r="AD32" s="18"/>
      <c r="AE32" s="17"/>
      <c r="AF32" s="23">
        <f t="shared" si="10"/>
        <v>0</v>
      </c>
      <c r="AG32" s="16">
        <v>45</v>
      </c>
      <c r="AH32" s="23">
        <f t="shared" si="5"/>
        <v>65</v>
      </c>
      <c r="AI32" s="14">
        <f t="shared" si="6"/>
        <v>1.0049999999999999</v>
      </c>
      <c r="AJ32" s="13"/>
      <c r="AK32" s="12">
        <v>0.01</v>
      </c>
      <c r="AL32" s="11">
        <f t="shared" si="7"/>
        <v>1.01</v>
      </c>
      <c r="AM32" s="10">
        <f t="shared" si="8"/>
        <v>6707236000</v>
      </c>
      <c r="AN32" s="9"/>
      <c r="AO32" s="8"/>
      <c r="AP32" s="8"/>
      <c r="AQ32" s="8"/>
      <c r="AR32" s="8"/>
      <c r="AS32" s="7"/>
      <c r="AT32" s="6">
        <f t="shared" si="9"/>
        <v>0</v>
      </c>
    </row>
    <row r="33" spans="1:46" s="37" customFormat="1" ht="45.75" customHeight="1" thickBot="1" x14ac:dyDescent="0.2">
      <c r="A33" s="35"/>
      <c r="B33" s="35"/>
      <c r="C33" s="73"/>
      <c r="D33" s="73"/>
      <c r="E33" s="73"/>
      <c r="F33" s="73"/>
      <c r="G33" s="73"/>
      <c r="H33" s="32"/>
      <c r="I33" s="38">
        <v>0.51</v>
      </c>
      <c r="J33" s="30">
        <v>0.49</v>
      </c>
      <c r="K33" s="29"/>
      <c r="L33" s="28"/>
      <c r="M33" s="27"/>
      <c r="N33" s="26">
        <f t="shared" si="0"/>
        <v>1</v>
      </c>
      <c r="O33" s="25">
        <v>15</v>
      </c>
      <c r="P33" s="23">
        <v>15</v>
      </c>
      <c r="Q33" s="24"/>
      <c r="R33" s="24"/>
      <c r="S33" s="23"/>
      <c r="T33" s="20">
        <f t="shared" si="1"/>
        <v>15</v>
      </c>
      <c r="U33" s="19"/>
      <c r="V33" s="22"/>
      <c r="W33" s="22"/>
      <c r="X33" s="22"/>
      <c r="Y33" s="22"/>
      <c r="Z33" s="21"/>
      <c r="AA33" s="20">
        <f t="shared" si="3"/>
        <v>0</v>
      </c>
      <c r="AB33" s="19">
        <f t="shared" si="4"/>
        <v>0</v>
      </c>
      <c r="AC33" s="16">
        <v>20</v>
      </c>
      <c r="AD33" s="18"/>
      <c r="AE33" s="17"/>
      <c r="AF33" s="23">
        <f t="shared" si="10"/>
        <v>0</v>
      </c>
      <c r="AG33" s="16">
        <v>45</v>
      </c>
      <c r="AH33" s="23">
        <f t="shared" si="5"/>
        <v>65</v>
      </c>
      <c r="AI33" s="14">
        <f t="shared" si="6"/>
        <v>1.0049999999999999</v>
      </c>
      <c r="AJ33" s="13"/>
      <c r="AK33" s="12">
        <v>0.01</v>
      </c>
      <c r="AL33" s="11">
        <f t="shared" si="7"/>
        <v>1.01</v>
      </c>
      <c r="AM33" s="10">
        <f t="shared" si="8"/>
        <v>6707236000</v>
      </c>
      <c r="AN33" s="9"/>
      <c r="AO33" s="8"/>
      <c r="AP33" s="8"/>
      <c r="AQ33" s="8"/>
      <c r="AR33" s="8"/>
      <c r="AS33" s="7"/>
      <c r="AT33" s="6">
        <f t="shared" si="9"/>
        <v>0</v>
      </c>
    </row>
    <row r="34" spans="1:46" s="37" customFormat="1" ht="45.75" customHeight="1" thickBot="1" x14ac:dyDescent="0.2">
      <c r="A34" s="35"/>
      <c r="B34" s="35"/>
      <c r="C34" s="73"/>
      <c r="D34" s="73"/>
      <c r="E34" s="73"/>
      <c r="F34" s="73"/>
      <c r="G34" s="73"/>
      <c r="H34" s="32"/>
      <c r="I34" s="38">
        <v>0.51</v>
      </c>
      <c r="J34" s="30">
        <v>0.49</v>
      </c>
      <c r="K34" s="29"/>
      <c r="L34" s="28"/>
      <c r="M34" s="27"/>
      <c r="N34" s="26">
        <f t="shared" si="0"/>
        <v>1</v>
      </c>
      <c r="O34" s="25">
        <v>15</v>
      </c>
      <c r="P34" s="23">
        <v>15</v>
      </c>
      <c r="Q34" s="24"/>
      <c r="R34" s="24"/>
      <c r="S34" s="23"/>
      <c r="T34" s="20">
        <f t="shared" si="1"/>
        <v>15</v>
      </c>
      <c r="U34" s="19"/>
      <c r="V34" s="59"/>
      <c r="W34" s="59"/>
      <c r="X34" s="22"/>
      <c r="Y34" s="22"/>
      <c r="Z34" s="21"/>
      <c r="AA34" s="20">
        <f t="shared" si="3"/>
        <v>0</v>
      </c>
      <c r="AB34" s="19">
        <f t="shared" si="4"/>
        <v>0</v>
      </c>
      <c r="AC34" s="16">
        <v>20</v>
      </c>
      <c r="AD34" s="18"/>
      <c r="AE34" s="17"/>
      <c r="AF34" s="23">
        <f t="shared" si="10"/>
        <v>0</v>
      </c>
      <c r="AG34" s="16">
        <v>45</v>
      </c>
      <c r="AH34" s="23">
        <f t="shared" si="5"/>
        <v>65</v>
      </c>
      <c r="AI34" s="14">
        <f t="shared" si="6"/>
        <v>1.0049999999999999</v>
      </c>
      <c r="AJ34" s="13"/>
      <c r="AK34" s="12">
        <v>0.01</v>
      </c>
      <c r="AL34" s="11">
        <f t="shared" si="7"/>
        <v>1.01</v>
      </c>
      <c r="AM34" s="10">
        <f t="shared" si="8"/>
        <v>6707236000</v>
      </c>
      <c r="AN34" s="9"/>
      <c r="AO34" s="8"/>
      <c r="AP34" s="8"/>
      <c r="AQ34" s="8"/>
      <c r="AR34" s="8"/>
      <c r="AS34" s="7"/>
      <c r="AT34" s="6">
        <f t="shared" si="9"/>
        <v>0</v>
      </c>
    </row>
    <row r="35" spans="1:46" s="37" customFormat="1" ht="45.75" customHeight="1" thickBot="1" x14ac:dyDescent="0.2">
      <c r="A35" s="35"/>
      <c r="B35" s="35"/>
      <c r="C35" s="73"/>
      <c r="D35" s="73"/>
      <c r="E35" s="73"/>
      <c r="F35" s="73"/>
      <c r="G35" s="73"/>
      <c r="H35" s="45"/>
      <c r="I35" s="38">
        <v>0.51</v>
      </c>
      <c r="J35" s="30">
        <v>0.49</v>
      </c>
      <c r="K35" s="29"/>
      <c r="L35" s="28"/>
      <c r="M35" s="27"/>
      <c r="N35" s="26">
        <f t="shared" si="0"/>
        <v>1</v>
      </c>
      <c r="O35" s="23">
        <v>15</v>
      </c>
      <c r="P35" s="23">
        <v>15</v>
      </c>
      <c r="Q35" s="23"/>
      <c r="R35" s="24"/>
      <c r="S35" s="23"/>
      <c r="T35" s="20">
        <f t="shared" si="1"/>
        <v>15</v>
      </c>
      <c r="U35" s="19"/>
      <c r="V35" s="48"/>
      <c r="W35" s="22"/>
      <c r="X35" s="59"/>
      <c r="Y35" s="41"/>
      <c r="Z35" s="68"/>
      <c r="AA35" s="20">
        <f t="shared" si="3"/>
        <v>0</v>
      </c>
      <c r="AB35" s="19">
        <f t="shared" si="4"/>
        <v>0</v>
      </c>
      <c r="AC35" s="16">
        <v>20</v>
      </c>
      <c r="AD35" s="18"/>
      <c r="AE35" s="17"/>
      <c r="AF35" s="23">
        <f t="shared" si="10"/>
        <v>0</v>
      </c>
      <c r="AG35" s="16">
        <v>45</v>
      </c>
      <c r="AH35" s="23">
        <f t="shared" si="5"/>
        <v>65</v>
      </c>
      <c r="AI35" s="14">
        <f t="shared" si="6"/>
        <v>1.0049999999999999</v>
      </c>
      <c r="AJ35" s="13"/>
      <c r="AK35" s="12">
        <v>0.01</v>
      </c>
      <c r="AL35" s="11">
        <f t="shared" si="7"/>
        <v>1.01</v>
      </c>
      <c r="AM35" s="10">
        <f t="shared" si="8"/>
        <v>6707236000</v>
      </c>
      <c r="AN35" s="9"/>
      <c r="AO35" s="8"/>
      <c r="AP35" s="8"/>
      <c r="AQ35" s="8"/>
      <c r="AR35" s="8"/>
      <c r="AS35" s="7"/>
      <c r="AT35" s="6">
        <f t="shared" si="9"/>
        <v>0</v>
      </c>
    </row>
    <row r="36" spans="1:46" s="37" customFormat="1" ht="45.75" customHeight="1" thickBot="1" x14ac:dyDescent="0.2">
      <c r="A36" s="35"/>
      <c r="B36" s="35"/>
      <c r="C36" s="73"/>
      <c r="D36" s="73"/>
      <c r="E36" s="73"/>
      <c r="F36" s="73"/>
      <c r="G36" s="73"/>
      <c r="H36" s="32"/>
      <c r="I36" s="38">
        <v>0.51</v>
      </c>
      <c r="J36" s="30">
        <v>0.49</v>
      </c>
      <c r="K36" s="29"/>
      <c r="L36" s="28"/>
      <c r="M36" s="27"/>
      <c r="N36" s="26">
        <f t="shared" si="0"/>
        <v>1</v>
      </c>
      <c r="O36" s="25">
        <v>15</v>
      </c>
      <c r="P36" s="23">
        <v>15</v>
      </c>
      <c r="Q36" s="24"/>
      <c r="R36" s="24"/>
      <c r="S36" s="23"/>
      <c r="T36" s="20">
        <f t="shared" si="1"/>
        <v>15</v>
      </c>
      <c r="U36" s="19"/>
      <c r="V36" s="61"/>
      <c r="W36" s="79"/>
      <c r="X36" s="22"/>
      <c r="Y36" s="22"/>
      <c r="Z36" s="21"/>
      <c r="AA36" s="20">
        <f t="shared" si="3"/>
        <v>0</v>
      </c>
      <c r="AB36" s="19">
        <f t="shared" si="4"/>
        <v>0</v>
      </c>
      <c r="AC36" s="16">
        <v>20</v>
      </c>
      <c r="AD36" s="18"/>
      <c r="AE36" s="17"/>
      <c r="AF36" s="23">
        <f t="shared" si="10"/>
        <v>0</v>
      </c>
      <c r="AG36" s="16">
        <v>45</v>
      </c>
      <c r="AH36" s="23">
        <f t="shared" si="5"/>
        <v>65</v>
      </c>
      <c r="AI36" s="14">
        <f t="shared" si="6"/>
        <v>1.0049999999999999</v>
      </c>
      <c r="AJ36" s="13"/>
      <c r="AK36" s="12">
        <v>0.01</v>
      </c>
      <c r="AL36" s="11">
        <f t="shared" si="7"/>
        <v>1.01</v>
      </c>
      <c r="AM36" s="10">
        <f t="shared" si="8"/>
        <v>6707236000</v>
      </c>
      <c r="AN36" s="9"/>
      <c r="AO36" s="8"/>
      <c r="AP36" s="8"/>
      <c r="AQ36" s="8"/>
      <c r="AR36" s="8"/>
      <c r="AS36" s="7"/>
      <c r="AT36" s="6">
        <f t="shared" si="9"/>
        <v>0</v>
      </c>
    </row>
    <row r="37" spans="1:46" s="37" customFormat="1" ht="45.75" customHeight="1" thickBot="1" x14ac:dyDescent="0.2">
      <c r="A37" s="35"/>
      <c r="B37" s="35"/>
      <c r="C37" s="73"/>
      <c r="D37" s="73"/>
      <c r="E37" s="73"/>
      <c r="F37" s="73"/>
      <c r="G37" s="73"/>
      <c r="H37" s="50"/>
      <c r="I37" s="38">
        <v>0.7</v>
      </c>
      <c r="J37" s="30">
        <v>0.3</v>
      </c>
      <c r="K37" s="29"/>
      <c r="L37" s="28"/>
      <c r="M37" s="27"/>
      <c r="N37" s="26">
        <f t="shared" si="0"/>
        <v>1</v>
      </c>
      <c r="O37" s="44">
        <v>15</v>
      </c>
      <c r="P37" s="43">
        <v>15</v>
      </c>
      <c r="Q37" s="24"/>
      <c r="R37" s="42"/>
      <c r="S37" s="42"/>
      <c r="T37" s="20">
        <f t="shared" si="1"/>
        <v>15</v>
      </c>
      <c r="U37" s="19"/>
      <c r="V37" s="41"/>
      <c r="W37" s="59"/>
      <c r="X37" s="54"/>
      <c r="Y37" s="48"/>
      <c r="Z37" s="21"/>
      <c r="AA37" s="20">
        <f t="shared" si="3"/>
        <v>0</v>
      </c>
      <c r="AB37" s="19">
        <f t="shared" si="4"/>
        <v>0</v>
      </c>
      <c r="AC37" s="16">
        <v>20</v>
      </c>
      <c r="AD37" s="18"/>
      <c r="AE37" s="17"/>
      <c r="AF37" s="23">
        <f t="shared" si="10"/>
        <v>0</v>
      </c>
      <c r="AG37" s="16">
        <v>45</v>
      </c>
      <c r="AH37" s="23">
        <f t="shared" si="5"/>
        <v>65</v>
      </c>
      <c r="AI37" s="14">
        <f t="shared" si="6"/>
        <v>1.0049999999999999</v>
      </c>
      <c r="AJ37" s="13"/>
      <c r="AK37" s="12">
        <v>0.01</v>
      </c>
      <c r="AL37" s="11">
        <f t="shared" si="7"/>
        <v>1.01</v>
      </c>
      <c r="AM37" s="10">
        <f t="shared" si="8"/>
        <v>6707236000</v>
      </c>
      <c r="AN37" s="9"/>
      <c r="AO37" s="8"/>
      <c r="AP37" s="8"/>
      <c r="AQ37" s="8"/>
      <c r="AR37" s="8"/>
      <c r="AS37" s="7"/>
      <c r="AT37" s="6">
        <f t="shared" si="9"/>
        <v>0</v>
      </c>
    </row>
    <row r="38" spans="1:46" s="37" customFormat="1" ht="45.75" customHeight="1" thickBot="1" x14ac:dyDescent="0.2">
      <c r="A38" s="35"/>
      <c r="B38" s="35"/>
      <c r="C38" s="73"/>
      <c r="D38" s="73"/>
      <c r="E38" s="73"/>
      <c r="F38" s="73"/>
      <c r="G38" s="73"/>
      <c r="H38" s="50"/>
      <c r="I38" s="38">
        <v>0.51</v>
      </c>
      <c r="J38" s="30">
        <v>0.49</v>
      </c>
      <c r="K38" s="29"/>
      <c r="L38" s="28"/>
      <c r="M38" s="27"/>
      <c r="N38" s="26">
        <f t="shared" si="0"/>
        <v>1</v>
      </c>
      <c r="O38" s="44">
        <v>15</v>
      </c>
      <c r="P38" s="43">
        <v>15</v>
      </c>
      <c r="Q38" s="42"/>
      <c r="R38" s="42"/>
      <c r="S38" s="42"/>
      <c r="T38" s="20">
        <f t="shared" si="1"/>
        <v>15</v>
      </c>
      <c r="U38" s="19"/>
      <c r="V38" s="48"/>
      <c r="W38" s="68"/>
      <c r="X38" s="48"/>
      <c r="Y38" s="48"/>
      <c r="Z38" s="21"/>
      <c r="AA38" s="20">
        <f t="shared" si="3"/>
        <v>0</v>
      </c>
      <c r="AB38" s="19">
        <f t="shared" si="4"/>
        <v>0</v>
      </c>
      <c r="AC38" s="16">
        <v>20</v>
      </c>
      <c r="AD38" s="18"/>
      <c r="AE38" s="17"/>
      <c r="AF38" s="23">
        <f t="shared" si="10"/>
        <v>0</v>
      </c>
      <c r="AG38" s="16">
        <v>45</v>
      </c>
      <c r="AH38" s="23">
        <f t="shared" si="5"/>
        <v>65</v>
      </c>
      <c r="AI38" s="14">
        <f t="shared" si="6"/>
        <v>1.0049999999999999</v>
      </c>
      <c r="AJ38" s="13"/>
      <c r="AK38" s="12">
        <v>0.01</v>
      </c>
      <c r="AL38" s="11">
        <f t="shared" si="7"/>
        <v>1.01</v>
      </c>
      <c r="AM38" s="10">
        <f t="shared" si="8"/>
        <v>6707236000</v>
      </c>
      <c r="AN38" s="9"/>
      <c r="AO38" s="8"/>
      <c r="AP38" s="8"/>
      <c r="AQ38" s="8"/>
      <c r="AR38" s="8"/>
      <c r="AS38" s="7"/>
      <c r="AT38" s="6">
        <f t="shared" si="9"/>
        <v>0</v>
      </c>
    </row>
    <row r="39" spans="1:46" s="37" customFormat="1" ht="45.75" customHeight="1" thickBot="1" x14ac:dyDescent="0.2">
      <c r="A39" s="35"/>
      <c r="B39" s="35"/>
      <c r="C39" s="73"/>
      <c r="D39" s="73"/>
      <c r="E39" s="73"/>
      <c r="F39" s="73"/>
      <c r="G39" s="73"/>
      <c r="H39" s="50"/>
      <c r="I39" s="38">
        <v>0.51</v>
      </c>
      <c r="J39" s="30">
        <v>0.49</v>
      </c>
      <c r="K39" s="29"/>
      <c r="L39" s="28"/>
      <c r="M39" s="27"/>
      <c r="N39" s="26">
        <f t="shared" si="0"/>
        <v>1</v>
      </c>
      <c r="O39" s="25">
        <v>15</v>
      </c>
      <c r="P39" s="24">
        <v>15</v>
      </c>
      <c r="Q39" s="42"/>
      <c r="R39" s="42"/>
      <c r="S39" s="42"/>
      <c r="T39" s="20">
        <f t="shared" si="1"/>
        <v>15</v>
      </c>
      <c r="U39" s="19"/>
      <c r="V39" s="22"/>
      <c r="W39" s="22"/>
      <c r="X39" s="22"/>
      <c r="Y39" s="57"/>
      <c r="Z39" s="21"/>
      <c r="AA39" s="20">
        <f t="shared" si="3"/>
        <v>0</v>
      </c>
      <c r="AB39" s="19">
        <f t="shared" si="4"/>
        <v>0</v>
      </c>
      <c r="AC39" s="16">
        <v>20</v>
      </c>
      <c r="AD39" s="18"/>
      <c r="AE39" s="17"/>
      <c r="AF39" s="23">
        <f t="shared" si="10"/>
        <v>0</v>
      </c>
      <c r="AG39" s="16">
        <v>45</v>
      </c>
      <c r="AH39" s="23">
        <f t="shared" si="5"/>
        <v>65</v>
      </c>
      <c r="AI39" s="14">
        <f t="shared" si="6"/>
        <v>1.0049999999999999</v>
      </c>
      <c r="AJ39" s="13"/>
      <c r="AK39" s="12">
        <v>0.01</v>
      </c>
      <c r="AL39" s="11">
        <f t="shared" si="7"/>
        <v>1.01</v>
      </c>
      <c r="AM39" s="10">
        <f t="shared" si="8"/>
        <v>6707236000</v>
      </c>
      <c r="AN39" s="9"/>
      <c r="AO39" s="8"/>
      <c r="AP39" s="8"/>
      <c r="AQ39" s="8"/>
      <c r="AR39" s="8"/>
      <c r="AS39" s="7"/>
      <c r="AT39" s="6">
        <f t="shared" si="9"/>
        <v>0</v>
      </c>
    </row>
    <row r="40" spans="1:46" s="37" customFormat="1" ht="45.75" customHeight="1" thickBot="1" x14ac:dyDescent="0.2">
      <c r="A40" s="36"/>
      <c r="B40" s="35"/>
      <c r="C40" s="73"/>
      <c r="D40" s="73"/>
      <c r="E40" s="73"/>
      <c r="F40" s="73"/>
      <c r="G40" s="73"/>
      <c r="H40" s="45"/>
      <c r="I40" s="38">
        <v>0.51</v>
      </c>
      <c r="J40" s="30">
        <v>0.49</v>
      </c>
      <c r="K40" s="29"/>
      <c r="L40" s="28"/>
      <c r="M40" s="27"/>
      <c r="N40" s="26">
        <f t="shared" si="0"/>
        <v>1</v>
      </c>
      <c r="O40" s="44">
        <v>15</v>
      </c>
      <c r="P40" s="43">
        <v>15</v>
      </c>
      <c r="Q40" s="42"/>
      <c r="R40" s="42"/>
      <c r="S40" s="42"/>
      <c r="T40" s="20">
        <f t="shared" si="1"/>
        <v>15</v>
      </c>
      <c r="U40" s="19"/>
      <c r="V40" s="54"/>
      <c r="W40" s="48"/>
      <c r="X40" s="41"/>
      <c r="Y40" s="48"/>
      <c r="Z40" s="21"/>
      <c r="AA40" s="20">
        <f t="shared" si="3"/>
        <v>0</v>
      </c>
      <c r="AB40" s="19">
        <f t="shared" si="4"/>
        <v>0</v>
      </c>
      <c r="AC40" s="16">
        <v>20</v>
      </c>
      <c r="AD40" s="18"/>
      <c r="AE40" s="17"/>
      <c r="AF40" s="23">
        <f t="shared" si="10"/>
        <v>0</v>
      </c>
      <c r="AG40" s="16">
        <v>45</v>
      </c>
      <c r="AH40" s="23">
        <f t="shared" si="5"/>
        <v>65</v>
      </c>
      <c r="AI40" s="14">
        <f t="shared" si="6"/>
        <v>1.0049999999999999</v>
      </c>
      <c r="AJ40" s="13"/>
      <c r="AK40" s="12">
        <v>0.01</v>
      </c>
      <c r="AL40" s="11">
        <f t="shared" si="7"/>
        <v>1.01</v>
      </c>
      <c r="AM40" s="10">
        <f t="shared" si="8"/>
        <v>6707236000</v>
      </c>
      <c r="AN40" s="9"/>
      <c r="AO40" s="8"/>
      <c r="AP40" s="8"/>
      <c r="AQ40" s="8"/>
      <c r="AR40" s="8"/>
      <c r="AS40" s="7"/>
      <c r="AT40" s="6">
        <f t="shared" si="9"/>
        <v>0</v>
      </c>
    </row>
    <row r="41" spans="1:46" s="37" customFormat="1" ht="45.75" customHeight="1" thickBot="1" x14ac:dyDescent="0.2">
      <c r="A41" s="36"/>
      <c r="B41" s="55"/>
      <c r="C41" s="73"/>
      <c r="D41" s="73"/>
      <c r="E41" s="73"/>
      <c r="F41" s="73"/>
      <c r="G41" s="73"/>
      <c r="H41" s="32"/>
      <c r="I41" s="38">
        <v>0.51</v>
      </c>
      <c r="J41" s="30">
        <v>0.49</v>
      </c>
      <c r="K41" s="29"/>
      <c r="L41" s="28"/>
      <c r="M41" s="27"/>
      <c r="N41" s="26">
        <f t="shared" si="0"/>
        <v>1</v>
      </c>
      <c r="O41" s="25">
        <v>15</v>
      </c>
      <c r="P41" s="43">
        <v>15</v>
      </c>
      <c r="Q41" s="24"/>
      <c r="R41" s="24"/>
      <c r="S41" s="23"/>
      <c r="T41" s="20">
        <f t="shared" si="1"/>
        <v>15</v>
      </c>
      <c r="U41" s="19"/>
      <c r="V41" s="61"/>
      <c r="W41" s="59"/>
      <c r="X41" s="22"/>
      <c r="Y41" s="22"/>
      <c r="Z41" s="21"/>
      <c r="AA41" s="20">
        <f t="shared" si="3"/>
        <v>0</v>
      </c>
      <c r="AB41" s="19">
        <f t="shared" si="4"/>
        <v>0</v>
      </c>
      <c r="AC41" s="16">
        <v>20</v>
      </c>
      <c r="AD41" s="18"/>
      <c r="AE41" s="17"/>
      <c r="AF41" s="23">
        <f t="shared" si="10"/>
        <v>0</v>
      </c>
      <c r="AG41" s="16">
        <v>45</v>
      </c>
      <c r="AH41" s="23">
        <f t="shared" si="5"/>
        <v>65</v>
      </c>
      <c r="AI41" s="14">
        <f t="shared" si="6"/>
        <v>1.0049999999999999</v>
      </c>
      <c r="AJ41" s="13"/>
      <c r="AK41" s="12">
        <v>0.01</v>
      </c>
      <c r="AL41" s="11">
        <f t="shared" si="7"/>
        <v>1.01</v>
      </c>
      <c r="AM41" s="10">
        <f t="shared" si="8"/>
        <v>6707236000</v>
      </c>
      <c r="AN41" s="9"/>
      <c r="AO41" s="8"/>
      <c r="AP41" s="8"/>
      <c r="AQ41" s="8"/>
      <c r="AR41" s="8"/>
      <c r="AS41" s="7"/>
      <c r="AT41" s="6">
        <f t="shared" si="9"/>
        <v>0</v>
      </c>
    </row>
    <row r="42" spans="1:46" s="37" customFormat="1" ht="45.75" customHeight="1" thickBot="1" x14ac:dyDescent="0.2">
      <c r="A42" s="35"/>
      <c r="B42" s="35"/>
      <c r="C42" s="73"/>
      <c r="D42" s="73"/>
      <c r="E42" s="73"/>
      <c r="F42" s="73"/>
      <c r="G42" s="73"/>
      <c r="H42" s="45"/>
      <c r="I42" s="38">
        <v>0.51</v>
      </c>
      <c r="J42" s="30">
        <v>0.49</v>
      </c>
      <c r="K42" s="29"/>
      <c r="L42" s="28"/>
      <c r="M42" s="27"/>
      <c r="N42" s="26">
        <f t="shared" si="0"/>
        <v>1</v>
      </c>
      <c r="O42" s="65">
        <v>15</v>
      </c>
      <c r="P42" s="23">
        <v>15</v>
      </c>
      <c r="Q42" s="42"/>
      <c r="R42" s="42"/>
      <c r="S42" s="23"/>
      <c r="T42" s="20">
        <f t="shared" si="1"/>
        <v>15</v>
      </c>
      <c r="U42" s="19"/>
      <c r="V42" s="52"/>
      <c r="W42" s="59"/>
      <c r="X42" s="59"/>
      <c r="Y42" s="79"/>
      <c r="Z42" s="21"/>
      <c r="AA42" s="20">
        <f t="shared" si="3"/>
        <v>0</v>
      </c>
      <c r="AB42" s="19">
        <f t="shared" si="4"/>
        <v>0</v>
      </c>
      <c r="AC42" s="16">
        <v>20</v>
      </c>
      <c r="AD42" s="18"/>
      <c r="AE42" s="17"/>
      <c r="AF42" s="23">
        <f t="shared" si="10"/>
        <v>0</v>
      </c>
      <c r="AG42" s="16">
        <v>45</v>
      </c>
      <c r="AH42" s="23">
        <f t="shared" si="5"/>
        <v>65</v>
      </c>
      <c r="AI42" s="14">
        <f t="shared" si="6"/>
        <v>1.0049999999999999</v>
      </c>
      <c r="AJ42" s="13"/>
      <c r="AK42" s="12">
        <v>0.01</v>
      </c>
      <c r="AL42" s="11">
        <f t="shared" si="7"/>
        <v>1.01</v>
      </c>
      <c r="AM42" s="10">
        <f t="shared" si="8"/>
        <v>6707236000</v>
      </c>
      <c r="AN42" s="9"/>
      <c r="AO42" s="16"/>
      <c r="AP42" s="72"/>
      <c r="AQ42" s="72"/>
      <c r="AR42" s="8"/>
      <c r="AS42" s="7"/>
      <c r="AT42" s="6">
        <f t="shared" si="9"/>
        <v>0</v>
      </c>
    </row>
    <row r="43" spans="1:46" s="37" customFormat="1" ht="45.75" customHeight="1" thickBot="1" x14ac:dyDescent="0.2">
      <c r="A43" s="35"/>
      <c r="B43" s="35"/>
      <c r="C43" s="73"/>
      <c r="D43" s="73"/>
      <c r="E43" s="73"/>
      <c r="F43" s="73"/>
      <c r="G43" s="73"/>
      <c r="H43" s="45"/>
      <c r="I43" s="38">
        <v>0.51</v>
      </c>
      <c r="J43" s="30">
        <v>0.49</v>
      </c>
      <c r="K43" s="29"/>
      <c r="L43" s="28"/>
      <c r="M43" s="27"/>
      <c r="N43" s="26">
        <f t="shared" si="0"/>
        <v>1</v>
      </c>
      <c r="O43" s="65">
        <v>15</v>
      </c>
      <c r="P43" s="23">
        <v>15</v>
      </c>
      <c r="Q43" s="42"/>
      <c r="R43" s="42"/>
      <c r="S43" s="23"/>
      <c r="T43" s="20">
        <f t="shared" si="1"/>
        <v>15</v>
      </c>
      <c r="U43" s="19">
        <f t="shared" ref="U43:U106" si="11">IF(T43&gt;=15,15,T43)</f>
        <v>15</v>
      </c>
      <c r="V43" s="61"/>
      <c r="W43" s="59"/>
      <c r="X43" s="59"/>
      <c r="Y43" s="22"/>
      <c r="Z43" s="68"/>
      <c r="AA43" s="20">
        <f t="shared" si="3"/>
        <v>0</v>
      </c>
      <c r="AB43" s="19">
        <f t="shared" si="4"/>
        <v>0</v>
      </c>
      <c r="AC43" s="16">
        <v>20</v>
      </c>
      <c r="AD43" s="18"/>
      <c r="AE43" s="17"/>
      <c r="AF43" s="23">
        <f t="shared" si="10"/>
        <v>15</v>
      </c>
      <c r="AG43" s="16">
        <v>45</v>
      </c>
      <c r="AH43" s="23">
        <f t="shared" si="5"/>
        <v>80</v>
      </c>
      <c r="AI43" s="14">
        <f t="shared" si="6"/>
        <v>0.93</v>
      </c>
      <c r="AJ43" s="13"/>
      <c r="AK43" s="12">
        <v>0.01</v>
      </c>
      <c r="AL43" s="11">
        <f t="shared" si="7"/>
        <v>1.01</v>
      </c>
      <c r="AM43" s="10">
        <f t="shared" si="8"/>
        <v>6206696000</v>
      </c>
      <c r="AN43" s="9"/>
      <c r="AO43" s="16"/>
      <c r="AP43" s="71"/>
      <c r="AQ43" s="71"/>
      <c r="AR43" s="8"/>
      <c r="AS43" s="7"/>
      <c r="AT43" s="6">
        <f t="shared" si="9"/>
        <v>0</v>
      </c>
    </row>
    <row r="44" spans="1:46" s="37" customFormat="1" ht="45.75" customHeight="1" thickBot="1" x14ac:dyDescent="0.2">
      <c r="A44" s="35"/>
      <c r="B44" s="35"/>
      <c r="C44" s="73"/>
      <c r="D44" s="73"/>
      <c r="E44" s="73"/>
      <c r="F44" s="73"/>
      <c r="G44" s="73"/>
      <c r="H44" s="45"/>
      <c r="I44" s="38">
        <v>0.51</v>
      </c>
      <c r="J44" s="30">
        <v>0.49</v>
      </c>
      <c r="K44" s="29"/>
      <c r="L44" s="30"/>
      <c r="M44" s="27"/>
      <c r="N44" s="26">
        <f t="shared" si="0"/>
        <v>1</v>
      </c>
      <c r="O44" s="65">
        <v>15</v>
      </c>
      <c r="P44" s="23">
        <v>15</v>
      </c>
      <c r="Q44" s="42"/>
      <c r="R44" s="42"/>
      <c r="S44" s="42"/>
      <c r="T44" s="20">
        <f t="shared" si="1"/>
        <v>15</v>
      </c>
      <c r="U44" s="19">
        <f t="shared" si="11"/>
        <v>15</v>
      </c>
      <c r="V44" s="68"/>
      <c r="W44" s="68">
        <v>1966034000</v>
      </c>
      <c r="X44" s="59">
        <v>3324955000</v>
      </c>
      <c r="Y44" s="68"/>
      <c r="Z44" s="59"/>
      <c r="AA44" s="20">
        <f t="shared" si="3"/>
        <v>1.0900000000000001</v>
      </c>
      <c r="AB44" s="19">
        <f t="shared" si="4"/>
        <v>1.0900000000000001</v>
      </c>
      <c r="AC44" s="16">
        <v>20</v>
      </c>
      <c r="AD44" s="18"/>
      <c r="AE44" s="17"/>
      <c r="AF44" s="23">
        <f t="shared" si="10"/>
        <v>16.09</v>
      </c>
      <c r="AG44" s="16">
        <v>45</v>
      </c>
      <c r="AH44" s="23">
        <f t="shared" si="5"/>
        <v>81.09</v>
      </c>
      <c r="AI44" s="14">
        <f t="shared" si="6"/>
        <v>0.92454999999999998</v>
      </c>
      <c r="AJ44" s="13"/>
      <c r="AK44" s="12">
        <v>0.01</v>
      </c>
      <c r="AL44" s="11">
        <f t="shared" si="7"/>
        <v>1.01</v>
      </c>
      <c r="AM44" s="10">
        <f t="shared" si="8"/>
        <v>6170323000</v>
      </c>
      <c r="AN44" s="9"/>
      <c r="AO44" s="71"/>
      <c r="AP44" s="71"/>
      <c r="AQ44" s="71"/>
      <c r="AR44" s="8"/>
      <c r="AS44" s="7"/>
      <c r="AT44" s="6">
        <f t="shared" si="9"/>
        <v>0</v>
      </c>
    </row>
    <row r="45" spans="1:46" s="37" customFormat="1" ht="45.75" customHeight="1" thickBot="1" x14ac:dyDescent="0.2">
      <c r="A45" s="35"/>
      <c r="B45" s="35"/>
      <c r="C45" s="73"/>
      <c r="D45" s="73"/>
      <c r="E45" s="73"/>
      <c r="F45" s="73"/>
      <c r="G45" s="73"/>
      <c r="H45" s="45"/>
      <c r="I45" s="38">
        <v>0.51</v>
      </c>
      <c r="J45" s="30">
        <v>0.49</v>
      </c>
      <c r="K45" s="29"/>
      <c r="L45" s="28"/>
      <c r="M45" s="27"/>
      <c r="N45" s="26">
        <f t="shared" si="0"/>
        <v>1</v>
      </c>
      <c r="O45" s="65">
        <v>15</v>
      </c>
      <c r="P45" s="23">
        <v>15</v>
      </c>
      <c r="Q45" s="42"/>
      <c r="R45" s="42"/>
      <c r="S45" s="42"/>
      <c r="T45" s="20">
        <f t="shared" si="1"/>
        <v>15</v>
      </c>
      <c r="U45" s="19">
        <f t="shared" si="11"/>
        <v>15</v>
      </c>
      <c r="V45" s="61"/>
      <c r="W45" s="62">
        <v>9345491000</v>
      </c>
      <c r="X45" s="59"/>
      <c r="Y45" s="22"/>
      <c r="Z45" s="68"/>
      <c r="AA45" s="20">
        <f t="shared" si="3"/>
        <v>5.2</v>
      </c>
      <c r="AB45" s="19">
        <f t="shared" si="4"/>
        <v>5.2</v>
      </c>
      <c r="AC45" s="16">
        <v>20</v>
      </c>
      <c r="AD45" s="18"/>
      <c r="AE45" s="17"/>
      <c r="AF45" s="23">
        <f t="shared" si="10"/>
        <v>20.2</v>
      </c>
      <c r="AG45" s="16">
        <v>45</v>
      </c>
      <c r="AH45" s="23">
        <f t="shared" si="5"/>
        <v>85.2</v>
      </c>
      <c r="AI45" s="14">
        <f t="shared" si="6"/>
        <v>0.90400000000000003</v>
      </c>
      <c r="AJ45" s="13"/>
      <c r="AK45" s="12">
        <v>0.01</v>
      </c>
      <c r="AL45" s="11">
        <f t="shared" si="7"/>
        <v>1.01</v>
      </c>
      <c r="AM45" s="10">
        <f t="shared" si="8"/>
        <v>6033175000</v>
      </c>
      <c r="AN45" s="9"/>
      <c r="AO45" s="8"/>
      <c r="AP45" s="8"/>
      <c r="AQ45" s="8"/>
      <c r="AR45" s="8"/>
      <c r="AS45" s="7"/>
      <c r="AT45" s="6">
        <f t="shared" si="9"/>
        <v>0</v>
      </c>
    </row>
    <row r="46" spans="1:46" s="37" customFormat="1" ht="45.75" customHeight="1" thickBot="1" x14ac:dyDescent="0.2">
      <c r="A46" s="35"/>
      <c r="B46" s="35"/>
      <c r="C46" s="73"/>
      <c r="D46" s="73"/>
      <c r="E46" s="73"/>
      <c r="F46" s="73"/>
      <c r="G46" s="73"/>
      <c r="H46" s="45"/>
      <c r="I46" s="38">
        <v>0.51</v>
      </c>
      <c r="J46" s="30">
        <v>0.49</v>
      </c>
      <c r="K46" s="29"/>
      <c r="L46" s="28"/>
      <c r="M46" s="27"/>
      <c r="N46" s="26">
        <f t="shared" si="0"/>
        <v>1</v>
      </c>
      <c r="O46" s="65">
        <v>15</v>
      </c>
      <c r="P46" s="23">
        <v>15</v>
      </c>
      <c r="Q46" s="42"/>
      <c r="R46" s="42"/>
      <c r="S46" s="23"/>
      <c r="T46" s="20">
        <f t="shared" si="1"/>
        <v>15</v>
      </c>
      <c r="U46" s="19">
        <f t="shared" si="11"/>
        <v>15</v>
      </c>
      <c r="V46" s="68"/>
      <c r="W46" s="62"/>
      <c r="X46" s="78"/>
      <c r="Y46" s="22"/>
      <c r="Z46" s="68"/>
      <c r="AA46" s="20">
        <f t="shared" si="3"/>
        <v>0</v>
      </c>
      <c r="AB46" s="19">
        <f t="shared" si="4"/>
        <v>0</v>
      </c>
      <c r="AC46" s="16">
        <v>20</v>
      </c>
      <c r="AD46" s="18"/>
      <c r="AE46" s="17"/>
      <c r="AF46" s="23">
        <f t="shared" si="10"/>
        <v>15</v>
      </c>
      <c r="AG46" s="16">
        <v>45</v>
      </c>
      <c r="AH46" s="23">
        <f t="shared" si="5"/>
        <v>80</v>
      </c>
      <c r="AI46" s="14">
        <f t="shared" si="6"/>
        <v>0.93</v>
      </c>
      <c r="AJ46" s="13"/>
      <c r="AK46" s="12">
        <v>0.01</v>
      </c>
      <c r="AL46" s="11">
        <f t="shared" si="7"/>
        <v>1.01</v>
      </c>
      <c r="AM46" s="10">
        <f t="shared" si="8"/>
        <v>6206696000</v>
      </c>
      <c r="AN46" s="9"/>
      <c r="AO46" s="71"/>
      <c r="AP46" s="71"/>
      <c r="AQ46" s="71"/>
      <c r="AR46" s="8"/>
      <c r="AS46" s="7"/>
      <c r="AT46" s="6">
        <f t="shared" si="9"/>
        <v>0</v>
      </c>
    </row>
    <row r="47" spans="1:46" s="37" customFormat="1" ht="45.75" customHeight="1" thickBot="1" x14ac:dyDescent="0.2">
      <c r="A47" s="35"/>
      <c r="B47" s="35"/>
      <c r="C47" s="73"/>
      <c r="D47" s="73"/>
      <c r="E47" s="73"/>
      <c r="F47" s="73"/>
      <c r="G47" s="73"/>
      <c r="H47" s="77"/>
      <c r="I47" s="38">
        <v>0.51</v>
      </c>
      <c r="J47" s="30">
        <v>0.49</v>
      </c>
      <c r="K47" s="29"/>
      <c r="L47" s="28"/>
      <c r="M47" s="27"/>
      <c r="N47" s="26">
        <f t="shared" si="0"/>
        <v>1</v>
      </c>
      <c r="O47" s="65">
        <v>15</v>
      </c>
      <c r="P47" s="23">
        <v>15</v>
      </c>
      <c r="Q47" s="42"/>
      <c r="R47" s="42"/>
      <c r="S47" s="42"/>
      <c r="T47" s="20">
        <f t="shared" si="1"/>
        <v>15</v>
      </c>
      <c r="U47" s="19">
        <f t="shared" si="11"/>
        <v>15</v>
      </c>
      <c r="V47" s="22"/>
      <c r="W47" s="68"/>
      <c r="X47" s="59"/>
      <c r="Y47" s="22"/>
      <c r="Z47" s="68"/>
      <c r="AA47" s="20">
        <f t="shared" si="3"/>
        <v>0</v>
      </c>
      <c r="AB47" s="19">
        <f t="shared" si="4"/>
        <v>0</v>
      </c>
      <c r="AC47" s="16">
        <v>20</v>
      </c>
      <c r="AD47" s="18"/>
      <c r="AE47" s="17"/>
      <c r="AF47" s="23">
        <f t="shared" si="10"/>
        <v>15</v>
      </c>
      <c r="AG47" s="16">
        <v>45</v>
      </c>
      <c r="AH47" s="23">
        <f t="shared" si="5"/>
        <v>80</v>
      </c>
      <c r="AI47" s="14">
        <f t="shared" si="6"/>
        <v>0.93</v>
      </c>
      <c r="AJ47" s="13"/>
      <c r="AK47" s="12">
        <v>0.01</v>
      </c>
      <c r="AL47" s="11">
        <f t="shared" si="7"/>
        <v>1.01</v>
      </c>
      <c r="AM47" s="10">
        <f t="shared" si="8"/>
        <v>6206696000</v>
      </c>
      <c r="AN47" s="9"/>
      <c r="AO47" s="16"/>
      <c r="AP47" s="71"/>
      <c r="AQ47" s="71"/>
      <c r="AR47" s="8"/>
      <c r="AS47" s="7"/>
      <c r="AT47" s="6">
        <f t="shared" si="9"/>
        <v>0</v>
      </c>
    </row>
    <row r="48" spans="1:46" s="37" customFormat="1" ht="45.75" customHeight="1" thickBot="1" x14ac:dyDescent="0.2">
      <c r="A48" s="35"/>
      <c r="B48" s="35"/>
      <c r="C48" s="73"/>
      <c r="D48" s="73"/>
      <c r="E48" s="73"/>
      <c r="F48" s="73"/>
      <c r="G48" s="73"/>
      <c r="H48" s="45"/>
      <c r="I48" s="38">
        <v>0.4</v>
      </c>
      <c r="J48" s="30">
        <v>0.3</v>
      </c>
      <c r="K48" s="29">
        <v>0.3</v>
      </c>
      <c r="L48" s="30"/>
      <c r="M48" s="27"/>
      <c r="N48" s="26">
        <f t="shared" si="0"/>
        <v>1</v>
      </c>
      <c r="O48" s="65">
        <v>15</v>
      </c>
      <c r="P48" s="23">
        <v>15</v>
      </c>
      <c r="Q48" s="23">
        <v>15</v>
      </c>
      <c r="R48" s="42"/>
      <c r="S48" s="42"/>
      <c r="T48" s="20">
        <f t="shared" si="1"/>
        <v>15</v>
      </c>
      <c r="U48" s="19">
        <f t="shared" si="11"/>
        <v>15</v>
      </c>
      <c r="V48" s="85">
        <v>3425675000</v>
      </c>
      <c r="W48" s="22"/>
      <c r="X48" s="76"/>
      <c r="Y48" s="22"/>
      <c r="Z48" s="68"/>
      <c r="AA48" s="20">
        <f t="shared" si="3"/>
        <v>1.56</v>
      </c>
      <c r="AB48" s="19">
        <f t="shared" si="4"/>
        <v>1.56</v>
      </c>
      <c r="AC48" s="16">
        <v>20</v>
      </c>
      <c r="AD48" s="18"/>
      <c r="AE48" s="17"/>
      <c r="AF48" s="23">
        <f t="shared" si="10"/>
        <v>16.559999999999999</v>
      </c>
      <c r="AG48" s="16">
        <v>45</v>
      </c>
      <c r="AH48" s="23">
        <f t="shared" si="5"/>
        <v>81.56</v>
      </c>
      <c r="AI48" s="14">
        <f t="shared" si="6"/>
        <v>0.92220000000000002</v>
      </c>
      <c r="AJ48" s="13"/>
      <c r="AK48" s="12">
        <v>0.01</v>
      </c>
      <c r="AL48" s="11">
        <f t="shared" si="7"/>
        <v>1.01</v>
      </c>
      <c r="AM48" s="10">
        <f t="shared" si="8"/>
        <v>6154640000</v>
      </c>
      <c r="AN48" s="9"/>
      <c r="AO48" s="71"/>
      <c r="AP48" s="71"/>
      <c r="AQ48" s="71"/>
      <c r="AR48" s="8"/>
      <c r="AS48" s="7"/>
      <c r="AT48" s="6">
        <f t="shared" si="9"/>
        <v>0</v>
      </c>
    </row>
    <row r="49" spans="1:46" s="37" customFormat="1" ht="45.75" customHeight="1" thickBot="1" x14ac:dyDescent="0.2">
      <c r="A49" s="35"/>
      <c r="B49" s="35"/>
      <c r="C49" s="73"/>
      <c r="D49" s="73"/>
      <c r="E49" s="73"/>
      <c r="F49" s="73"/>
      <c r="G49" s="73"/>
      <c r="H49" s="45"/>
      <c r="I49" s="38">
        <v>0.51</v>
      </c>
      <c r="J49" s="30">
        <v>0.49</v>
      </c>
      <c r="K49" s="29"/>
      <c r="L49" s="28"/>
      <c r="M49" s="27"/>
      <c r="N49" s="26">
        <f t="shared" si="0"/>
        <v>1</v>
      </c>
      <c r="O49" s="65">
        <v>15</v>
      </c>
      <c r="P49" s="23">
        <v>15</v>
      </c>
      <c r="Q49" s="42"/>
      <c r="R49" s="42"/>
      <c r="S49" s="23"/>
      <c r="T49" s="20">
        <f t="shared" si="1"/>
        <v>15</v>
      </c>
      <c r="U49" s="19">
        <f t="shared" si="11"/>
        <v>15</v>
      </c>
      <c r="V49" s="59"/>
      <c r="W49" s="22">
        <v>7486618000</v>
      </c>
      <c r="X49" s="59"/>
      <c r="Y49" s="22"/>
      <c r="Z49" s="68"/>
      <c r="AA49" s="20">
        <f t="shared" si="3"/>
        <v>4.16</v>
      </c>
      <c r="AB49" s="19">
        <f t="shared" si="4"/>
        <v>4.16</v>
      </c>
      <c r="AC49" s="16">
        <v>20</v>
      </c>
      <c r="AD49" s="18"/>
      <c r="AE49" s="17"/>
      <c r="AF49" s="23">
        <f t="shared" si="10"/>
        <v>19.16</v>
      </c>
      <c r="AG49" s="16">
        <v>45</v>
      </c>
      <c r="AH49" s="23">
        <f t="shared" si="5"/>
        <v>84.16</v>
      </c>
      <c r="AI49" s="14">
        <f t="shared" si="6"/>
        <v>0.90920000000000001</v>
      </c>
      <c r="AJ49" s="13"/>
      <c r="AK49" s="12">
        <v>0.01</v>
      </c>
      <c r="AL49" s="11">
        <f t="shared" si="7"/>
        <v>1.01</v>
      </c>
      <c r="AM49" s="10">
        <f t="shared" si="8"/>
        <v>6067879000</v>
      </c>
      <c r="AN49" s="9"/>
      <c r="AO49" s="74"/>
      <c r="AP49" s="72"/>
      <c r="AQ49" s="72"/>
      <c r="AR49" s="8"/>
      <c r="AS49" s="7"/>
      <c r="AT49" s="6">
        <f t="shared" si="9"/>
        <v>0</v>
      </c>
    </row>
    <row r="50" spans="1:46" s="37" customFormat="1" ht="45.75" customHeight="1" thickBot="1" x14ac:dyDescent="0.2">
      <c r="A50" s="35"/>
      <c r="B50" s="35"/>
      <c r="C50" s="73"/>
      <c r="D50" s="73"/>
      <c r="E50" s="73"/>
      <c r="F50" s="73"/>
      <c r="G50" s="73"/>
      <c r="H50" s="45"/>
      <c r="I50" s="38">
        <v>0.51</v>
      </c>
      <c r="J50" s="30">
        <v>0.49</v>
      </c>
      <c r="K50" s="29"/>
      <c r="L50" s="28"/>
      <c r="M50" s="27"/>
      <c r="N50" s="26">
        <f t="shared" si="0"/>
        <v>1</v>
      </c>
      <c r="O50" s="23">
        <v>15</v>
      </c>
      <c r="P50" s="23">
        <v>15</v>
      </c>
      <c r="Q50" s="42"/>
      <c r="R50" s="42"/>
      <c r="S50" s="42"/>
      <c r="T50" s="20">
        <f t="shared" si="1"/>
        <v>15</v>
      </c>
      <c r="U50" s="19">
        <f t="shared" si="11"/>
        <v>15</v>
      </c>
      <c r="V50" s="61"/>
      <c r="W50" s="59"/>
      <c r="X50" s="61"/>
      <c r="Y50" s="22"/>
      <c r="Z50" s="21"/>
      <c r="AA50" s="20">
        <f t="shared" si="3"/>
        <v>0</v>
      </c>
      <c r="AB50" s="19">
        <f t="shared" si="4"/>
        <v>0</v>
      </c>
      <c r="AC50" s="16">
        <v>20</v>
      </c>
      <c r="AD50" s="18"/>
      <c r="AE50" s="17"/>
      <c r="AF50" s="23">
        <f t="shared" si="10"/>
        <v>15</v>
      </c>
      <c r="AG50" s="16">
        <v>45</v>
      </c>
      <c r="AH50" s="23">
        <f t="shared" si="5"/>
        <v>80</v>
      </c>
      <c r="AI50" s="14">
        <f t="shared" si="6"/>
        <v>0.93</v>
      </c>
      <c r="AJ50" s="13"/>
      <c r="AK50" s="12">
        <v>0.01</v>
      </c>
      <c r="AL50" s="11">
        <f t="shared" si="7"/>
        <v>1.01</v>
      </c>
      <c r="AM50" s="10">
        <f t="shared" si="8"/>
        <v>6206696000</v>
      </c>
      <c r="AN50" s="9"/>
      <c r="AO50" s="8"/>
      <c r="AP50" s="8"/>
      <c r="AQ50" s="8"/>
      <c r="AR50" s="8"/>
      <c r="AS50" s="7"/>
      <c r="AT50" s="6">
        <f t="shared" si="9"/>
        <v>0</v>
      </c>
    </row>
    <row r="51" spans="1:46" s="37" customFormat="1" ht="45.75" customHeight="1" thickBot="1" x14ac:dyDescent="0.2">
      <c r="A51" s="35"/>
      <c r="B51" s="35"/>
      <c r="C51" s="73"/>
      <c r="D51" s="73"/>
      <c r="E51" s="73"/>
      <c r="F51" s="73"/>
      <c r="G51" s="73"/>
      <c r="H51" s="45"/>
      <c r="I51" s="38">
        <v>0.5</v>
      </c>
      <c r="J51" s="30">
        <v>0.25</v>
      </c>
      <c r="K51" s="29">
        <v>0.25</v>
      </c>
      <c r="L51" s="28"/>
      <c r="M51" s="27"/>
      <c r="N51" s="26">
        <f t="shared" si="0"/>
        <v>1</v>
      </c>
      <c r="O51" s="65">
        <v>15</v>
      </c>
      <c r="P51" s="23">
        <v>15</v>
      </c>
      <c r="Q51" s="23">
        <v>15</v>
      </c>
      <c r="R51" s="42"/>
      <c r="S51" s="23"/>
      <c r="T51" s="20">
        <f t="shared" si="1"/>
        <v>15</v>
      </c>
      <c r="U51" s="19">
        <f t="shared" si="11"/>
        <v>15</v>
      </c>
      <c r="V51" s="22">
        <v>1364132000</v>
      </c>
      <c r="W51" s="22">
        <v>3231169000</v>
      </c>
      <c r="X51" s="68">
        <v>3586189000</v>
      </c>
      <c r="Y51" s="59">
        <v>1177604000</v>
      </c>
      <c r="Z51" s="22">
        <v>6584044000</v>
      </c>
      <c r="AA51" s="20">
        <f t="shared" si="3"/>
        <v>2.71</v>
      </c>
      <c r="AB51" s="19">
        <f t="shared" si="4"/>
        <v>2.71</v>
      </c>
      <c r="AC51" s="16">
        <v>20</v>
      </c>
      <c r="AD51" s="18"/>
      <c r="AE51" s="17"/>
      <c r="AF51" s="23">
        <f t="shared" si="10"/>
        <v>17.71</v>
      </c>
      <c r="AG51" s="16">
        <v>45</v>
      </c>
      <c r="AH51" s="23">
        <f t="shared" si="5"/>
        <v>82.710000000000008</v>
      </c>
      <c r="AI51" s="14">
        <f t="shared" si="6"/>
        <v>0.91644999999999999</v>
      </c>
      <c r="AJ51" s="13"/>
      <c r="AK51" s="12">
        <v>0.01</v>
      </c>
      <c r="AL51" s="11">
        <f t="shared" si="7"/>
        <v>1.01</v>
      </c>
      <c r="AM51" s="10">
        <f t="shared" si="8"/>
        <v>6116265000</v>
      </c>
      <c r="AN51" s="9"/>
      <c r="AO51" s="16"/>
      <c r="AP51" s="71"/>
      <c r="AQ51" s="71"/>
      <c r="AR51" s="8"/>
      <c r="AS51" s="7"/>
      <c r="AT51" s="6">
        <f t="shared" si="9"/>
        <v>0</v>
      </c>
    </row>
    <row r="52" spans="1:46" s="37" customFormat="1" ht="45.75" customHeight="1" thickBot="1" x14ac:dyDescent="0.2">
      <c r="A52" s="35"/>
      <c r="B52" s="35"/>
      <c r="C52" s="73"/>
      <c r="D52" s="73"/>
      <c r="E52" s="73"/>
      <c r="F52" s="73"/>
      <c r="G52" s="51"/>
      <c r="H52" s="45"/>
      <c r="I52" s="38">
        <v>0.51</v>
      </c>
      <c r="J52" s="30">
        <v>0.49</v>
      </c>
      <c r="K52" s="29"/>
      <c r="L52" s="28"/>
      <c r="M52" s="27"/>
      <c r="N52" s="26">
        <f t="shared" si="0"/>
        <v>1</v>
      </c>
      <c r="O52" s="65">
        <v>15</v>
      </c>
      <c r="P52" s="23">
        <v>15</v>
      </c>
      <c r="Q52" s="42"/>
      <c r="R52" s="42"/>
      <c r="S52" s="23"/>
      <c r="T52" s="20">
        <f t="shared" si="1"/>
        <v>15</v>
      </c>
      <c r="U52" s="19">
        <f t="shared" si="11"/>
        <v>15</v>
      </c>
      <c r="V52" s="22"/>
      <c r="W52" s="22"/>
      <c r="X52" s="22"/>
      <c r="Y52" s="22"/>
      <c r="Z52" s="68"/>
      <c r="AA52" s="20">
        <f t="shared" si="3"/>
        <v>0</v>
      </c>
      <c r="AB52" s="19">
        <f t="shared" si="4"/>
        <v>0</v>
      </c>
      <c r="AC52" s="16">
        <v>20</v>
      </c>
      <c r="AD52" s="18"/>
      <c r="AE52" s="17"/>
      <c r="AF52" s="23">
        <f t="shared" si="10"/>
        <v>15</v>
      </c>
      <c r="AG52" s="16">
        <v>45</v>
      </c>
      <c r="AH52" s="23">
        <f t="shared" si="5"/>
        <v>80</v>
      </c>
      <c r="AI52" s="14">
        <f t="shared" si="6"/>
        <v>0.93</v>
      </c>
      <c r="AJ52" s="13"/>
      <c r="AK52" s="12">
        <v>0.01</v>
      </c>
      <c r="AL52" s="11">
        <f t="shared" si="7"/>
        <v>1.01</v>
      </c>
      <c r="AM52" s="10">
        <f t="shared" si="8"/>
        <v>6206696000</v>
      </c>
      <c r="AN52" s="9"/>
      <c r="AO52" s="74"/>
      <c r="AP52" s="16"/>
      <c r="AQ52" s="16"/>
      <c r="AR52" s="8"/>
      <c r="AS52" s="7"/>
      <c r="AT52" s="6">
        <f t="shared" si="9"/>
        <v>0</v>
      </c>
    </row>
    <row r="53" spans="1:46" s="37" customFormat="1" ht="45.75" customHeight="1" thickBot="1" x14ac:dyDescent="0.2">
      <c r="A53" s="35"/>
      <c r="B53" s="35"/>
      <c r="C53" s="73"/>
      <c r="D53" s="73"/>
      <c r="E53" s="73"/>
      <c r="F53" s="73"/>
      <c r="G53" s="73" t="s">
        <v>2</v>
      </c>
      <c r="H53" s="45" t="s">
        <v>1</v>
      </c>
      <c r="I53" s="38">
        <v>0.51</v>
      </c>
      <c r="J53" s="30">
        <v>0.49</v>
      </c>
      <c r="K53" s="29"/>
      <c r="L53" s="28"/>
      <c r="M53" s="27"/>
      <c r="N53" s="26">
        <f t="shared" si="0"/>
        <v>1</v>
      </c>
      <c r="O53" s="65">
        <v>15</v>
      </c>
      <c r="P53" s="23">
        <v>15</v>
      </c>
      <c r="Q53" s="42"/>
      <c r="R53" s="42"/>
      <c r="S53" s="23"/>
      <c r="T53" s="20">
        <f t="shared" si="1"/>
        <v>15</v>
      </c>
      <c r="U53" s="19">
        <f t="shared" si="11"/>
        <v>15</v>
      </c>
      <c r="V53" s="22"/>
      <c r="W53" s="59"/>
      <c r="X53" s="59"/>
      <c r="Y53" s="22"/>
      <c r="Z53" s="21"/>
      <c r="AA53" s="20">
        <f t="shared" si="3"/>
        <v>0</v>
      </c>
      <c r="AB53" s="19">
        <f t="shared" si="4"/>
        <v>0</v>
      </c>
      <c r="AC53" s="16">
        <v>20</v>
      </c>
      <c r="AD53" s="18"/>
      <c r="AE53" s="17"/>
      <c r="AF53" s="23">
        <f t="shared" si="10"/>
        <v>15</v>
      </c>
      <c r="AG53" s="16">
        <v>45</v>
      </c>
      <c r="AH53" s="23">
        <f t="shared" si="5"/>
        <v>80</v>
      </c>
      <c r="AI53" s="14">
        <f t="shared" si="6"/>
        <v>0.93</v>
      </c>
      <c r="AJ53" s="13"/>
      <c r="AK53" s="12">
        <v>0.01</v>
      </c>
      <c r="AL53" s="11">
        <f t="shared" si="7"/>
        <v>1.01</v>
      </c>
      <c r="AM53" s="10">
        <f t="shared" si="8"/>
        <v>6206696000</v>
      </c>
      <c r="AN53" s="9"/>
      <c r="AO53" s="16"/>
      <c r="AP53" s="72"/>
      <c r="AQ53" s="71"/>
      <c r="AR53" s="8"/>
      <c r="AS53" s="7"/>
      <c r="AT53" s="6">
        <f t="shared" si="9"/>
        <v>0</v>
      </c>
    </row>
    <row r="54" spans="1:46" s="37" customFormat="1" ht="45.75" customHeight="1" thickBot="1" x14ac:dyDescent="0.2">
      <c r="A54" s="35"/>
      <c r="B54" s="35"/>
      <c r="C54" s="39"/>
      <c r="D54" s="53"/>
      <c r="E54" s="63"/>
      <c r="F54" s="63"/>
      <c r="G54" s="51"/>
      <c r="H54" s="45"/>
      <c r="I54" s="38">
        <v>0.51</v>
      </c>
      <c r="J54" s="30">
        <v>0.49</v>
      </c>
      <c r="K54" s="29"/>
      <c r="L54" s="28"/>
      <c r="M54" s="27"/>
      <c r="N54" s="26">
        <f t="shared" si="0"/>
        <v>1</v>
      </c>
      <c r="O54" s="23">
        <v>15</v>
      </c>
      <c r="P54" s="23">
        <v>15</v>
      </c>
      <c r="Q54" s="42"/>
      <c r="R54" s="24"/>
      <c r="S54" s="23"/>
      <c r="T54" s="20">
        <f t="shared" si="1"/>
        <v>15</v>
      </c>
      <c r="U54" s="19">
        <f t="shared" si="11"/>
        <v>15</v>
      </c>
      <c r="V54" s="61"/>
      <c r="W54" s="59"/>
      <c r="X54" s="22"/>
      <c r="Y54" s="22"/>
      <c r="Z54" s="68"/>
      <c r="AA54" s="20">
        <f t="shared" si="3"/>
        <v>0</v>
      </c>
      <c r="AB54" s="19">
        <f t="shared" si="4"/>
        <v>0</v>
      </c>
      <c r="AC54" s="16">
        <v>20</v>
      </c>
      <c r="AD54" s="18"/>
      <c r="AE54" s="17"/>
      <c r="AF54" s="23">
        <f t="shared" si="10"/>
        <v>15</v>
      </c>
      <c r="AG54" s="16">
        <v>45</v>
      </c>
      <c r="AH54" s="23">
        <f t="shared" si="5"/>
        <v>80</v>
      </c>
      <c r="AI54" s="14">
        <f t="shared" si="6"/>
        <v>0.93</v>
      </c>
      <c r="AJ54" s="13"/>
      <c r="AK54" s="12">
        <v>0.01</v>
      </c>
      <c r="AL54" s="11">
        <f t="shared" si="7"/>
        <v>1.01</v>
      </c>
      <c r="AM54" s="10">
        <f t="shared" si="8"/>
        <v>6206696000</v>
      </c>
      <c r="AN54" s="9"/>
      <c r="AO54" s="8"/>
      <c r="AP54" s="8"/>
      <c r="AQ54" s="8"/>
      <c r="AR54" s="8"/>
      <c r="AS54" s="7"/>
      <c r="AT54" s="6">
        <f t="shared" si="9"/>
        <v>0</v>
      </c>
    </row>
    <row r="55" spans="1:46" s="37" customFormat="1" ht="45.75" customHeight="1" thickBot="1" x14ac:dyDescent="0.2">
      <c r="A55" s="35"/>
      <c r="B55" s="35"/>
      <c r="C55" s="39"/>
      <c r="D55" s="70" t="s">
        <v>0</v>
      </c>
      <c r="E55" s="39"/>
      <c r="F55" s="63"/>
      <c r="G55" s="51"/>
      <c r="H55" s="45"/>
      <c r="I55" s="38">
        <v>0.51</v>
      </c>
      <c r="J55" s="30">
        <v>0.49</v>
      </c>
      <c r="K55" s="29"/>
      <c r="L55" s="28"/>
      <c r="M55" s="27"/>
      <c r="N55" s="26">
        <f t="shared" si="0"/>
        <v>1</v>
      </c>
      <c r="O55" s="23">
        <v>15</v>
      </c>
      <c r="P55" s="23">
        <v>15</v>
      </c>
      <c r="Q55" s="69"/>
      <c r="R55" s="24"/>
      <c r="S55" s="23"/>
      <c r="T55" s="20">
        <f t="shared" si="1"/>
        <v>15</v>
      </c>
      <c r="U55" s="19">
        <f t="shared" si="11"/>
        <v>15</v>
      </c>
      <c r="V55" s="61"/>
      <c r="W55" s="68">
        <v>20418317000</v>
      </c>
      <c r="X55" s="59"/>
      <c r="Y55" s="22"/>
      <c r="Z55" s="21"/>
      <c r="AA55" s="20">
        <f t="shared" si="3"/>
        <v>11.36</v>
      </c>
      <c r="AB55" s="19">
        <f t="shared" si="4"/>
        <v>11.36</v>
      </c>
      <c r="AC55" s="16">
        <v>20</v>
      </c>
      <c r="AD55" s="18"/>
      <c r="AE55" s="17"/>
      <c r="AF55" s="23">
        <f t="shared" si="10"/>
        <v>26.36</v>
      </c>
      <c r="AG55" s="16">
        <v>45</v>
      </c>
      <c r="AH55" s="23">
        <f t="shared" si="5"/>
        <v>91.36</v>
      </c>
      <c r="AI55" s="14">
        <f t="shared" si="6"/>
        <v>0.87319999999999998</v>
      </c>
      <c r="AJ55" s="13"/>
      <c r="AK55" s="12">
        <v>0.01</v>
      </c>
      <c r="AL55" s="11">
        <f t="shared" si="7"/>
        <v>1.01</v>
      </c>
      <c r="AM55" s="10">
        <f t="shared" si="8"/>
        <v>5827620000</v>
      </c>
      <c r="AN55" s="9"/>
      <c r="AO55" s="8"/>
      <c r="AP55" s="8"/>
      <c r="AQ55" s="8"/>
      <c r="AR55" s="8"/>
      <c r="AS55" s="7"/>
      <c r="AT55" s="6">
        <f t="shared" si="9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0"/>
        <v>1</v>
      </c>
      <c r="O56" s="25">
        <v>15</v>
      </c>
      <c r="P56" s="23">
        <v>15</v>
      </c>
      <c r="Q56" s="24"/>
      <c r="R56" s="24"/>
      <c r="S56" s="23"/>
      <c r="T56" s="20">
        <f t="shared" si="1"/>
        <v>15</v>
      </c>
      <c r="U56" s="19">
        <f t="shared" si="11"/>
        <v>15</v>
      </c>
      <c r="V56" s="48"/>
      <c r="W56" s="22"/>
      <c r="X56" s="22"/>
      <c r="Y56" s="22"/>
      <c r="Z56" s="21"/>
      <c r="AA56" s="20">
        <f t="shared" si="3"/>
        <v>0</v>
      </c>
      <c r="AB56" s="19">
        <f t="shared" si="4"/>
        <v>0</v>
      </c>
      <c r="AC56" s="16">
        <v>20</v>
      </c>
      <c r="AD56" s="18"/>
      <c r="AE56" s="17"/>
      <c r="AF56" s="23">
        <f t="shared" si="10"/>
        <v>15</v>
      </c>
      <c r="AG56" s="16">
        <v>45</v>
      </c>
      <c r="AH56" s="23">
        <f t="shared" si="5"/>
        <v>80</v>
      </c>
      <c r="AI56" s="14">
        <f t="shared" si="6"/>
        <v>0.93</v>
      </c>
      <c r="AJ56" s="13"/>
      <c r="AK56" s="12">
        <v>0.01</v>
      </c>
      <c r="AL56" s="11">
        <f t="shared" si="7"/>
        <v>1.01</v>
      </c>
      <c r="AM56" s="10">
        <f t="shared" si="8"/>
        <v>6206696000</v>
      </c>
      <c r="AN56" s="9"/>
      <c r="AO56" s="8"/>
      <c r="AP56" s="8"/>
      <c r="AQ56" s="8"/>
      <c r="AR56" s="8"/>
      <c r="AS56" s="7"/>
      <c r="AT56" s="6">
        <f t="shared" si="9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0"/>
        <v>1</v>
      </c>
      <c r="O57" s="25">
        <v>15</v>
      </c>
      <c r="P57" s="23">
        <v>15</v>
      </c>
      <c r="Q57" s="24"/>
      <c r="R57" s="24"/>
      <c r="S57" s="23"/>
      <c r="T57" s="20">
        <f t="shared" si="1"/>
        <v>15</v>
      </c>
      <c r="U57" s="19">
        <f t="shared" si="11"/>
        <v>15</v>
      </c>
      <c r="V57" s="48"/>
      <c r="W57" s="22"/>
      <c r="X57" s="22"/>
      <c r="Y57" s="57"/>
      <c r="Z57" s="21"/>
      <c r="AA57" s="20">
        <f t="shared" si="3"/>
        <v>0</v>
      </c>
      <c r="AB57" s="19">
        <f t="shared" si="4"/>
        <v>0</v>
      </c>
      <c r="AC57" s="16">
        <v>20</v>
      </c>
      <c r="AD57" s="18"/>
      <c r="AE57" s="17"/>
      <c r="AF57" s="23">
        <f t="shared" si="10"/>
        <v>15</v>
      </c>
      <c r="AG57" s="16">
        <v>45</v>
      </c>
      <c r="AH57" s="23">
        <f t="shared" si="5"/>
        <v>80</v>
      </c>
      <c r="AI57" s="14">
        <f t="shared" si="6"/>
        <v>0.93</v>
      </c>
      <c r="AJ57" s="13"/>
      <c r="AK57" s="12">
        <v>0.01</v>
      </c>
      <c r="AL57" s="11">
        <f t="shared" si="7"/>
        <v>1.01</v>
      </c>
      <c r="AM57" s="10">
        <f t="shared" si="8"/>
        <v>6206696000</v>
      </c>
      <c r="AN57" s="9"/>
      <c r="AO57" s="8"/>
      <c r="AP57" s="8"/>
      <c r="AQ57" s="8"/>
      <c r="AR57" s="8"/>
      <c r="AS57" s="7"/>
      <c r="AT57" s="6">
        <f t="shared" si="9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0"/>
        <v>1</v>
      </c>
      <c r="O58" s="25">
        <v>15</v>
      </c>
      <c r="P58" s="24">
        <v>15</v>
      </c>
      <c r="Q58" s="42"/>
      <c r="R58" s="42"/>
      <c r="S58" s="23"/>
      <c r="T58" s="20">
        <f t="shared" si="1"/>
        <v>15</v>
      </c>
      <c r="U58" s="19">
        <f t="shared" si="11"/>
        <v>15</v>
      </c>
      <c r="V58" s="22"/>
      <c r="W58" s="41"/>
      <c r="X58" s="54"/>
      <c r="Y58" s="48"/>
      <c r="Z58" s="21"/>
      <c r="AA58" s="20">
        <f t="shared" si="3"/>
        <v>0</v>
      </c>
      <c r="AB58" s="19">
        <f t="shared" si="4"/>
        <v>0</v>
      </c>
      <c r="AC58" s="16">
        <v>20</v>
      </c>
      <c r="AD58" s="18"/>
      <c r="AE58" s="17"/>
      <c r="AF58" s="23">
        <f t="shared" si="10"/>
        <v>15</v>
      </c>
      <c r="AG58" s="16">
        <v>45</v>
      </c>
      <c r="AH58" s="23">
        <f t="shared" si="5"/>
        <v>80</v>
      </c>
      <c r="AI58" s="14">
        <f t="shared" si="6"/>
        <v>0.93</v>
      </c>
      <c r="AJ58" s="13"/>
      <c r="AK58" s="12">
        <v>0.01</v>
      </c>
      <c r="AL58" s="11">
        <f t="shared" si="7"/>
        <v>1.01</v>
      </c>
      <c r="AM58" s="10">
        <f t="shared" si="8"/>
        <v>6206696000</v>
      </c>
      <c r="AN58" s="9"/>
      <c r="AO58" s="8"/>
      <c r="AP58" s="8"/>
      <c r="AQ58" s="8"/>
      <c r="AR58" s="8"/>
      <c r="AS58" s="7"/>
      <c r="AT58" s="6">
        <f t="shared" si="9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0"/>
        <v>1</v>
      </c>
      <c r="O59" s="25">
        <v>15</v>
      </c>
      <c r="P59" s="24">
        <v>15</v>
      </c>
      <c r="Q59" s="42"/>
      <c r="R59" s="42"/>
      <c r="S59" s="23"/>
      <c r="T59" s="20">
        <f t="shared" si="1"/>
        <v>15</v>
      </c>
      <c r="U59" s="19">
        <f t="shared" si="11"/>
        <v>15</v>
      </c>
      <c r="V59" s="48"/>
      <c r="W59" s="41"/>
      <c r="X59" s="54"/>
      <c r="Y59" s="56"/>
      <c r="Z59" s="21"/>
      <c r="AA59" s="20">
        <f t="shared" si="3"/>
        <v>0</v>
      </c>
      <c r="AB59" s="19">
        <f t="shared" si="4"/>
        <v>0</v>
      </c>
      <c r="AC59" s="16">
        <v>20</v>
      </c>
      <c r="AD59" s="18"/>
      <c r="AE59" s="17"/>
      <c r="AF59" s="23">
        <f t="shared" si="10"/>
        <v>15</v>
      </c>
      <c r="AG59" s="16">
        <v>45</v>
      </c>
      <c r="AH59" s="23">
        <f t="shared" si="5"/>
        <v>80</v>
      </c>
      <c r="AI59" s="14">
        <f t="shared" si="6"/>
        <v>0.93</v>
      </c>
      <c r="AJ59" s="13"/>
      <c r="AK59" s="12">
        <v>0.01</v>
      </c>
      <c r="AL59" s="11">
        <f t="shared" si="7"/>
        <v>1.01</v>
      </c>
      <c r="AM59" s="10">
        <f t="shared" si="8"/>
        <v>6206696000</v>
      </c>
      <c r="AN59" s="9"/>
      <c r="AO59" s="8"/>
      <c r="AP59" s="8"/>
      <c r="AQ59" s="8"/>
      <c r="AR59" s="8"/>
      <c r="AS59" s="7"/>
      <c r="AT59" s="6">
        <f t="shared" si="9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0"/>
        <v>1</v>
      </c>
      <c r="O60" s="44">
        <v>15</v>
      </c>
      <c r="P60" s="24">
        <v>15</v>
      </c>
      <c r="Q60" s="24"/>
      <c r="R60" s="42"/>
      <c r="S60" s="42"/>
      <c r="T60" s="20">
        <f t="shared" si="1"/>
        <v>15</v>
      </c>
      <c r="U60" s="19">
        <f t="shared" si="11"/>
        <v>15</v>
      </c>
      <c r="V60" s="48"/>
      <c r="W60" s="48"/>
      <c r="X60" s="48"/>
      <c r="Y60" s="48"/>
      <c r="Z60" s="21"/>
      <c r="AA60" s="20">
        <f t="shared" si="3"/>
        <v>0</v>
      </c>
      <c r="AB60" s="19">
        <f t="shared" si="4"/>
        <v>0</v>
      </c>
      <c r="AC60" s="16">
        <v>20</v>
      </c>
      <c r="AD60" s="18"/>
      <c r="AE60" s="17"/>
      <c r="AF60" s="23">
        <f t="shared" si="10"/>
        <v>15</v>
      </c>
      <c r="AG60" s="16">
        <v>45</v>
      </c>
      <c r="AH60" s="23">
        <f t="shared" si="5"/>
        <v>80</v>
      </c>
      <c r="AI60" s="14">
        <f t="shared" si="6"/>
        <v>0.93</v>
      </c>
      <c r="AJ60" s="13"/>
      <c r="AK60" s="12">
        <v>0.01</v>
      </c>
      <c r="AL60" s="11">
        <f t="shared" si="7"/>
        <v>1.01</v>
      </c>
      <c r="AM60" s="10">
        <f t="shared" si="8"/>
        <v>6206696000</v>
      </c>
      <c r="AN60" s="9"/>
      <c r="AO60" s="8"/>
      <c r="AP60" s="8"/>
      <c r="AQ60" s="8"/>
      <c r="AR60" s="8"/>
      <c r="AS60" s="7"/>
      <c r="AT60" s="6">
        <f t="shared" si="9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0"/>
        <v>1</v>
      </c>
      <c r="O61" s="25">
        <v>15</v>
      </c>
      <c r="P61" s="23">
        <v>15</v>
      </c>
      <c r="Q61" s="24"/>
      <c r="R61" s="24"/>
      <c r="S61" s="23"/>
      <c r="T61" s="20">
        <f t="shared" si="1"/>
        <v>15</v>
      </c>
      <c r="U61" s="19">
        <f t="shared" si="11"/>
        <v>15</v>
      </c>
      <c r="V61" s="22"/>
      <c r="W61" s="22"/>
      <c r="X61" s="22"/>
      <c r="Y61" s="22"/>
      <c r="Z61" s="21"/>
      <c r="AA61" s="20">
        <f t="shared" si="3"/>
        <v>0</v>
      </c>
      <c r="AB61" s="19">
        <f t="shared" si="4"/>
        <v>0</v>
      </c>
      <c r="AC61" s="16">
        <v>20</v>
      </c>
      <c r="AD61" s="18"/>
      <c r="AE61" s="17"/>
      <c r="AF61" s="23">
        <f t="shared" si="10"/>
        <v>15</v>
      </c>
      <c r="AG61" s="16">
        <v>45</v>
      </c>
      <c r="AH61" s="23">
        <f t="shared" si="5"/>
        <v>80</v>
      </c>
      <c r="AI61" s="14">
        <f t="shared" si="6"/>
        <v>0.93</v>
      </c>
      <c r="AJ61" s="13"/>
      <c r="AK61" s="12">
        <v>0.01</v>
      </c>
      <c r="AL61" s="11">
        <f t="shared" si="7"/>
        <v>1.01</v>
      </c>
      <c r="AM61" s="10">
        <f t="shared" si="8"/>
        <v>6206696000</v>
      </c>
      <c r="AN61" s="9"/>
      <c r="AO61" s="8"/>
      <c r="AP61" s="8"/>
      <c r="AQ61" s="8"/>
      <c r="AR61" s="8"/>
      <c r="AS61" s="7"/>
      <c r="AT61" s="6">
        <f t="shared" si="9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0"/>
        <v>1</v>
      </c>
      <c r="O62" s="44">
        <v>15</v>
      </c>
      <c r="P62" s="43">
        <v>15</v>
      </c>
      <c r="Q62" s="42"/>
      <c r="R62" s="42"/>
      <c r="S62" s="42"/>
      <c r="T62" s="20">
        <f t="shared" si="1"/>
        <v>15</v>
      </c>
      <c r="U62" s="19">
        <f t="shared" si="11"/>
        <v>15</v>
      </c>
      <c r="V62" s="22"/>
      <c r="W62" s="22"/>
      <c r="X62" s="22"/>
      <c r="Y62" s="54"/>
      <c r="Z62" s="21"/>
      <c r="AA62" s="20">
        <f t="shared" si="3"/>
        <v>0</v>
      </c>
      <c r="AB62" s="19">
        <f t="shared" si="4"/>
        <v>0</v>
      </c>
      <c r="AC62" s="16">
        <v>20</v>
      </c>
      <c r="AD62" s="18"/>
      <c r="AE62" s="17"/>
      <c r="AF62" s="23">
        <f t="shared" si="10"/>
        <v>15</v>
      </c>
      <c r="AG62" s="16">
        <v>45</v>
      </c>
      <c r="AH62" s="23">
        <f t="shared" si="5"/>
        <v>80</v>
      </c>
      <c r="AI62" s="14">
        <f t="shared" si="6"/>
        <v>0.93</v>
      </c>
      <c r="AJ62" s="13"/>
      <c r="AK62" s="12">
        <v>0.01</v>
      </c>
      <c r="AL62" s="11">
        <f t="shared" si="7"/>
        <v>1.01</v>
      </c>
      <c r="AM62" s="10">
        <f t="shared" si="8"/>
        <v>6206696000</v>
      </c>
      <c r="AN62" s="9"/>
      <c r="AO62" s="8"/>
      <c r="AP62" s="8"/>
      <c r="AQ62" s="8"/>
      <c r="AR62" s="8"/>
      <c r="AS62" s="7"/>
      <c r="AT62" s="6">
        <f t="shared" si="9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0"/>
        <v>1</v>
      </c>
      <c r="O63" s="44">
        <v>15</v>
      </c>
      <c r="P63" s="43">
        <v>15</v>
      </c>
      <c r="Q63" s="42"/>
      <c r="R63" s="42"/>
      <c r="S63" s="42"/>
      <c r="T63" s="20">
        <f t="shared" si="1"/>
        <v>15</v>
      </c>
      <c r="U63" s="19">
        <f t="shared" si="11"/>
        <v>15</v>
      </c>
      <c r="V63" s="52"/>
      <c r="W63" s="48"/>
      <c r="X63" s="41"/>
      <c r="Y63" s="41"/>
      <c r="Z63" s="21"/>
      <c r="AA63" s="20">
        <f t="shared" si="3"/>
        <v>0</v>
      </c>
      <c r="AB63" s="19">
        <f t="shared" si="4"/>
        <v>0</v>
      </c>
      <c r="AC63" s="16">
        <v>20</v>
      </c>
      <c r="AD63" s="18"/>
      <c r="AE63" s="17"/>
      <c r="AF63" s="23">
        <f t="shared" si="10"/>
        <v>15</v>
      </c>
      <c r="AG63" s="16">
        <v>45</v>
      </c>
      <c r="AH63" s="23">
        <f t="shared" si="5"/>
        <v>80</v>
      </c>
      <c r="AI63" s="14">
        <f t="shared" si="6"/>
        <v>0.93</v>
      </c>
      <c r="AJ63" s="13"/>
      <c r="AK63" s="12">
        <v>0.01</v>
      </c>
      <c r="AL63" s="11">
        <f t="shared" si="7"/>
        <v>1.01</v>
      </c>
      <c r="AM63" s="10">
        <f t="shared" si="8"/>
        <v>6206696000</v>
      </c>
      <c r="AN63" s="9"/>
      <c r="AO63" s="8"/>
      <c r="AP63" s="8"/>
      <c r="AQ63" s="8"/>
      <c r="AR63" s="8"/>
      <c r="AS63" s="7"/>
      <c r="AT63" s="6">
        <f t="shared" si="9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0"/>
        <v>1</v>
      </c>
      <c r="O64" s="44">
        <v>15</v>
      </c>
      <c r="P64" s="43">
        <v>15</v>
      </c>
      <c r="Q64" s="42"/>
      <c r="R64" s="42"/>
      <c r="S64" s="42"/>
      <c r="T64" s="20">
        <f t="shared" si="1"/>
        <v>15</v>
      </c>
      <c r="U64" s="19">
        <f t="shared" si="11"/>
        <v>15</v>
      </c>
      <c r="V64" s="52"/>
      <c r="W64" s="41"/>
      <c r="X64" s="48"/>
      <c r="Y64" s="48"/>
      <c r="Z64" s="21"/>
      <c r="AA64" s="20">
        <f t="shared" si="3"/>
        <v>0</v>
      </c>
      <c r="AB64" s="19">
        <f t="shared" si="4"/>
        <v>0</v>
      </c>
      <c r="AC64" s="16">
        <v>20</v>
      </c>
      <c r="AD64" s="18"/>
      <c r="AE64" s="17"/>
      <c r="AF64" s="23">
        <f t="shared" si="10"/>
        <v>15</v>
      </c>
      <c r="AG64" s="16">
        <v>45</v>
      </c>
      <c r="AH64" s="23">
        <f t="shared" si="5"/>
        <v>80</v>
      </c>
      <c r="AI64" s="14">
        <f t="shared" si="6"/>
        <v>0.93</v>
      </c>
      <c r="AJ64" s="13"/>
      <c r="AK64" s="12">
        <v>0.01</v>
      </c>
      <c r="AL64" s="11">
        <f t="shared" si="7"/>
        <v>1.01</v>
      </c>
      <c r="AM64" s="10">
        <f t="shared" si="8"/>
        <v>6206696000</v>
      </c>
      <c r="AN64" s="9"/>
      <c r="AO64" s="8"/>
      <c r="AP64" s="8"/>
      <c r="AQ64" s="8"/>
      <c r="AR64" s="8"/>
      <c r="AS64" s="7"/>
      <c r="AT64" s="6">
        <f t="shared" si="9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0"/>
        <v>1</v>
      </c>
      <c r="O65" s="44">
        <v>15</v>
      </c>
      <c r="P65" s="43">
        <v>15</v>
      </c>
      <c r="Q65" s="42"/>
      <c r="R65" s="42"/>
      <c r="S65" s="42"/>
      <c r="T65" s="20">
        <f t="shared" si="1"/>
        <v>15</v>
      </c>
      <c r="U65" s="19">
        <f t="shared" si="11"/>
        <v>15</v>
      </c>
      <c r="V65" s="22"/>
      <c r="W65" s="48"/>
      <c r="X65" s="41"/>
      <c r="Y65" s="48"/>
      <c r="Z65" s="21"/>
      <c r="AA65" s="20">
        <f t="shared" si="3"/>
        <v>0</v>
      </c>
      <c r="AB65" s="19">
        <f t="shared" si="4"/>
        <v>0</v>
      </c>
      <c r="AC65" s="16">
        <v>20</v>
      </c>
      <c r="AD65" s="18"/>
      <c r="AE65" s="17"/>
      <c r="AF65" s="23">
        <f t="shared" si="10"/>
        <v>15</v>
      </c>
      <c r="AG65" s="16">
        <v>45</v>
      </c>
      <c r="AH65" s="23">
        <f t="shared" si="5"/>
        <v>80</v>
      </c>
      <c r="AI65" s="14">
        <f t="shared" si="6"/>
        <v>0.93</v>
      </c>
      <c r="AJ65" s="13"/>
      <c r="AK65" s="12">
        <v>0.01</v>
      </c>
      <c r="AL65" s="11">
        <f t="shared" si="7"/>
        <v>1.01</v>
      </c>
      <c r="AM65" s="10">
        <f t="shared" si="8"/>
        <v>6206696000</v>
      </c>
      <c r="AN65" s="9"/>
      <c r="AO65" s="8"/>
      <c r="AP65" s="8"/>
      <c r="AQ65" s="8"/>
      <c r="AR65" s="8"/>
      <c r="AS65" s="7"/>
      <c r="AT65" s="6">
        <f t="shared" si="9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0"/>
        <v>1</v>
      </c>
      <c r="O66" s="44">
        <v>15</v>
      </c>
      <c r="P66" s="43">
        <v>15</v>
      </c>
      <c r="Q66" s="42"/>
      <c r="R66" s="42"/>
      <c r="S66" s="42"/>
      <c r="T66" s="20">
        <f t="shared" si="1"/>
        <v>15</v>
      </c>
      <c r="U66" s="19">
        <f t="shared" si="11"/>
        <v>15</v>
      </c>
      <c r="V66" s="22"/>
      <c r="W66" s="41"/>
      <c r="X66" s="22"/>
      <c r="Y66" s="48"/>
      <c r="Z66" s="21"/>
      <c r="AA66" s="20">
        <f t="shared" si="3"/>
        <v>0</v>
      </c>
      <c r="AB66" s="19">
        <f t="shared" si="4"/>
        <v>0</v>
      </c>
      <c r="AC66" s="16">
        <v>20</v>
      </c>
      <c r="AD66" s="18"/>
      <c r="AE66" s="17"/>
      <c r="AF66" s="23">
        <f t="shared" si="10"/>
        <v>15</v>
      </c>
      <c r="AG66" s="16">
        <v>45</v>
      </c>
      <c r="AH66" s="23">
        <f t="shared" si="5"/>
        <v>80</v>
      </c>
      <c r="AI66" s="14">
        <f t="shared" si="6"/>
        <v>0.93</v>
      </c>
      <c r="AJ66" s="13"/>
      <c r="AK66" s="12">
        <v>0.01</v>
      </c>
      <c r="AL66" s="11">
        <f t="shared" si="7"/>
        <v>1.01</v>
      </c>
      <c r="AM66" s="10">
        <f t="shared" si="8"/>
        <v>6206696000</v>
      </c>
      <c r="AN66" s="9"/>
      <c r="AO66" s="8"/>
      <c r="AP66" s="8"/>
      <c r="AQ66" s="8"/>
      <c r="AR66" s="8"/>
      <c r="AS66" s="7"/>
      <c r="AT66" s="6">
        <f t="shared" si="9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0"/>
        <v>1</v>
      </c>
      <c r="O67" s="25">
        <v>15</v>
      </c>
      <c r="P67" s="23">
        <v>15</v>
      </c>
      <c r="Q67" s="24"/>
      <c r="R67" s="24"/>
      <c r="S67" s="23"/>
      <c r="T67" s="20">
        <f t="shared" si="1"/>
        <v>15</v>
      </c>
      <c r="U67" s="19">
        <f t="shared" si="11"/>
        <v>15</v>
      </c>
      <c r="V67" s="22"/>
      <c r="W67" s="22"/>
      <c r="X67" s="22"/>
      <c r="Y67" s="22"/>
      <c r="Z67" s="21"/>
      <c r="AA67" s="20">
        <f t="shared" si="3"/>
        <v>0</v>
      </c>
      <c r="AB67" s="19">
        <f t="shared" si="4"/>
        <v>0</v>
      </c>
      <c r="AC67" s="16">
        <v>20</v>
      </c>
      <c r="AD67" s="18"/>
      <c r="AE67" s="17"/>
      <c r="AF67" s="23">
        <f t="shared" si="10"/>
        <v>15</v>
      </c>
      <c r="AG67" s="16">
        <v>45</v>
      </c>
      <c r="AH67" s="23">
        <f t="shared" si="5"/>
        <v>80</v>
      </c>
      <c r="AI67" s="14">
        <f t="shared" si="6"/>
        <v>0.93</v>
      </c>
      <c r="AJ67" s="13"/>
      <c r="AK67" s="12">
        <v>0.01</v>
      </c>
      <c r="AL67" s="11">
        <f t="shared" si="7"/>
        <v>1.01</v>
      </c>
      <c r="AM67" s="10">
        <f t="shared" si="8"/>
        <v>6206696000</v>
      </c>
      <c r="AN67" s="9"/>
      <c r="AO67" s="8"/>
      <c r="AP67" s="8"/>
      <c r="AQ67" s="8"/>
      <c r="AR67" s="8"/>
      <c r="AS67" s="7"/>
      <c r="AT67" s="6">
        <f t="shared" si="9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0"/>
        <v>1</v>
      </c>
      <c r="O68" s="44">
        <v>15</v>
      </c>
      <c r="P68" s="43">
        <v>15</v>
      </c>
      <c r="Q68" s="42"/>
      <c r="R68" s="42"/>
      <c r="S68" s="42"/>
      <c r="T68" s="20">
        <f t="shared" si="1"/>
        <v>15</v>
      </c>
      <c r="U68" s="19">
        <f t="shared" si="11"/>
        <v>15</v>
      </c>
      <c r="V68" s="22"/>
      <c r="W68" s="41"/>
      <c r="X68" s="41"/>
      <c r="Y68" s="40"/>
      <c r="Z68" s="21"/>
      <c r="AA68" s="20">
        <f t="shared" si="3"/>
        <v>0</v>
      </c>
      <c r="AB68" s="19">
        <f t="shared" si="4"/>
        <v>0</v>
      </c>
      <c r="AC68" s="16">
        <v>20</v>
      </c>
      <c r="AD68" s="18"/>
      <c r="AE68" s="17"/>
      <c r="AF68" s="23">
        <f t="shared" si="10"/>
        <v>15</v>
      </c>
      <c r="AG68" s="16">
        <v>45</v>
      </c>
      <c r="AH68" s="23">
        <f t="shared" si="5"/>
        <v>80</v>
      </c>
      <c r="AI68" s="14">
        <f t="shared" si="6"/>
        <v>0.93</v>
      </c>
      <c r="AJ68" s="13"/>
      <c r="AK68" s="12">
        <v>0.01</v>
      </c>
      <c r="AL68" s="11">
        <f t="shared" si="7"/>
        <v>1.01</v>
      </c>
      <c r="AM68" s="10">
        <f t="shared" si="8"/>
        <v>6206696000</v>
      </c>
      <c r="AN68" s="9"/>
      <c r="AO68" s="8"/>
      <c r="AP68" s="8"/>
      <c r="AQ68" s="8"/>
      <c r="AR68" s="8"/>
      <c r="AS68" s="7"/>
      <c r="AT68" s="6">
        <f t="shared" si="9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32" si="12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32" si="13">ROUND(((O69*I69)+(P69*J69)+(Q69*K69)+(R69*L69)+(S69*M69)),2)</f>
        <v>15</v>
      </c>
      <c r="U69" s="19">
        <f t="shared" si="11"/>
        <v>15</v>
      </c>
      <c r="V69" s="22"/>
      <c r="W69" s="22"/>
      <c r="X69" s="22"/>
      <c r="Y69" s="22"/>
      <c r="Z69" s="21"/>
      <c r="AA69" s="20">
        <f t="shared" ref="AA69:AA132" si="14">ROUND((((V69*I69)+(W69*J69)+(X69*K69)+(Y69*L69)+(Z69*M69))/$I$2*15),2)</f>
        <v>0</v>
      </c>
      <c r="AB69" s="19">
        <f t="shared" ref="AB69:AB132" si="15">IF(AA69&gt;=15,15,AA69)</f>
        <v>0</v>
      </c>
      <c r="AC69" s="16">
        <v>20</v>
      </c>
      <c r="AD69" s="18"/>
      <c r="AE69" s="17"/>
      <c r="AF69" s="23">
        <f t="shared" si="10"/>
        <v>15</v>
      </c>
      <c r="AG69" s="16">
        <v>45</v>
      </c>
      <c r="AH69" s="23">
        <f t="shared" ref="AH69:AH132" si="16">AC69+AF69+AG69+AE69</f>
        <v>80</v>
      </c>
      <c r="AI69" s="14">
        <f t="shared" ref="AI69:AI132" si="17">-((50-((176+(45+(30-AF69)))))/200)</f>
        <v>0.93</v>
      </c>
      <c r="AJ69" s="13"/>
      <c r="AK69" s="12">
        <v>0.01</v>
      </c>
      <c r="AL69" s="11">
        <f t="shared" ref="AL69:AL132" si="18">100%+AK69</f>
        <v>1.01</v>
      </c>
      <c r="AM69" s="10">
        <f t="shared" ref="AM69:AM132" si="19">ROUNDUP($D$2*AI69*AL69,-3)</f>
        <v>6206696000</v>
      </c>
      <c r="AN69" s="9"/>
      <c r="AO69" s="8"/>
      <c r="AP69" s="8"/>
      <c r="AQ69" s="8"/>
      <c r="AR69" s="8"/>
      <c r="AS69" s="7"/>
      <c r="AT69" s="6">
        <f t="shared" ref="AT69:AT132" si="20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12"/>
        <v>1</v>
      </c>
      <c r="O70" s="25">
        <v>15</v>
      </c>
      <c r="P70" s="23">
        <v>15</v>
      </c>
      <c r="Q70" s="24"/>
      <c r="R70" s="24"/>
      <c r="S70" s="23"/>
      <c r="T70" s="20">
        <f t="shared" si="13"/>
        <v>15</v>
      </c>
      <c r="U70" s="19">
        <f t="shared" si="11"/>
        <v>15</v>
      </c>
      <c r="V70" s="22"/>
      <c r="W70" s="22"/>
      <c r="X70" s="22"/>
      <c r="Y70" s="22"/>
      <c r="Z70" s="21"/>
      <c r="AA70" s="20">
        <f t="shared" si="14"/>
        <v>0</v>
      </c>
      <c r="AB70" s="19">
        <f t="shared" si="15"/>
        <v>0</v>
      </c>
      <c r="AC70" s="16">
        <v>20</v>
      </c>
      <c r="AD70" s="18"/>
      <c r="AE70" s="17"/>
      <c r="AF70" s="23">
        <f t="shared" si="10"/>
        <v>15</v>
      </c>
      <c r="AG70" s="16">
        <v>45</v>
      </c>
      <c r="AH70" s="23">
        <f t="shared" si="16"/>
        <v>80</v>
      </c>
      <c r="AI70" s="14">
        <f t="shared" si="17"/>
        <v>0.93</v>
      </c>
      <c r="AJ70" s="13"/>
      <c r="AK70" s="12">
        <v>0.01</v>
      </c>
      <c r="AL70" s="11">
        <f t="shared" si="18"/>
        <v>1.01</v>
      </c>
      <c r="AM70" s="10">
        <f t="shared" si="19"/>
        <v>6206696000</v>
      </c>
      <c r="AN70" s="9"/>
      <c r="AO70" s="8"/>
      <c r="AP70" s="8"/>
      <c r="AQ70" s="8"/>
      <c r="AR70" s="8"/>
      <c r="AS70" s="7"/>
      <c r="AT70" s="6">
        <f t="shared" si="20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12"/>
        <v>1</v>
      </c>
      <c r="O71" s="25">
        <v>15</v>
      </c>
      <c r="P71" s="23">
        <v>15</v>
      </c>
      <c r="Q71" s="24"/>
      <c r="R71" s="24"/>
      <c r="S71" s="23"/>
      <c r="T71" s="20">
        <f t="shared" si="13"/>
        <v>15</v>
      </c>
      <c r="U71" s="19">
        <f t="shared" si="11"/>
        <v>15</v>
      </c>
      <c r="V71" s="22"/>
      <c r="W71" s="22"/>
      <c r="X71" s="22"/>
      <c r="Y71" s="22"/>
      <c r="Z71" s="21"/>
      <c r="AA71" s="20">
        <f t="shared" si="14"/>
        <v>0</v>
      </c>
      <c r="AB71" s="19">
        <f t="shared" si="15"/>
        <v>0</v>
      </c>
      <c r="AC71" s="16">
        <v>20</v>
      </c>
      <c r="AD71" s="18"/>
      <c r="AE71" s="17"/>
      <c r="AF71" s="23">
        <f t="shared" ref="AF71:AF134" si="21">IF((U71+AB71+AD71)&gt;=30,30,(U71+AB71+AD71))</f>
        <v>15</v>
      </c>
      <c r="AG71" s="16">
        <v>45</v>
      </c>
      <c r="AH71" s="23">
        <f t="shared" si="16"/>
        <v>80</v>
      </c>
      <c r="AI71" s="14">
        <f t="shared" si="17"/>
        <v>0.93</v>
      </c>
      <c r="AJ71" s="13"/>
      <c r="AK71" s="12">
        <v>0.01</v>
      </c>
      <c r="AL71" s="11">
        <f t="shared" si="18"/>
        <v>1.01</v>
      </c>
      <c r="AM71" s="10">
        <f t="shared" si="19"/>
        <v>6206696000</v>
      </c>
      <c r="AN71" s="9"/>
      <c r="AO71" s="8"/>
      <c r="AP71" s="8"/>
      <c r="AQ71" s="8"/>
      <c r="AR71" s="8"/>
      <c r="AS71" s="7"/>
      <c r="AT71" s="6">
        <f t="shared" si="20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12"/>
        <v>1</v>
      </c>
      <c r="O72" s="25">
        <v>15</v>
      </c>
      <c r="P72" s="23">
        <v>15</v>
      </c>
      <c r="Q72" s="24"/>
      <c r="R72" s="24"/>
      <c r="S72" s="23"/>
      <c r="T72" s="20">
        <f t="shared" si="13"/>
        <v>15</v>
      </c>
      <c r="U72" s="19">
        <f t="shared" si="11"/>
        <v>15</v>
      </c>
      <c r="V72" s="22"/>
      <c r="W72" s="22"/>
      <c r="X72" s="22"/>
      <c r="Y72" s="22"/>
      <c r="Z72" s="21"/>
      <c r="AA72" s="20">
        <f t="shared" si="14"/>
        <v>0</v>
      </c>
      <c r="AB72" s="19">
        <f t="shared" si="15"/>
        <v>0</v>
      </c>
      <c r="AC72" s="16">
        <v>20</v>
      </c>
      <c r="AD72" s="18"/>
      <c r="AE72" s="17"/>
      <c r="AF72" s="23">
        <f t="shared" si="21"/>
        <v>15</v>
      </c>
      <c r="AG72" s="16">
        <v>45</v>
      </c>
      <c r="AH72" s="23">
        <f t="shared" si="16"/>
        <v>80</v>
      </c>
      <c r="AI72" s="14">
        <f t="shared" si="17"/>
        <v>0.93</v>
      </c>
      <c r="AJ72" s="13"/>
      <c r="AK72" s="12">
        <v>0.01</v>
      </c>
      <c r="AL72" s="11">
        <f t="shared" si="18"/>
        <v>1.01</v>
      </c>
      <c r="AM72" s="10">
        <f t="shared" si="19"/>
        <v>6206696000</v>
      </c>
      <c r="AN72" s="9"/>
      <c r="AO72" s="8"/>
      <c r="AP72" s="8"/>
      <c r="AQ72" s="8"/>
      <c r="AR72" s="8"/>
      <c r="AS72" s="7"/>
      <c r="AT72" s="6">
        <f t="shared" si="20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12"/>
        <v>1</v>
      </c>
      <c r="O73" s="25">
        <v>15</v>
      </c>
      <c r="P73" s="23">
        <v>15</v>
      </c>
      <c r="Q73" s="24"/>
      <c r="R73" s="24"/>
      <c r="S73" s="23"/>
      <c r="T73" s="20">
        <f t="shared" si="13"/>
        <v>15</v>
      </c>
      <c r="U73" s="19">
        <f t="shared" si="11"/>
        <v>15</v>
      </c>
      <c r="V73" s="22"/>
      <c r="W73" s="22"/>
      <c r="X73" s="22"/>
      <c r="Y73" s="22"/>
      <c r="Z73" s="21"/>
      <c r="AA73" s="20">
        <f t="shared" si="14"/>
        <v>0</v>
      </c>
      <c r="AB73" s="19">
        <f t="shared" si="15"/>
        <v>0</v>
      </c>
      <c r="AC73" s="16">
        <v>20</v>
      </c>
      <c r="AD73" s="18"/>
      <c r="AE73" s="17"/>
      <c r="AF73" s="23">
        <f t="shared" si="21"/>
        <v>15</v>
      </c>
      <c r="AG73" s="16">
        <v>45</v>
      </c>
      <c r="AH73" s="23">
        <f t="shared" si="16"/>
        <v>80</v>
      </c>
      <c r="AI73" s="14">
        <f t="shared" si="17"/>
        <v>0.93</v>
      </c>
      <c r="AJ73" s="13"/>
      <c r="AK73" s="12">
        <v>0.01</v>
      </c>
      <c r="AL73" s="11">
        <f t="shared" si="18"/>
        <v>1.01</v>
      </c>
      <c r="AM73" s="10">
        <f t="shared" si="19"/>
        <v>6206696000</v>
      </c>
      <c r="AN73" s="9"/>
      <c r="AO73" s="8"/>
      <c r="AP73" s="8"/>
      <c r="AQ73" s="8"/>
      <c r="AR73" s="8"/>
      <c r="AS73" s="7"/>
      <c r="AT73" s="6">
        <f t="shared" si="20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12"/>
        <v>1</v>
      </c>
      <c r="O74" s="25">
        <v>15</v>
      </c>
      <c r="P74" s="23">
        <v>15</v>
      </c>
      <c r="Q74" s="24"/>
      <c r="R74" s="24"/>
      <c r="S74" s="23"/>
      <c r="T74" s="20">
        <f t="shared" si="13"/>
        <v>15</v>
      </c>
      <c r="U74" s="19">
        <f t="shared" si="11"/>
        <v>15</v>
      </c>
      <c r="V74" s="22"/>
      <c r="W74" s="22"/>
      <c r="X74" s="22"/>
      <c r="Y74" s="22"/>
      <c r="Z74" s="21"/>
      <c r="AA74" s="20">
        <f t="shared" si="14"/>
        <v>0</v>
      </c>
      <c r="AB74" s="19">
        <f t="shared" si="15"/>
        <v>0</v>
      </c>
      <c r="AC74" s="16">
        <v>20</v>
      </c>
      <c r="AD74" s="18"/>
      <c r="AE74" s="17"/>
      <c r="AF74" s="23">
        <f t="shared" si="21"/>
        <v>15</v>
      </c>
      <c r="AG74" s="16">
        <v>45</v>
      </c>
      <c r="AH74" s="23">
        <f t="shared" si="16"/>
        <v>80</v>
      </c>
      <c r="AI74" s="14">
        <f t="shared" si="17"/>
        <v>0.93</v>
      </c>
      <c r="AJ74" s="13"/>
      <c r="AK74" s="12">
        <v>0.01</v>
      </c>
      <c r="AL74" s="11">
        <f t="shared" si="18"/>
        <v>1.01</v>
      </c>
      <c r="AM74" s="10">
        <f t="shared" si="19"/>
        <v>6206696000</v>
      </c>
      <c r="AN74" s="9"/>
      <c r="AO74" s="8"/>
      <c r="AP74" s="8"/>
      <c r="AQ74" s="8"/>
      <c r="AR74" s="8"/>
      <c r="AS74" s="7"/>
      <c r="AT74" s="6">
        <f t="shared" si="20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12"/>
        <v>1</v>
      </c>
      <c r="O75" s="25">
        <v>15</v>
      </c>
      <c r="P75" s="23">
        <v>15</v>
      </c>
      <c r="Q75" s="24"/>
      <c r="R75" s="24"/>
      <c r="S75" s="23"/>
      <c r="T75" s="20">
        <f t="shared" si="13"/>
        <v>15</v>
      </c>
      <c r="U75" s="19">
        <f t="shared" si="11"/>
        <v>15</v>
      </c>
      <c r="V75" s="22"/>
      <c r="W75" s="22"/>
      <c r="X75" s="22"/>
      <c r="Y75" s="22"/>
      <c r="Z75" s="21"/>
      <c r="AA75" s="20">
        <f t="shared" si="14"/>
        <v>0</v>
      </c>
      <c r="AB75" s="19">
        <f t="shared" si="15"/>
        <v>0</v>
      </c>
      <c r="AC75" s="16">
        <v>20</v>
      </c>
      <c r="AD75" s="18"/>
      <c r="AE75" s="17"/>
      <c r="AF75" s="23">
        <f t="shared" si="21"/>
        <v>15</v>
      </c>
      <c r="AG75" s="16">
        <v>45</v>
      </c>
      <c r="AH75" s="23">
        <f t="shared" si="16"/>
        <v>80</v>
      </c>
      <c r="AI75" s="14">
        <f t="shared" si="17"/>
        <v>0.93</v>
      </c>
      <c r="AJ75" s="13"/>
      <c r="AK75" s="12">
        <v>0.01</v>
      </c>
      <c r="AL75" s="11">
        <f t="shared" si="18"/>
        <v>1.01</v>
      </c>
      <c r="AM75" s="10">
        <f t="shared" si="19"/>
        <v>6206696000</v>
      </c>
      <c r="AN75" s="9"/>
      <c r="AO75" s="8"/>
      <c r="AP75" s="8"/>
      <c r="AQ75" s="8"/>
      <c r="AR75" s="8"/>
      <c r="AS75" s="7"/>
      <c r="AT75" s="6">
        <f t="shared" si="20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12"/>
        <v>1</v>
      </c>
      <c r="O76" s="25">
        <v>15</v>
      </c>
      <c r="P76" s="23">
        <v>15</v>
      </c>
      <c r="Q76" s="24"/>
      <c r="R76" s="24"/>
      <c r="S76" s="23"/>
      <c r="T76" s="20">
        <f t="shared" si="13"/>
        <v>15</v>
      </c>
      <c r="U76" s="19">
        <f t="shared" si="11"/>
        <v>15</v>
      </c>
      <c r="V76" s="22"/>
      <c r="W76" s="22"/>
      <c r="X76" s="22"/>
      <c r="Y76" s="22"/>
      <c r="Z76" s="21"/>
      <c r="AA76" s="20">
        <f t="shared" si="14"/>
        <v>0</v>
      </c>
      <c r="AB76" s="19">
        <f t="shared" si="15"/>
        <v>0</v>
      </c>
      <c r="AC76" s="16">
        <v>20</v>
      </c>
      <c r="AD76" s="18"/>
      <c r="AE76" s="17"/>
      <c r="AF76" s="23">
        <f t="shared" si="21"/>
        <v>15</v>
      </c>
      <c r="AG76" s="16">
        <v>45</v>
      </c>
      <c r="AH76" s="23">
        <f t="shared" si="16"/>
        <v>80</v>
      </c>
      <c r="AI76" s="14">
        <f t="shared" si="17"/>
        <v>0.93</v>
      </c>
      <c r="AJ76" s="13"/>
      <c r="AK76" s="12">
        <v>0.01</v>
      </c>
      <c r="AL76" s="11">
        <f t="shared" si="18"/>
        <v>1.01</v>
      </c>
      <c r="AM76" s="10">
        <f t="shared" si="19"/>
        <v>6206696000</v>
      </c>
      <c r="AN76" s="9"/>
      <c r="AO76" s="8"/>
      <c r="AP76" s="8"/>
      <c r="AQ76" s="8"/>
      <c r="AR76" s="8"/>
      <c r="AS76" s="7"/>
      <c r="AT76" s="6">
        <f t="shared" si="20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12"/>
        <v>1</v>
      </c>
      <c r="O77" s="25">
        <v>15</v>
      </c>
      <c r="P77" s="23">
        <v>15</v>
      </c>
      <c r="Q77" s="24"/>
      <c r="R77" s="24"/>
      <c r="S77" s="23"/>
      <c r="T77" s="20">
        <f t="shared" si="13"/>
        <v>15</v>
      </c>
      <c r="U77" s="19">
        <f t="shared" si="11"/>
        <v>15</v>
      </c>
      <c r="V77" s="22"/>
      <c r="W77" s="22"/>
      <c r="X77" s="22"/>
      <c r="Y77" s="22"/>
      <c r="Z77" s="21"/>
      <c r="AA77" s="20">
        <f t="shared" si="14"/>
        <v>0</v>
      </c>
      <c r="AB77" s="19">
        <f t="shared" si="15"/>
        <v>0</v>
      </c>
      <c r="AC77" s="16">
        <v>20</v>
      </c>
      <c r="AD77" s="18"/>
      <c r="AE77" s="17"/>
      <c r="AF77" s="23">
        <f t="shared" si="21"/>
        <v>15</v>
      </c>
      <c r="AG77" s="16">
        <v>45</v>
      </c>
      <c r="AH77" s="23">
        <f t="shared" si="16"/>
        <v>80</v>
      </c>
      <c r="AI77" s="14">
        <f t="shared" si="17"/>
        <v>0.93</v>
      </c>
      <c r="AJ77" s="13"/>
      <c r="AK77" s="12">
        <v>0.01</v>
      </c>
      <c r="AL77" s="11">
        <f t="shared" si="18"/>
        <v>1.01</v>
      </c>
      <c r="AM77" s="10">
        <f t="shared" si="19"/>
        <v>6206696000</v>
      </c>
      <c r="AN77" s="9"/>
      <c r="AO77" s="8"/>
      <c r="AP77" s="8"/>
      <c r="AQ77" s="8"/>
      <c r="AR77" s="8"/>
      <c r="AS77" s="7"/>
      <c r="AT77" s="6">
        <f t="shared" si="20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12"/>
        <v>1</v>
      </c>
      <c r="O78" s="25">
        <v>15</v>
      </c>
      <c r="P78" s="23">
        <v>15</v>
      </c>
      <c r="Q78" s="24"/>
      <c r="R78" s="24"/>
      <c r="S78" s="23"/>
      <c r="T78" s="20">
        <f t="shared" si="13"/>
        <v>15</v>
      </c>
      <c r="U78" s="19">
        <f t="shared" si="11"/>
        <v>15</v>
      </c>
      <c r="V78" s="22"/>
      <c r="W78" s="22"/>
      <c r="X78" s="22"/>
      <c r="Y78" s="22"/>
      <c r="Z78" s="21"/>
      <c r="AA78" s="20">
        <f t="shared" si="14"/>
        <v>0</v>
      </c>
      <c r="AB78" s="19">
        <f t="shared" si="15"/>
        <v>0</v>
      </c>
      <c r="AC78" s="16">
        <v>20</v>
      </c>
      <c r="AD78" s="18"/>
      <c r="AE78" s="17"/>
      <c r="AF78" s="23">
        <f t="shared" si="21"/>
        <v>15</v>
      </c>
      <c r="AG78" s="16">
        <v>45</v>
      </c>
      <c r="AH78" s="23">
        <f t="shared" si="16"/>
        <v>80</v>
      </c>
      <c r="AI78" s="14">
        <f t="shared" si="17"/>
        <v>0.93</v>
      </c>
      <c r="AJ78" s="13"/>
      <c r="AK78" s="12">
        <v>0.01</v>
      </c>
      <c r="AL78" s="11">
        <f t="shared" si="18"/>
        <v>1.01</v>
      </c>
      <c r="AM78" s="10">
        <f t="shared" si="19"/>
        <v>6206696000</v>
      </c>
      <c r="AN78" s="9"/>
      <c r="AO78" s="8"/>
      <c r="AP78" s="8"/>
      <c r="AQ78" s="8"/>
      <c r="AR78" s="8"/>
      <c r="AS78" s="7"/>
      <c r="AT78" s="6">
        <f t="shared" si="20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12"/>
        <v>1</v>
      </c>
      <c r="O79" s="25">
        <v>15</v>
      </c>
      <c r="P79" s="23">
        <v>15</v>
      </c>
      <c r="Q79" s="24"/>
      <c r="R79" s="24"/>
      <c r="S79" s="23"/>
      <c r="T79" s="20">
        <f t="shared" si="13"/>
        <v>15</v>
      </c>
      <c r="U79" s="19">
        <f t="shared" si="11"/>
        <v>15</v>
      </c>
      <c r="V79" s="22"/>
      <c r="W79" s="22"/>
      <c r="X79" s="22"/>
      <c r="Y79" s="22"/>
      <c r="Z79" s="21"/>
      <c r="AA79" s="20">
        <f t="shared" si="14"/>
        <v>0</v>
      </c>
      <c r="AB79" s="19">
        <f t="shared" si="15"/>
        <v>0</v>
      </c>
      <c r="AC79" s="16">
        <v>20</v>
      </c>
      <c r="AD79" s="18"/>
      <c r="AE79" s="17"/>
      <c r="AF79" s="23">
        <f t="shared" si="21"/>
        <v>15</v>
      </c>
      <c r="AG79" s="16">
        <v>45</v>
      </c>
      <c r="AH79" s="23">
        <f t="shared" si="16"/>
        <v>80</v>
      </c>
      <c r="AI79" s="14">
        <f t="shared" si="17"/>
        <v>0.93</v>
      </c>
      <c r="AJ79" s="13"/>
      <c r="AK79" s="12">
        <v>0.01</v>
      </c>
      <c r="AL79" s="11">
        <f t="shared" si="18"/>
        <v>1.01</v>
      </c>
      <c r="AM79" s="10">
        <f t="shared" si="19"/>
        <v>6206696000</v>
      </c>
      <c r="AN79" s="9"/>
      <c r="AO79" s="8"/>
      <c r="AP79" s="8"/>
      <c r="AQ79" s="8"/>
      <c r="AR79" s="8"/>
      <c r="AS79" s="7"/>
      <c r="AT79" s="6">
        <f t="shared" si="20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12"/>
        <v>1</v>
      </c>
      <c r="O80" s="25">
        <v>15</v>
      </c>
      <c r="P80" s="23">
        <v>15</v>
      </c>
      <c r="Q80" s="24"/>
      <c r="R80" s="24"/>
      <c r="S80" s="23"/>
      <c r="T80" s="20">
        <f t="shared" si="13"/>
        <v>15</v>
      </c>
      <c r="U80" s="19">
        <f t="shared" si="11"/>
        <v>15</v>
      </c>
      <c r="V80" s="22"/>
      <c r="W80" s="22"/>
      <c r="X80" s="22"/>
      <c r="Y80" s="22"/>
      <c r="Z80" s="21"/>
      <c r="AA80" s="20">
        <f t="shared" si="14"/>
        <v>0</v>
      </c>
      <c r="AB80" s="19">
        <f t="shared" si="15"/>
        <v>0</v>
      </c>
      <c r="AC80" s="16">
        <v>20</v>
      </c>
      <c r="AD80" s="18"/>
      <c r="AE80" s="17"/>
      <c r="AF80" s="23">
        <f t="shared" si="21"/>
        <v>15</v>
      </c>
      <c r="AG80" s="16">
        <v>45</v>
      </c>
      <c r="AH80" s="23">
        <f t="shared" si="16"/>
        <v>80</v>
      </c>
      <c r="AI80" s="14">
        <f t="shared" si="17"/>
        <v>0.93</v>
      </c>
      <c r="AJ80" s="13"/>
      <c r="AK80" s="12">
        <v>0.01</v>
      </c>
      <c r="AL80" s="11">
        <f t="shared" si="18"/>
        <v>1.01</v>
      </c>
      <c r="AM80" s="10">
        <f t="shared" si="19"/>
        <v>6206696000</v>
      </c>
      <c r="AN80" s="9"/>
      <c r="AO80" s="8"/>
      <c r="AP80" s="8"/>
      <c r="AQ80" s="8"/>
      <c r="AR80" s="8"/>
      <c r="AS80" s="7"/>
      <c r="AT80" s="6">
        <f t="shared" si="20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12"/>
        <v>1</v>
      </c>
      <c r="O81" s="25">
        <v>15</v>
      </c>
      <c r="P81" s="23">
        <v>15</v>
      </c>
      <c r="Q81" s="24"/>
      <c r="R81" s="24"/>
      <c r="S81" s="23"/>
      <c r="T81" s="20">
        <f t="shared" si="13"/>
        <v>15</v>
      </c>
      <c r="U81" s="19">
        <f t="shared" si="11"/>
        <v>15</v>
      </c>
      <c r="V81" s="22"/>
      <c r="W81" s="22"/>
      <c r="X81" s="22"/>
      <c r="Y81" s="22"/>
      <c r="Z81" s="21"/>
      <c r="AA81" s="20">
        <f t="shared" si="14"/>
        <v>0</v>
      </c>
      <c r="AB81" s="19">
        <f t="shared" si="15"/>
        <v>0</v>
      </c>
      <c r="AC81" s="16">
        <v>20</v>
      </c>
      <c r="AD81" s="18"/>
      <c r="AE81" s="17"/>
      <c r="AF81" s="23">
        <f t="shared" si="21"/>
        <v>15</v>
      </c>
      <c r="AG81" s="16">
        <v>45</v>
      </c>
      <c r="AH81" s="23">
        <f t="shared" si="16"/>
        <v>80</v>
      </c>
      <c r="AI81" s="14">
        <f t="shared" si="17"/>
        <v>0.93</v>
      </c>
      <c r="AJ81" s="13"/>
      <c r="AK81" s="12">
        <v>0.01</v>
      </c>
      <c r="AL81" s="11">
        <f t="shared" si="18"/>
        <v>1.01</v>
      </c>
      <c r="AM81" s="10">
        <f t="shared" si="19"/>
        <v>6206696000</v>
      </c>
      <c r="AN81" s="9"/>
      <c r="AO81" s="8"/>
      <c r="AP81" s="8"/>
      <c r="AQ81" s="8"/>
      <c r="AR81" s="8"/>
      <c r="AS81" s="7"/>
      <c r="AT81" s="6">
        <f t="shared" si="20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12"/>
        <v>1</v>
      </c>
      <c r="O82" s="25">
        <v>15</v>
      </c>
      <c r="P82" s="23">
        <v>15</v>
      </c>
      <c r="Q82" s="24"/>
      <c r="R82" s="24"/>
      <c r="S82" s="23"/>
      <c r="T82" s="20">
        <f t="shared" si="13"/>
        <v>15</v>
      </c>
      <c r="U82" s="19">
        <f t="shared" si="11"/>
        <v>15</v>
      </c>
      <c r="V82" s="22"/>
      <c r="W82" s="22"/>
      <c r="X82" s="22"/>
      <c r="Y82" s="22"/>
      <c r="Z82" s="21"/>
      <c r="AA82" s="20">
        <f t="shared" si="14"/>
        <v>0</v>
      </c>
      <c r="AB82" s="19">
        <f t="shared" si="15"/>
        <v>0</v>
      </c>
      <c r="AC82" s="16">
        <v>20</v>
      </c>
      <c r="AD82" s="18"/>
      <c r="AE82" s="17"/>
      <c r="AF82" s="23">
        <f t="shared" si="21"/>
        <v>15</v>
      </c>
      <c r="AG82" s="16">
        <v>45</v>
      </c>
      <c r="AH82" s="23">
        <f t="shared" si="16"/>
        <v>80</v>
      </c>
      <c r="AI82" s="14">
        <f t="shared" si="17"/>
        <v>0.93</v>
      </c>
      <c r="AJ82" s="13"/>
      <c r="AK82" s="12">
        <v>0.01</v>
      </c>
      <c r="AL82" s="11">
        <f t="shared" si="18"/>
        <v>1.01</v>
      </c>
      <c r="AM82" s="10">
        <f t="shared" si="19"/>
        <v>6206696000</v>
      </c>
      <c r="AN82" s="9"/>
      <c r="AO82" s="8"/>
      <c r="AP82" s="8"/>
      <c r="AQ82" s="8"/>
      <c r="AR82" s="8"/>
      <c r="AS82" s="7"/>
      <c r="AT82" s="6">
        <f t="shared" si="20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12"/>
        <v>1</v>
      </c>
      <c r="O83" s="25">
        <v>15</v>
      </c>
      <c r="P83" s="23">
        <v>15</v>
      </c>
      <c r="Q83" s="24"/>
      <c r="R83" s="24"/>
      <c r="S83" s="23"/>
      <c r="T83" s="20">
        <f t="shared" si="13"/>
        <v>15</v>
      </c>
      <c r="U83" s="19">
        <f t="shared" si="11"/>
        <v>15</v>
      </c>
      <c r="V83" s="22"/>
      <c r="W83" s="22"/>
      <c r="X83" s="22"/>
      <c r="Y83" s="22"/>
      <c r="Z83" s="21"/>
      <c r="AA83" s="20">
        <f t="shared" si="14"/>
        <v>0</v>
      </c>
      <c r="AB83" s="19">
        <f t="shared" si="15"/>
        <v>0</v>
      </c>
      <c r="AC83" s="16">
        <v>20</v>
      </c>
      <c r="AD83" s="18"/>
      <c r="AE83" s="17"/>
      <c r="AF83" s="23">
        <f t="shared" si="21"/>
        <v>15</v>
      </c>
      <c r="AG83" s="16">
        <v>45</v>
      </c>
      <c r="AH83" s="23">
        <f t="shared" si="16"/>
        <v>80</v>
      </c>
      <c r="AI83" s="14">
        <f t="shared" si="17"/>
        <v>0.93</v>
      </c>
      <c r="AJ83" s="13"/>
      <c r="AK83" s="12">
        <v>0.01</v>
      </c>
      <c r="AL83" s="11">
        <f t="shared" si="18"/>
        <v>1.01</v>
      </c>
      <c r="AM83" s="10">
        <f t="shared" si="19"/>
        <v>6206696000</v>
      </c>
      <c r="AN83" s="9"/>
      <c r="AO83" s="8"/>
      <c r="AP83" s="8"/>
      <c r="AQ83" s="8"/>
      <c r="AR83" s="8"/>
      <c r="AS83" s="7"/>
      <c r="AT83" s="6">
        <f t="shared" si="20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12"/>
        <v>1</v>
      </c>
      <c r="O84" s="25">
        <v>15</v>
      </c>
      <c r="P84" s="23">
        <v>15</v>
      </c>
      <c r="Q84" s="24"/>
      <c r="R84" s="24"/>
      <c r="S84" s="23"/>
      <c r="T84" s="20">
        <f t="shared" si="13"/>
        <v>15</v>
      </c>
      <c r="U84" s="19">
        <f t="shared" si="11"/>
        <v>15</v>
      </c>
      <c r="V84" s="22"/>
      <c r="W84" s="22"/>
      <c r="X84" s="22"/>
      <c r="Y84" s="22"/>
      <c r="Z84" s="21"/>
      <c r="AA84" s="20">
        <f t="shared" si="14"/>
        <v>0</v>
      </c>
      <c r="AB84" s="19">
        <f t="shared" si="15"/>
        <v>0</v>
      </c>
      <c r="AC84" s="16">
        <v>20</v>
      </c>
      <c r="AD84" s="18"/>
      <c r="AE84" s="17"/>
      <c r="AF84" s="23">
        <f t="shared" si="21"/>
        <v>15</v>
      </c>
      <c r="AG84" s="16">
        <v>45</v>
      </c>
      <c r="AH84" s="23">
        <f t="shared" si="16"/>
        <v>80</v>
      </c>
      <c r="AI84" s="14">
        <f t="shared" si="17"/>
        <v>0.93</v>
      </c>
      <c r="AJ84" s="13"/>
      <c r="AK84" s="12">
        <v>0.01</v>
      </c>
      <c r="AL84" s="11">
        <f t="shared" si="18"/>
        <v>1.01</v>
      </c>
      <c r="AM84" s="10">
        <f t="shared" si="19"/>
        <v>6206696000</v>
      </c>
      <c r="AN84" s="9"/>
      <c r="AO84" s="8"/>
      <c r="AP84" s="8"/>
      <c r="AQ84" s="8"/>
      <c r="AR84" s="8"/>
      <c r="AS84" s="7"/>
      <c r="AT84" s="6">
        <f t="shared" si="20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12"/>
        <v>1</v>
      </c>
      <c r="O85" s="25">
        <v>15</v>
      </c>
      <c r="P85" s="23">
        <v>15</v>
      </c>
      <c r="Q85" s="24"/>
      <c r="R85" s="24"/>
      <c r="S85" s="23"/>
      <c r="T85" s="20">
        <f t="shared" si="13"/>
        <v>15</v>
      </c>
      <c r="U85" s="19">
        <f t="shared" si="11"/>
        <v>15</v>
      </c>
      <c r="V85" s="22"/>
      <c r="W85" s="22"/>
      <c r="X85" s="22"/>
      <c r="Y85" s="22"/>
      <c r="Z85" s="21"/>
      <c r="AA85" s="20">
        <f t="shared" si="14"/>
        <v>0</v>
      </c>
      <c r="AB85" s="19">
        <f t="shared" si="15"/>
        <v>0</v>
      </c>
      <c r="AC85" s="16">
        <v>20</v>
      </c>
      <c r="AD85" s="18"/>
      <c r="AE85" s="17"/>
      <c r="AF85" s="23">
        <f t="shared" si="21"/>
        <v>15</v>
      </c>
      <c r="AG85" s="16">
        <v>45</v>
      </c>
      <c r="AH85" s="23">
        <f t="shared" si="16"/>
        <v>80</v>
      </c>
      <c r="AI85" s="14">
        <f t="shared" si="17"/>
        <v>0.93</v>
      </c>
      <c r="AJ85" s="13"/>
      <c r="AK85" s="12">
        <v>0.01</v>
      </c>
      <c r="AL85" s="11">
        <f t="shared" si="18"/>
        <v>1.01</v>
      </c>
      <c r="AM85" s="10">
        <f t="shared" si="19"/>
        <v>6206696000</v>
      </c>
      <c r="AN85" s="9"/>
      <c r="AO85" s="8"/>
      <c r="AP85" s="8"/>
      <c r="AQ85" s="8"/>
      <c r="AR85" s="8"/>
      <c r="AS85" s="7"/>
      <c r="AT85" s="6">
        <f t="shared" si="20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12"/>
        <v>1</v>
      </c>
      <c r="O86" s="25">
        <v>15</v>
      </c>
      <c r="P86" s="23">
        <v>15</v>
      </c>
      <c r="Q86" s="24"/>
      <c r="R86" s="24"/>
      <c r="S86" s="23"/>
      <c r="T86" s="20">
        <f t="shared" si="13"/>
        <v>15</v>
      </c>
      <c r="U86" s="19">
        <f t="shared" si="11"/>
        <v>15</v>
      </c>
      <c r="V86" s="22"/>
      <c r="W86" s="22"/>
      <c r="X86" s="22"/>
      <c r="Y86" s="22"/>
      <c r="Z86" s="21"/>
      <c r="AA86" s="20">
        <f t="shared" si="14"/>
        <v>0</v>
      </c>
      <c r="AB86" s="19">
        <f t="shared" si="15"/>
        <v>0</v>
      </c>
      <c r="AC86" s="16">
        <v>20</v>
      </c>
      <c r="AD86" s="18"/>
      <c r="AE86" s="17"/>
      <c r="AF86" s="23">
        <f t="shared" si="21"/>
        <v>15</v>
      </c>
      <c r="AG86" s="16">
        <v>45</v>
      </c>
      <c r="AH86" s="23">
        <f t="shared" si="16"/>
        <v>80</v>
      </c>
      <c r="AI86" s="14">
        <f t="shared" si="17"/>
        <v>0.93</v>
      </c>
      <c r="AJ86" s="13"/>
      <c r="AK86" s="12">
        <v>0.01</v>
      </c>
      <c r="AL86" s="11">
        <f t="shared" si="18"/>
        <v>1.01</v>
      </c>
      <c r="AM86" s="10">
        <f t="shared" si="19"/>
        <v>6206696000</v>
      </c>
      <c r="AN86" s="9"/>
      <c r="AO86" s="8"/>
      <c r="AP86" s="8"/>
      <c r="AQ86" s="8"/>
      <c r="AR86" s="8"/>
      <c r="AS86" s="7"/>
      <c r="AT86" s="6">
        <f t="shared" si="20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12"/>
        <v>1</v>
      </c>
      <c r="O87" s="25">
        <v>15</v>
      </c>
      <c r="P87" s="23">
        <v>15</v>
      </c>
      <c r="Q87" s="24"/>
      <c r="R87" s="24"/>
      <c r="S87" s="23"/>
      <c r="T87" s="20">
        <f t="shared" si="13"/>
        <v>15</v>
      </c>
      <c r="U87" s="19">
        <f t="shared" si="11"/>
        <v>15</v>
      </c>
      <c r="V87" s="22"/>
      <c r="W87" s="22"/>
      <c r="X87" s="22"/>
      <c r="Y87" s="22"/>
      <c r="Z87" s="21"/>
      <c r="AA87" s="20">
        <f t="shared" si="14"/>
        <v>0</v>
      </c>
      <c r="AB87" s="19">
        <f t="shared" si="15"/>
        <v>0</v>
      </c>
      <c r="AC87" s="16">
        <v>20</v>
      </c>
      <c r="AD87" s="18"/>
      <c r="AE87" s="17"/>
      <c r="AF87" s="23">
        <f t="shared" si="21"/>
        <v>15</v>
      </c>
      <c r="AG87" s="16">
        <v>45</v>
      </c>
      <c r="AH87" s="23">
        <f t="shared" si="16"/>
        <v>80</v>
      </c>
      <c r="AI87" s="14">
        <f t="shared" si="17"/>
        <v>0.93</v>
      </c>
      <c r="AJ87" s="13"/>
      <c r="AK87" s="12">
        <v>0.01</v>
      </c>
      <c r="AL87" s="11">
        <f t="shared" si="18"/>
        <v>1.01</v>
      </c>
      <c r="AM87" s="10">
        <f t="shared" si="19"/>
        <v>6206696000</v>
      </c>
      <c r="AN87" s="9"/>
      <c r="AO87" s="8"/>
      <c r="AP87" s="8"/>
      <c r="AQ87" s="8"/>
      <c r="AR87" s="8"/>
      <c r="AS87" s="7"/>
      <c r="AT87" s="6">
        <f t="shared" si="20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12"/>
        <v>1</v>
      </c>
      <c r="O88" s="25">
        <v>15</v>
      </c>
      <c r="P88" s="23">
        <v>15</v>
      </c>
      <c r="Q88" s="24"/>
      <c r="R88" s="24"/>
      <c r="S88" s="23"/>
      <c r="T88" s="20">
        <f t="shared" si="13"/>
        <v>15</v>
      </c>
      <c r="U88" s="19">
        <f t="shared" si="11"/>
        <v>15</v>
      </c>
      <c r="V88" s="22"/>
      <c r="W88" s="22"/>
      <c r="X88" s="22"/>
      <c r="Y88" s="22"/>
      <c r="Z88" s="21"/>
      <c r="AA88" s="20">
        <f t="shared" si="14"/>
        <v>0</v>
      </c>
      <c r="AB88" s="19">
        <f t="shared" si="15"/>
        <v>0</v>
      </c>
      <c r="AC88" s="16">
        <v>20</v>
      </c>
      <c r="AD88" s="18"/>
      <c r="AE88" s="17"/>
      <c r="AF88" s="23">
        <f t="shared" si="21"/>
        <v>15</v>
      </c>
      <c r="AG88" s="16">
        <v>45</v>
      </c>
      <c r="AH88" s="23">
        <f t="shared" si="16"/>
        <v>80</v>
      </c>
      <c r="AI88" s="14">
        <f t="shared" si="17"/>
        <v>0.93</v>
      </c>
      <c r="AJ88" s="13"/>
      <c r="AK88" s="12">
        <v>0.01</v>
      </c>
      <c r="AL88" s="11">
        <f t="shared" si="18"/>
        <v>1.01</v>
      </c>
      <c r="AM88" s="10">
        <f t="shared" si="19"/>
        <v>6206696000</v>
      </c>
      <c r="AN88" s="9"/>
      <c r="AO88" s="8"/>
      <c r="AP88" s="8"/>
      <c r="AQ88" s="8"/>
      <c r="AR88" s="8"/>
      <c r="AS88" s="7"/>
      <c r="AT88" s="6">
        <f t="shared" si="20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12"/>
        <v>1</v>
      </c>
      <c r="O89" s="25">
        <v>15</v>
      </c>
      <c r="P89" s="23">
        <v>15</v>
      </c>
      <c r="Q89" s="24"/>
      <c r="R89" s="24"/>
      <c r="S89" s="23"/>
      <c r="T89" s="20">
        <f t="shared" si="13"/>
        <v>15</v>
      </c>
      <c r="U89" s="19">
        <f t="shared" si="11"/>
        <v>15</v>
      </c>
      <c r="V89" s="22"/>
      <c r="W89" s="22"/>
      <c r="X89" s="22"/>
      <c r="Y89" s="22"/>
      <c r="Z89" s="21"/>
      <c r="AA89" s="20">
        <f t="shared" si="14"/>
        <v>0</v>
      </c>
      <c r="AB89" s="19">
        <f t="shared" si="15"/>
        <v>0</v>
      </c>
      <c r="AC89" s="16">
        <v>20</v>
      </c>
      <c r="AD89" s="18"/>
      <c r="AE89" s="17"/>
      <c r="AF89" s="23">
        <f t="shared" si="21"/>
        <v>15</v>
      </c>
      <c r="AG89" s="16">
        <v>45</v>
      </c>
      <c r="AH89" s="23">
        <f t="shared" si="16"/>
        <v>80</v>
      </c>
      <c r="AI89" s="14">
        <f t="shared" si="17"/>
        <v>0.93</v>
      </c>
      <c r="AJ89" s="13"/>
      <c r="AK89" s="12">
        <v>0.01</v>
      </c>
      <c r="AL89" s="11">
        <f t="shared" si="18"/>
        <v>1.01</v>
      </c>
      <c r="AM89" s="10">
        <f t="shared" si="19"/>
        <v>6206696000</v>
      </c>
      <c r="AN89" s="9"/>
      <c r="AO89" s="8"/>
      <c r="AP89" s="8"/>
      <c r="AQ89" s="8"/>
      <c r="AR89" s="8"/>
      <c r="AS89" s="7"/>
      <c r="AT89" s="6">
        <f t="shared" si="20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12"/>
        <v>1</v>
      </c>
      <c r="O90" s="25">
        <v>15</v>
      </c>
      <c r="P90" s="23">
        <v>15</v>
      </c>
      <c r="Q90" s="24"/>
      <c r="R90" s="24"/>
      <c r="S90" s="23"/>
      <c r="T90" s="20">
        <f t="shared" si="13"/>
        <v>15</v>
      </c>
      <c r="U90" s="19">
        <f t="shared" si="11"/>
        <v>15</v>
      </c>
      <c r="V90" s="22"/>
      <c r="W90" s="22"/>
      <c r="X90" s="22"/>
      <c r="Y90" s="22"/>
      <c r="Z90" s="21"/>
      <c r="AA90" s="20">
        <f t="shared" si="14"/>
        <v>0</v>
      </c>
      <c r="AB90" s="19">
        <f t="shared" si="15"/>
        <v>0</v>
      </c>
      <c r="AC90" s="16">
        <v>20</v>
      </c>
      <c r="AD90" s="18"/>
      <c r="AE90" s="17"/>
      <c r="AF90" s="23">
        <f t="shared" si="21"/>
        <v>15</v>
      </c>
      <c r="AG90" s="16">
        <v>45</v>
      </c>
      <c r="AH90" s="23">
        <f t="shared" si="16"/>
        <v>80</v>
      </c>
      <c r="AI90" s="14">
        <f t="shared" si="17"/>
        <v>0.93</v>
      </c>
      <c r="AJ90" s="13"/>
      <c r="AK90" s="12">
        <v>0.01</v>
      </c>
      <c r="AL90" s="11">
        <f t="shared" si="18"/>
        <v>1.01</v>
      </c>
      <c r="AM90" s="10">
        <f t="shared" si="19"/>
        <v>6206696000</v>
      </c>
      <c r="AN90" s="9"/>
      <c r="AO90" s="8"/>
      <c r="AP90" s="8"/>
      <c r="AQ90" s="8"/>
      <c r="AR90" s="8"/>
      <c r="AS90" s="7"/>
      <c r="AT90" s="6">
        <f t="shared" si="20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12"/>
        <v>1</v>
      </c>
      <c r="O91" s="25">
        <v>15</v>
      </c>
      <c r="P91" s="23">
        <v>15</v>
      </c>
      <c r="Q91" s="24"/>
      <c r="R91" s="24"/>
      <c r="S91" s="23"/>
      <c r="T91" s="20">
        <f t="shared" si="13"/>
        <v>15</v>
      </c>
      <c r="U91" s="19">
        <f t="shared" si="11"/>
        <v>15</v>
      </c>
      <c r="V91" s="22"/>
      <c r="W91" s="22"/>
      <c r="X91" s="22"/>
      <c r="Y91" s="22"/>
      <c r="Z91" s="21"/>
      <c r="AA91" s="20">
        <f t="shared" si="14"/>
        <v>0</v>
      </c>
      <c r="AB91" s="19">
        <f t="shared" si="15"/>
        <v>0</v>
      </c>
      <c r="AC91" s="16">
        <v>20</v>
      </c>
      <c r="AD91" s="18"/>
      <c r="AE91" s="17"/>
      <c r="AF91" s="23">
        <f t="shared" si="21"/>
        <v>15</v>
      </c>
      <c r="AG91" s="16">
        <v>45</v>
      </c>
      <c r="AH91" s="23">
        <f t="shared" si="16"/>
        <v>80</v>
      </c>
      <c r="AI91" s="14">
        <f t="shared" si="17"/>
        <v>0.93</v>
      </c>
      <c r="AJ91" s="13"/>
      <c r="AK91" s="12">
        <v>0.01</v>
      </c>
      <c r="AL91" s="11">
        <f t="shared" si="18"/>
        <v>1.01</v>
      </c>
      <c r="AM91" s="10">
        <f t="shared" si="19"/>
        <v>6206696000</v>
      </c>
      <c r="AN91" s="9"/>
      <c r="AO91" s="8"/>
      <c r="AP91" s="8"/>
      <c r="AQ91" s="8"/>
      <c r="AR91" s="8"/>
      <c r="AS91" s="7"/>
      <c r="AT91" s="6">
        <f t="shared" si="20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12"/>
        <v>1</v>
      </c>
      <c r="O92" s="25">
        <v>15</v>
      </c>
      <c r="P92" s="23">
        <v>15</v>
      </c>
      <c r="Q92" s="24"/>
      <c r="R92" s="24"/>
      <c r="S92" s="23"/>
      <c r="T92" s="20">
        <f t="shared" si="13"/>
        <v>15</v>
      </c>
      <c r="U92" s="19">
        <f t="shared" si="11"/>
        <v>15</v>
      </c>
      <c r="V92" s="22"/>
      <c r="W92" s="22"/>
      <c r="X92" s="22"/>
      <c r="Y92" s="22"/>
      <c r="Z92" s="21"/>
      <c r="AA92" s="20">
        <f t="shared" si="14"/>
        <v>0</v>
      </c>
      <c r="AB92" s="19">
        <f t="shared" si="15"/>
        <v>0</v>
      </c>
      <c r="AC92" s="16">
        <v>20</v>
      </c>
      <c r="AD92" s="18"/>
      <c r="AE92" s="17"/>
      <c r="AF92" s="23">
        <f t="shared" si="21"/>
        <v>15</v>
      </c>
      <c r="AG92" s="16">
        <v>45</v>
      </c>
      <c r="AH92" s="23">
        <f t="shared" si="16"/>
        <v>80</v>
      </c>
      <c r="AI92" s="14">
        <f t="shared" si="17"/>
        <v>0.93</v>
      </c>
      <c r="AJ92" s="13"/>
      <c r="AK92" s="12">
        <v>0.01</v>
      </c>
      <c r="AL92" s="11">
        <f t="shared" si="18"/>
        <v>1.01</v>
      </c>
      <c r="AM92" s="10">
        <f t="shared" si="19"/>
        <v>6206696000</v>
      </c>
      <c r="AN92" s="9"/>
      <c r="AO92" s="8"/>
      <c r="AP92" s="8"/>
      <c r="AQ92" s="8"/>
      <c r="AR92" s="8"/>
      <c r="AS92" s="7"/>
      <c r="AT92" s="6">
        <f t="shared" si="20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12"/>
        <v>1</v>
      </c>
      <c r="O93" s="25">
        <v>15</v>
      </c>
      <c r="P93" s="23">
        <v>15</v>
      </c>
      <c r="Q93" s="24"/>
      <c r="R93" s="24"/>
      <c r="S93" s="23"/>
      <c r="T93" s="20">
        <f t="shared" si="13"/>
        <v>15</v>
      </c>
      <c r="U93" s="19">
        <f t="shared" si="11"/>
        <v>15</v>
      </c>
      <c r="V93" s="22"/>
      <c r="W93" s="22"/>
      <c r="X93" s="22"/>
      <c r="Y93" s="22"/>
      <c r="Z93" s="21"/>
      <c r="AA93" s="20">
        <f t="shared" si="14"/>
        <v>0</v>
      </c>
      <c r="AB93" s="19">
        <f t="shared" si="15"/>
        <v>0</v>
      </c>
      <c r="AC93" s="16">
        <v>20</v>
      </c>
      <c r="AD93" s="18"/>
      <c r="AE93" s="17"/>
      <c r="AF93" s="23">
        <f t="shared" si="21"/>
        <v>15</v>
      </c>
      <c r="AG93" s="16">
        <v>45</v>
      </c>
      <c r="AH93" s="23">
        <f t="shared" si="16"/>
        <v>80</v>
      </c>
      <c r="AI93" s="14">
        <f t="shared" si="17"/>
        <v>0.93</v>
      </c>
      <c r="AJ93" s="13"/>
      <c r="AK93" s="12">
        <v>0.01</v>
      </c>
      <c r="AL93" s="11">
        <f t="shared" si="18"/>
        <v>1.01</v>
      </c>
      <c r="AM93" s="10">
        <f t="shared" si="19"/>
        <v>6206696000</v>
      </c>
      <c r="AN93" s="9"/>
      <c r="AO93" s="8"/>
      <c r="AP93" s="8"/>
      <c r="AQ93" s="8"/>
      <c r="AR93" s="8"/>
      <c r="AS93" s="7"/>
      <c r="AT93" s="6">
        <f t="shared" si="20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12"/>
        <v>1</v>
      </c>
      <c r="O94" s="25">
        <v>15</v>
      </c>
      <c r="P94" s="23">
        <v>15</v>
      </c>
      <c r="Q94" s="24"/>
      <c r="R94" s="24"/>
      <c r="S94" s="23"/>
      <c r="T94" s="20">
        <f t="shared" si="13"/>
        <v>15</v>
      </c>
      <c r="U94" s="19">
        <f t="shared" si="11"/>
        <v>15</v>
      </c>
      <c r="V94" s="22"/>
      <c r="W94" s="22"/>
      <c r="X94" s="22"/>
      <c r="Y94" s="22"/>
      <c r="Z94" s="21"/>
      <c r="AA94" s="20">
        <f t="shared" si="14"/>
        <v>0</v>
      </c>
      <c r="AB94" s="19">
        <f t="shared" si="15"/>
        <v>0</v>
      </c>
      <c r="AC94" s="16">
        <v>20</v>
      </c>
      <c r="AD94" s="18"/>
      <c r="AE94" s="17"/>
      <c r="AF94" s="23">
        <f t="shared" si="21"/>
        <v>15</v>
      </c>
      <c r="AG94" s="16">
        <v>45</v>
      </c>
      <c r="AH94" s="23">
        <f t="shared" si="16"/>
        <v>80</v>
      </c>
      <c r="AI94" s="14">
        <f t="shared" si="17"/>
        <v>0.93</v>
      </c>
      <c r="AJ94" s="13"/>
      <c r="AK94" s="12">
        <v>0.01</v>
      </c>
      <c r="AL94" s="11">
        <f t="shared" si="18"/>
        <v>1.01</v>
      </c>
      <c r="AM94" s="10">
        <f t="shared" si="19"/>
        <v>6206696000</v>
      </c>
      <c r="AN94" s="9"/>
      <c r="AO94" s="8"/>
      <c r="AP94" s="8"/>
      <c r="AQ94" s="8"/>
      <c r="AR94" s="8"/>
      <c r="AS94" s="7"/>
      <c r="AT94" s="6">
        <f t="shared" si="20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12"/>
        <v>1</v>
      </c>
      <c r="O95" s="25">
        <v>15</v>
      </c>
      <c r="P95" s="23">
        <v>15</v>
      </c>
      <c r="Q95" s="24"/>
      <c r="R95" s="24"/>
      <c r="S95" s="23"/>
      <c r="T95" s="20">
        <f t="shared" si="13"/>
        <v>15</v>
      </c>
      <c r="U95" s="19">
        <f t="shared" si="11"/>
        <v>15</v>
      </c>
      <c r="V95" s="22"/>
      <c r="W95" s="22"/>
      <c r="X95" s="22"/>
      <c r="Y95" s="22"/>
      <c r="Z95" s="21"/>
      <c r="AA95" s="20">
        <f t="shared" si="14"/>
        <v>0</v>
      </c>
      <c r="AB95" s="19">
        <f t="shared" si="15"/>
        <v>0</v>
      </c>
      <c r="AC95" s="16">
        <v>20</v>
      </c>
      <c r="AD95" s="18"/>
      <c r="AE95" s="17"/>
      <c r="AF95" s="23">
        <f t="shared" si="21"/>
        <v>15</v>
      </c>
      <c r="AG95" s="16">
        <v>45</v>
      </c>
      <c r="AH95" s="23">
        <f t="shared" si="16"/>
        <v>80</v>
      </c>
      <c r="AI95" s="14">
        <f t="shared" si="17"/>
        <v>0.93</v>
      </c>
      <c r="AJ95" s="13"/>
      <c r="AK95" s="12">
        <v>0.01</v>
      </c>
      <c r="AL95" s="11">
        <f t="shared" si="18"/>
        <v>1.01</v>
      </c>
      <c r="AM95" s="10">
        <f t="shared" si="19"/>
        <v>6206696000</v>
      </c>
      <c r="AN95" s="9"/>
      <c r="AO95" s="8"/>
      <c r="AP95" s="8"/>
      <c r="AQ95" s="8"/>
      <c r="AR95" s="8"/>
      <c r="AS95" s="7"/>
      <c r="AT95" s="6">
        <f t="shared" si="20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12"/>
        <v>1</v>
      </c>
      <c r="O96" s="25">
        <v>15</v>
      </c>
      <c r="P96" s="23">
        <v>15</v>
      </c>
      <c r="Q96" s="24"/>
      <c r="R96" s="24"/>
      <c r="S96" s="23"/>
      <c r="T96" s="20">
        <f t="shared" si="13"/>
        <v>15</v>
      </c>
      <c r="U96" s="19">
        <f t="shared" si="11"/>
        <v>15</v>
      </c>
      <c r="V96" s="22"/>
      <c r="W96" s="22"/>
      <c r="X96" s="22"/>
      <c r="Y96" s="22"/>
      <c r="Z96" s="21"/>
      <c r="AA96" s="20">
        <f t="shared" si="14"/>
        <v>0</v>
      </c>
      <c r="AB96" s="19">
        <f t="shared" si="15"/>
        <v>0</v>
      </c>
      <c r="AC96" s="16">
        <v>20</v>
      </c>
      <c r="AD96" s="18"/>
      <c r="AE96" s="17"/>
      <c r="AF96" s="23">
        <f t="shared" si="21"/>
        <v>15</v>
      </c>
      <c r="AG96" s="16">
        <v>45</v>
      </c>
      <c r="AH96" s="23">
        <f t="shared" si="16"/>
        <v>80</v>
      </c>
      <c r="AI96" s="14">
        <f t="shared" si="17"/>
        <v>0.93</v>
      </c>
      <c r="AJ96" s="13"/>
      <c r="AK96" s="12">
        <v>0.01</v>
      </c>
      <c r="AL96" s="11">
        <f t="shared" si="18"/>
        <v>1.01</v>
      </c>
      <c r="AM96" s="10">
        <f t="shared" si="19"/>
        <v>6206696000</v>
      </c>
      <c r="AN96" s="9"/>
      <c r="AO96" s="8"/>
      <c r="AP96" s="8"/>
      <c r="AQ96" s="8"/>
      <c r="AR96" s="8"/>
      <c r="AS96" s="7"/>
      <c r="AT96" s="6">
        <f t="shared" si="20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12"/>
        <v>1</v>
      </c>
      <c r="O97" s="25">
        <v>15</v>
      </c>
      <c r="P97" s="23">
        <v>15</v>
      </c>
      <c r="Q97" s="24"/>
      <c r="R97" s="24"/>
      <c r="S97" s="23"/>
      <c r="T97" s="20">
        <f t="shared" si="13"/>
        <v>15</v>
      </c>
      <c r="U97" s="19">
        <f t="shared" si="11"/>
        <v>15</v>
      </c>
      <c r="V97" s="22"/>
      <c r="W97" s="22"/>
      <c r="X97" s="22"/>
      <c r="Y97" s="22"/>
      <c r="Z97" s="21"/>
      <c r="AA97" s="20">
        <f t="shared" si="14"/>
        <v>0</v>
      </c>
      <c r="AB97" s="19">
        <f t="shared" si="15"/>
        <v>0</v>
      </c>
      <c r="AC97" s="16">
        <v>20</v>
      </c>
      <c r="AD97" s="18"/>
      <c r="AE97" s="17"/>
      <c r="AF97" s="23">
        <f t="shared" si="21"/>
        <v>15</v>
      </c>
      <c r="AG97" s="16">
        <v>45</v>
      </c>
      <c r="AH97" s="23">
        <f t="shared" si="16"/>
        <v>80</v>
      </c>
      <c r="AI97" s="14">
        <f t="shared" si="17"/>
        <v>0.93</v>
      </c>
      <c r="AJ97" s="13"/>
      <c r="AK97" s="12">
        <v>0.01</v>
      </c>
      <c r="AL97" s="11">
        <f t="shared" si="18"/>
        <v>1.01</v>
      </c>
      <c r="AM97" s="10">
        <f t="shared" si="19"/>
        <v>6206696000</v>
      </c>
      <c r="AN97" s="9"/>
      <c r="AO97" s="8"/>
      <c r="AP97" s="8"/>
      <c r="AQ97" s="8"/>
      <c r="AR97" s="8"/>
      <c r="AS97" s="7"/>
      <c r="AT97" s="6">
        <f t="shared" si="20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12"/>
        <v>1</v>
      </c>
      <c r="O98" s="25">
        <v>15</v>
      </c>
      <c r="P98" s="23">
        <v>15</v>
      </c>
      <c r="Q98" s="24"/>
      <c r="R98" s="24"/>
      <c r="S98" s="23"/>
      <c r="T98" s="20">
        <f t="shared" si="13"/>
        <v>15</v>
      </c>
      <c r="U98" s="19">
        <f t="shared" si="11"/>
        <v>15</v>
      </c>
      <c r="V98" s="22"/>
      <c r="W98" s="22"/>
      <c r="X98" s="22"/>
      <c r="Y98" s="22"/>
      <c r="Z98" s="21"/>
      <c r="AA98" s="20">
        <f t="shared" si="14"/>
        <v>0</v>
      </c>
      <c r="AB98" s="19">
        <f t="shared" si="15"/>
        <v>0</v>
      </c>
      <c r="AC98" s="16">
        <v>20</v>
      </c>
      <c r="AD98" s="18"/>
      <c r="AE98" s="17"/>
      <c r="AF98" s="23">
        <f t="shared" si="21"/>
        <v>15</v>
      </c>
      <c r="AG98" s="16">
        <v>45</v>
      </c>
      <c r="AH98" s="23">
        <f t="shared" si="16"/>
        <v>80</v>
      </c>
      <c r="AI98" s="14">
        <f t="shared" si="17"/>
        <v>0.93</v>
      </c>
      <c r="AJ98" s="13"/>
      <c r="AK98" s="12">
        <v>0.01</v>
      </c>
      <c r="AL98" s="11">
        <f t="shared" si="18"/>
        <v>1.01</v>
      </c>
      <c r="AM98" s="10">
        <f t="shared" si="19"/>
        <v>6206696000</v>
      </c>
      <c r="AN98" s="9"/>
      <c r="AO98" s="8"/>
      <c r="AP98" s="8"/>
      <c r="AQ98" s="8"/>
      <c r="AR98" s="8"/>
      <c r="AS98" s="7"/>
      <c r="AT98" s="6">
        <f t="shared" si="20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12"/>
        <v>1</v>
      </c>
      <c r="O99" s="25">
        <v>15</v>
      </c>
      <c r="P99" s="23">
        <v>15</v>
      </c>
      <c r="Q99" s="24"/>
      <c r="R99" s="24"/>
      <c r="S99" s="23"/>
      <c r="T99" s="20">
        <f t="shared" si="13"/>
        <v>15</v>
      </c>
      <c r="U99" s="19">
        <f t="shared" si="11"/>
        <v>15</v>
      </c>
      <c r="V99" s="22"/>
      <c r="W99" s="22"/>
      <c r="X99" s="22"/>
      <c r="Y99" s="22"/>
      <c r="Z99" s="21"/>
      <c r="AA99" s="20">
        <f t="shared" si="14"/>
        <v>0</v>
      </c>
      <c r="AB99" s="19">
        <f t="shared" si="15"/>
        <v>0</v>
      </c>
      <c r="AC99" s="16">
        <v>20</v>
      </c>
      <c r="AD99" s="18"/>
      <c r="AE99" s="17"/>
      <c r="AF99" s="23">
        <f t="shared" si="21"/>
        <v>15</v>
      </c>
      <c r="AG99" s="16">
        <v>45</v>
      </c>
      <c r="AH99" s="23">
        <f t="shared" si="16"/>
        <v>80</v>
      </c>
      <c r="AI99" s="14">
        <f t="shared" si="17"/>
        <v>0.93</v>
      </c>
      <c r="AJ99" s="13"/>
      <c r="AK99" s="12">
        <v>0.01</v>
      </c>
      <c r="AL99" s="11">
        <f t="shared" si="18"/>
        <v>1.01</v>
      </c>
      <c r="AM99" s="10">
        <f t="shared" si="19"/>
        <v>6206696000</v>
      </c>
      <c r="AN99" s="9"/>
      <c r="AO99" s="8"/>
      <c r="AP99" s="8"/>
      <c r="AQ99" s="8"/>
      <c r="AR99" s="8"/>
      <c r="AS99" s="7"/>
      <c r="AT99" s="6">
        <f t="shared" si="20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12"/>
        <v>1</v>
      </c>
      <c r="O100" s="25">
        <v>15</v>
      </c>
      <c r="P100" s="23">
        <v>15</v>
      </c>
      <c r="Q100" s="24"/>
      <c r="R100" s="24"/>
      <c r="S100" s="23"/>
      <c r="T100" s="20">
        <f t="shared" si="13"/>
        <v>15</v>
      </c>
      <c r="U100" s="19">
        <f t="shared" si="11"/>
        <v>15</v>
      </c>
      <c r="V100" s="22"/>
      <c r="W100" s="22"/>
      <c r="X100" s="22"/>
      <c r="Y100" s="22"/>
      <c r="Z100" s="21"/>
      <c r="AA100" s="20">
        <f t="shared" si="14"/>
        <v>0</v>
      </c>
      <c r="AB100" s="19">
        <f t="shared" si="15"/>
        <v>0</v>
      </c>
      <c r="AC100" s="16">
        <v>20</v>
      </c>
      <c r="AD100" s="18"/>
      <c r="AE100" s="17"/>
      <c r="AF100" s="23">
        <f t="shared" si="21"/>
        <v>15</v>
      </c>
      <c r="AG100" s="16">
        <v>45</v>
      </c>
      <c r="AH100" s="23">
        <f t="shared" si="16"/>
        <v>80</v>
      </c>
      <c r="AI100" s="14">
        <f t="shared" si="17"/>
        <v>0.93</v>
      </c>
      <c r="AJ100" s="13"/>
      <c r="AK100" s="12">
        <v>0.01</v>
      </c>
      <c r="AL100" s="11">
        <f t="shared" si="18"/>
        <v>1.01</v>
      </c>
      <c r="AM100" s="10">
        <f t="shared" si="19"/>
        <v>6206696000</v>
      </c>
      <c r="AN100" s="9"/>
      <c r="AO100" s="8"/>
      <c r="AP100" s="8"/>
      <c r="AQ100" s="8"/>
      <c r="AR100" s="8"/>
      <c r="AS100" s="7"/>
      <c r="AT100" s="6">
        <f t="shared" si="20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si="12"/>
        <v>1</v>
      </c>
      <c r="O101" s="25">
        <v>15</v>
      </c>
      <c r="P101" s="23">
        <v>15</v>
      </c>
      <c r="Q101" s="24"/>
      <c r="R101" s="24"/>
      <c r="S101" s="23"/>
      <c r="T101" s="20">
        <f t="shared" si="13"/>
        <v>15</v>
      </c>
      <c r="U101" s="19">
        <f t="shared" si="11"/>
        <v>15</v>
      </c>
      <c r="V101" s="22"/>
      <c r="W101" s="22"/>
      <c r="X101" s="22"/>
      <c r="Y101" s="22"/>
      <c r="Z101" s="21"/>
      <c r="AA101" s="20">
        <f t="shared" si="14"/>
        <v>0</v>
      </c>
      <c r="AB101" s="19">
        <f t="shared" si="15"/>
        <v>0</v>
      </c>
      <c r="AC101" s="16">
        <v>20</v>
      </c>
      <c r="AD101" s="18"/>
      <c r="AE101" s="17"/>
      <c r="AF101" s="23">
        <f t="shared" si="21"/>
        <v>15</v>
      </c>
      <c r="AG101" s="16">
        <v>45</v>
      </c>
      <c r="AH101" s="23">
        <f t="shared" si="16"/>
        <v>80</v>
      </c>
      <c r="AI101" s="14">
        <f t="shared" si="17"/>
        <v>0.93</v>
      </c>
      <c r="AJ101" s="13"/>
      <c r="AK101" s="12">
        <v>0.01</v>
      </c>
      <c r="AL101" s="11">
        <f t="shared" si="18"/>
        <v>1.01</v>
      </c>
      <c r="AM101" s="10">
        <f t="shared" si="19"/>
        <v>6206696000</v>
      </c>
      <c r="AN101" s="9"/>
      <c r="AO101" s="8"/>
      <c r="AP101" s="8"/>
      <c r="AQ101" s="8"/>
      <c r="AR101" s="8"/>
      <c r="AS101" s="7"/>
      <c r="AT101" s="6">
        <f t="shared" si="20"/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12"/>
        <v>1</v>
      </c>
      <c r="O102" s="25">
        <v>15</v>
      </c>
      <c r="P102" s="23">
        <v>15</v>
      </c>
      <c r="Q102" s="24"/>
      <c r="R102" s="24"/>
      <c r="S102" s="23"/>
      <c r="T102" s="20">
        <f t="shared" si="13"/>
        <v>15</v>
      </c>
      <c r="U102" s="19">
        <f t="shared" si="11"/>
        <v>15</v>
      </c>
      <c r="V102" s="22"/>
      <c r="W102" s="22"/>
      <c r="X102" s="22"/>
      <c r="Y102" s="22"/>
      <c r="Z102" s="21"/>
      <c r="AA102" s="20">
        <f t="shared" si="14"/>
        <v>0</v>
      </c>
      <c r="AB102" s="19">
        <f t="shared" si="15"/>
        <v>0</v>
      </c>
      <c r="AC102" s="16">
        <v>20</v>
      </c>
      <c r="AD102" s="18"/>
      <c r="AE102" s="17"/>
      <c r="AF102" s="23">
        <f t="shared" si="21"/>
        <v>15</v>
      </c>
      <c r="AG102" s="16">
        <v>45</v>
      </c>
      <c r="AH102" s="23">
        <f t="shared" si="16"/>
        <v>80</v>
      </c>
      <c r="AI102" s="14">
        <f t="shared" si="17"/>
        <v>0.93</v>
      </c>
      <c r="AJ102" s="13"/>
      <c r="AK102" s="12">
        <v>0.01</v>
      </c>
      <c r="AL102" s="11">
        <f t="shared" si="18"/>
        <v>1.01</v>
      </c>
      <c r="AM102" s="10">
        <f t="shared" si="19"/>
        <v>6206696000</v>
      </c>
      <c r="AN102" s="9"/>
      <c r="AO102" s="8"/>
      <c r="AP102" s="8"/>
      <c r="AQ102" s="8"/>
      <c r="AR102" s="8"/>
      <c r="AS102" s="7"/>
      <c r="AT102" s="6">
        <f t="shared" si="20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12"/>
        <v>1</v>
      </c>
      <c r="O103" s="25">
        <v>15</v>
      </c>
      <c r="P103" s="23">
        <v>15</v>
      </c>
      <c r="Q103" s="24"/>
      <c r="R103" s="24"/>
      <c r="S103" s="23"/>
      <c r="T103" s="20">
        <f t="shared" si="13"/>
        <v>15</v>
      </c>
      <c r="U103" s="19">
        <f t="shared" si="11"/>
        <v>15</v>
      </c>
      <c r="V103" s="22"/>
      <c r="W103" s="22"/>
      <c r="X103" s="22"/>
      <c r="Y103" s="22"/>
      <c r="Z103" s="21"/>
      <c r="AA103" s="20">
        <f t="shared" si="14"/>
        <v>0</v>
      </c>
      <c r="AB103" s="19">
        <f t="shared" si="15"/>
        <v>0</v>
      </c>
      <c r="AC103" s="16">
        <v>20</v>
      </c>
      <c r="AD103" s="18"/>
      <c r="AE103" s="17"/>
      <c r="AF103" s="23">
        <f t="shared" si="21"/>
        <v>15</v>
      </c>
      <c r="AG103" s="16">
        <v>45</v>
      </c>
      <c r="AH103" s="23">
        <f t="shared" si="16"/>
        <v>80</v>
      </c>
      <c r="AI103" s="14">
        <f t="shared" si="17"/>
        <v>0.93</v>
      </c>
      <c r="AJ103" s="13"/>
      <c r="AK103" s="12">
        <v>0.01</v>
      </c>
      <c r="AL103" s="11">
        <f t="shared" si="18"/>
        <v>1.01</v>
      </c>
      <c r="AM103" s="10">
        <f t="shared" si="19"/>
        <v>6206696000</v>
      </c>
      <c r="AN103" s="9"/>
      <c r="AO103" s="8"/>
      <c r="AP103" s="8"/>
      <c r="AQ103" s="8"/>
      <c r="AR103" s="8"/>
      <c r="AS103" s="7"/>
      <c r="AT103" s="6">
        <f t="shared" si="20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12"/>
        <v>1</v>
      </c>
      <c r="O104" s="25">
        <v>15</v>
      </c>
      <c r="P104" s="23">
        <v>15</v>
      </c>
      <c r="Q104" s="24"/>
      <c r="R104" s="24"/>
      <c r="S104" s="23"/>
      <c r="T104" s="20">
        <f t="shared" si="13"/>
        <v>15</v>
      </c>
      <c r="U104" s="19">
        <f t="shared" si="11"/>
        <v>15</v>
      </c>
      <c r="V104" s="22"/>
      <c r="W104" s="22"/>
      <c r="X104" s="22"/>
      <c r="Y104" s="22"/>
      <c r="Z104" s="21"/>
      <c r="AA104" s="20">
        <f t="shared" si="14"/>
        <v>0</v>
      </c>
      <c r="AB104" s="19">
        <f t="shared" si="15"/>
        <v>0</v>
      </c>
      <c r="AC104" s="16">
        <v>20</v>
      </c>
      <c r="AD104" s="18"/>
      <c r="AE104" s="17"/>
      <c r="AF104" s="23">
        <f t="shared" si="21"/>
        <v>15</v>
      </c>
      <c r="AG104" s="16">
        <v>45</v>
      </c>
      <c r="AH104" s="23">
        <f t="shared" si="16"/>
        <v>80</v>
      </c>
      <c r="AI104" s="14">
        <f t="shared" si="17"/>
        <v>0.93</v>
      </c>
      <c r="AJ104" s="13"/>
      <c r="AK104" s="12">
        <v>0.01</v>
      </c>
      <c r="AL104" s="11">
        <f t="shared" si="18"/>
        <v>1.01</v>
      </c>
      <c r="AM104" s="10">
        <f t="shared" si="19"/>
        <v>6206696000</v>
      </c>
      <c r="AN104" s="9"/>
      <c r="AO104" s="8"/>
      <c r="AP104" s="8"/>
      <c r="AQ104" s="8"/>
      <c r="AR104" s="8"/>
      <c r="AS104" s="7"/>
      <c r="AT104" s="6">
        <f t="shared" si="20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12"/>
        <v>1</v>
      </c>
      <c r="O105" s="25">
        <v>15</v>
      </c>
      <c r="P105" s="23">
        <v>15</v>
      </c>
      <c r="Q105" s="24"/>
      <c r="R105" s="24"/>
      <c r="S105" s="23"/>
      <c r="T105" s="20">
        <f t="shared" si="13"/>
        <v>15</v>
      </c>
      <c r="U105" s="19">
        <f t="shared" si="11"/>
        <v>15</v>
      </c>
      <c r="V105" s="22"/>
      <c r="W105" s="22"/>
      <c r="X105" s="22"/>
      <c r="Y105" s="22"/>
      <c r="Z105" s="21"/>
      <c r="AA105" s="20">
        <f t="shared" si="14"/>
        <v>0</v>
      </c>
      <c r="AB105" s="19">
        <f t="shared" si="15"/>
        <v>0</v>
      </c>
      <c r="AC105" s="16">
        <v>20</v>
      </c>
      <c r="AD105" s="18"/>
      <c r="AE105" s="17"/>
      <c r="AF105" s="23">
        <f t="shared" si="21"/>
        <v>15</v>
      </c>
      <c r="AG105" s="16">
        <v>45</v>
      </c>
      <c r="AH105" s="23">
        <f t="shared" si="16"/>
        <v>80</v>
      </c>
      <c r="AI105" s="14">
        <f t="shared" si="17"/>
        <v>0.93</v>
      </c>
      <c r="AJ105" s="13"/>
      <c r="AK105" s="12">
        <v>0.01</v>
      </c>
      <c r="AL105" s="11">
        <f t="shared" si="18"/>
        <v>1.01</v>
      </c>
      <c r="AM105" s="10">
        <f t="shared" si="19"/>
        <v>6206696000</v>
      </c>
      <c r="AN105" s="9"/>
      <c r="AO105" s="8"/>
      <c r="AP105" s="8"/>
      <c r="AQ105" s="8"/>
      <c r="AR105" s="8"/>
      <c r="AS105" s="7"/>
      <c r="AT105" s="6">
        <f t="shared" si="20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12"/>
        <v>1</v>
      </c>
      <c r="O106" s="25">
        <v>15</v>
      </c>
      <c r="P106" s="23">
        <v>15</v>
      </c>
      <c r="Q106" s="24"/>
      <c r="R106" s="24"/>
      <c r="S106" s="23"/>
      <c r="T106" s="20">
        <f t="shared" si="13"/>
        <v>15</v>
      </c>
      <c r="U106" s="19">
        <f t="shared" si="11"/>
        <v>15</v>
      </c>
      <c r="V106" s="22"/>
      <c r="W106" s="22"/>
      <c r="X106" s="22"/>
      <c r="Y106" s="22"/>
      <c r="Z106" s="21"/>
      <c r="AA106" s="20">
        <f t="shared" si="14"/>
        <v>0</v>
      </c>
      <c r="AB106" s="19">
        <f t="shared" si="15"/>
        <v>0</v>
      </c>
      <c r="AC106" s="16">
        <v>20</v>
      </c>
      <c r="AD106" s="18"/>
      <c r="AE106" s="17"/>
      <c r="AF106" s="23">
        <f t="shared" si="21"/>
        <v>15</v>
      </c>
      <c r="AG106" s="16">
        <v>45</v>
      </c>
      <c r="AH106" s="23">
        <f t="shared" si="16"/>
        <v>80</v>
      </c>
      <c r="AI106" s="14">
        <f t="shared" si="17"/>
        <v>0.93</v>
      </c>
      <c r="AJ106" s="13"/>
      <c r="AK106" s="12">
        <v>0.01</v>
      </c>
      <c r="AL106" s="11">
        <f t="shared" si="18"/>
        <v>1.01</v>
      </c>
      <c r="AM106" s="10">
        <f t="shared" si="19"/>
        <v>6206696000</v>
      </c>
      <c r="AN106" s="9"/>
      <c r="AO106" s="8"/>
      <c r="AP106" s="8"/>
      <c r="AQ106" s="8"/>
      <c r="AR106" s="8"/>
      <c r="AS106" s="7"/>
      <c r="AT106" s="6">
        <f t="shared" si="20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12"/>
        <v>1</v>
      </c>
      <c r="O107" s="25">
        <v>15</v>
      </c>
      <c r="P107" s="23">
        <v>15</v>
      </c>
      <c r="Q107" s="24"/>
      <c r="R107" s="24"/>
      <c r="S107" s="23"/>
      <c r="T107" s="20">
        <f t="shared" si="13"/>
        <v>15</v>
      </c>
      <c r="U107" s="19">
        <f t="shared" ref="U107:U140" si="22">IF(T107&gt;=15,15,T107)</f>
        <v>15</v>
      </c>
      <c r="V107" s="22"/>
      <c r="W107" s="22"/>
      <c r="X107" s="22"/>
      <c r="Y107" s="22"/>
      <c r="Z107" s="21"/>
      <c r="AA107" s="20">
        <f t="shared" si="14"/>
        <v>0</v>
      </c>
      <c r="AB107" s="19">
        <f t="shared" si="15"/>
        <v>0</v>
      </c>
      <c r="AC107" s="16">
        <v>20</v>
      </c>
      <c r="AD107" s="18"/>
      <c r="AE107" s="17"/>
      <c r="AF107" s="23">
        <f t="shared" si="21"/>
        <v>15</v>
      </c>
      <c r="AG107" s="16">
        <v>45</v>
      </c>
      <c r="AH107" s="23">
        <f t="shared" si="16"/>
        <v>80</v>
      </c>
      <c r="AI107" s="14">
        <f t="shared" si="17"/>
        <v>0.93</v>
      </c>
      <c r="AJ107" s="13"/>
      <c r="AK107" s="12">
        <v>0.01</v>
      </c>
      <c r="AL107" s="11">
        <f t="shared" si="18"/>
        <v>1.01</v>
      </c>
      <c r="AM107" s="10">
        <f t="shared" si="19"/>
        <v>6206696000</v>
      </c>
      <c r="AN107" s="9"/>
      <c r="AO107" s="8"/>
      <c r="AP107" s="8"/>
      <c r="AQ107" s="8"/>
      <c r="AR107" s="8"/>
      <c r="AS107" s="7"/>
      <c r="AT107" s="6">
        <f t="shared" si="20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12"/>
        <v>1</v>
      </c>
      <c r="O108" s="25">
        <v>15</v>
      </c>
      <c r="P108" s="23">
        <v>15</v>
      </c>
      <c r="Q108" s="24"/>
      <c r="R108" s="24"/>
      <c r="S108" s="23"/>
      <c r="T108" s="20">
        <f t="shared" si="13"/>
        <v>15</v>
      </c>
      <c r="U108" s="19">
        <f t="shared" si="22"/>
        <v>15</v>
      </c>
      <c r="V108" s="22"/>
      <c r="W108" s="22"/>
      <c r="X108" s="22"/>
      <c r="Y108" s="22"/>
      <c r="Z108" s="21"/>
      <c r="AA108" s="20">
        <f t="shared" si="14"/>
        <v>0</v>
      </c>
      <c r="AB108" s="19">
        <f t="shared" si="15"/>
        <v>0</v>
      </c>
      <c r="AC108" s="16">
        <v>20</v>
      </c>
      <c r="AD108" s="18"/>
      <c r="AE108" s="17"/>
      <c r="AF108" s="23">
        <f t="shared" si="21"/>
        <v>15</v>
      </c>
      <c r="AG108" s="16">
        <v>45</v>
      </c>
      <c r="AH108" s="23">
        <f t="shared" si="16"/>
        <v>80</v>
      </c>
      <c r="AI108" s="14">
        <f t="shared" si="17"/>
        <v>0.93</v>
      </c>
      <c r="AJ108" s="13"/>
      <c r="AK108" s="12">
        <v>0.01</v>
      </c>
      <c r="AL108" s="11">
        <f t="shared" si="18"/>
        <v>1.01</v>
      </c>
      <c r="AM108" s="10">
        <f t="shared" si="19"/>
        <v>6206696000</v>
      </c>
      <c r="AN108" s="9"/>
      <c r="AO108" s="8"/>
      <c r="AP108" s="8"/>
      <c r="AQ108" s="8"/>
      <c r="AR108" s="8"/>
      <c r="AS108" s="7"/>
      <c r="AT108" s="6">
        <f t="shared" si="20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12"/>
        <v>1</v>
      </c>
      <c r="O109" s="25">
        <v>15</v>
      </c>
      <c r="P109" s="23">
        <v>15</v>
      </c>
      <c r="Q109" s="24"/>
      <c r="R109" s="24"/>
      <c r="S109" s="23"/>
      <c r="T109" s="20">
        <f t="shared" si="13"/>
        <v>15</v>
      </c>
      <c r="U109" s="19">
        <f t="shared" si="22"/>
        <v>15</v>
      </c>
      <c r="V109" s="22"/>
      <c r="W109" s="22"/>
      <c r="X109" s="22"/>
      <c r="Y109" s="22"/>
      <c r="Z109" s="21"/>
      <c r="AA109" s="20">
        <f t="shared" si="14"/>
        <v>0</v>
      </c>
      <c r="AB109" s="19">
        <f t="shared" si="15"/>
        <v>0</v>
      </c>
      <c r="AC109" s="16">
        <v>20</v>
      </c>
      <c r="AD109" s="18"/>
      <c r="AE109" s="17"/>
      <c r="AF109" s="23">
        <f t="shared" si="21"/>
        <v>15</v>
      </c>
      <c r="AG109" s="16">
        <v>45</v>
      </c>
      <c r="AH109" s="23">
        <f t="shared" si="16"/>
        <v>80</v>
      </c>
      <c r="AI109" s="14">
        <f t="shared" si="17"/>
        <v>0.93</v>
      </c>
      <c r="AJ109" s="13"/>
      <c r="AK109" s="12">
        <v>0.01</v>
      </c>
      <c r="AL109" s="11">
        <f t="shared" si="18"/>
        <v>1.01</v>
      </c>
      <c r="AM109" s="10">
        <f t="shared" si="19"/>
        <v>6206696000</v>
      </c>
      <c r="AN109" s="9"/>
      <c r="AO109" s="8"/>
      <c r="AP109" s="8"/>
      <c r="AQ109" s="8"/>
      <c r="AR109" s="8"/>
      <c r="AS109" s="7"/>
      <c r="AT109" s="6">
        <f t="shared" si="20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12"/>
        <v>1</v>
      </c>
      <c r="O110" s="25">
        <v>15</v>
      </c>
      <c r="P110" s="23">
        <v>15</v>
      </c>
      <c r="Q110" s="24"/>
      <c r="R110" s="24"/>
      <c r="S110" s="23"/>
      <c r="T110" s="20">
        <f t="shared" si="13"/>
        <v>15</v>
      </c>
      <c r="U110" s="19">
        <f t="shared" si="22"/>
        <v>15</v>
      </c>
      <c r="V110" s="22"/>
      <c r="W110" s="22"/>
      <c r="X110" s="22"/>
      <c r="Y110" s="22"/>
      <c r="Z110" s="21"/>
      <c r="AA110" s="20">
        <f t="shared" si="14"/>
        <v>0</v>
      </c>
      <c r="AB110" s="19">
        <f t="shared" si="15"/>
        <v>0</v>
      </c>
      <c r="AC110" s="16">
        <v>20</v>
      </c>
      <c r="AD110" s="18"/>
      <c r="AE110" s="17"/>
      <c r="AF110" s="23">
        <f t="shared" si="21"/>
        <v>15</v>
      </c>
      <c r="AG110" s="16">
        <v>45</v>
      </c>
      <c r="AH110" s="23">
        <f t="shared" si="16"/>
        <v>80</v>
      </c>
      <c r="AI110" s="14">
        <f t="shared" si="17"/>
        <v>0.93</v>
      </c>
      <c r="AJ110" s="13"/>
      <c r="AK110" s="12">
        <v>0.01</v>
      </c>
      <c r="AL110" s="11">
        <f t="shared" si="18"/>
        <v>1.01</v>
      </c>
      <c r="AM110" s="10">
        <f t="shared" si="19"/>
        <v>6206696000</v>
      </c>
      <c r="AN110" s="9"/>
      <c r="AO110" s="8"/>
      <c r="AP110" s="8"/>
      <c r="AQ110" s="8"/>
      <c r="AR110" s="8"/>
      <c r="AS110" s="7"/>
      <c r="AT110" s="6">
        <f t="shared" si="20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12"/>
        <v>1</v>
      </c>
      <c r="O111" s="25">
        <v>15</v>
      </c>
      <c r="P111" s="23">
        <v>15</v>
      </c>
      <c r="Q111" s="24"/>
      <c r="R111" s="24"/>
      <c r="S111" s="23"/>
      <c r="T111" s="20">
        <f t="shared" si="13"/>
        <v>15</v>
      </c>
      <c r="U111" s="19">
        <f t="shared" si="22"/>
        <v>15</v>
      </c>
      <c r="V111" s="22"/>
      <c r="W111" s="22"/>
      <c r="X111" s="22"/>
      <c r="Y111" s="22"/>
      <c r="Z111" s="21"/>
      <c r="AA111" s="20">
        <f t="shared" si="14"/>
        <v>0</v>
      </c>
      <c r="AB111" s="19">
        <f t="shared" si="15"/>
        <v>0</v>
      </c>
      <c r="AC111" s="16">
        <v>20</v>
      </c>
      <c r="AD111" s="18"/>
      <c r="AE111" s="17"/>
      <c r="AF111" s="23">
        <f t="shared" si="21"/>
        <v>15</v>
      </c>
      <c r="AG111" s="16">
        <v>45</v>
      </c>
      <c r="AH111" s="23">
        <f t="shared" si="16"/>
        <v>80</v>
      </c>
      <c r="AI111" s="14">
        <f t="shared" si="17"/>
        <v>0.93</v>
      </c>
      <c r="AJ111" s="13"/>
      <c r="AK111" s="12">
        <v>0.01</v>
      </c>
      <c r="AL111" s="11">
        <f t="shared" si="18"/>
        <v>1.01</v>
      </c>
      <c r="AM111" s="10">
        <f t="shared" si="19"/>
        <v>6206696000</v>
      </c>
      <c r="AN111" s="9"/>
      <c r="AO111" s="8"/>
      <c r="AP111" s="8"/>
      <c r="AQ111" s="8"/>
      <c r="AR111" s="8"/>
      <c r="AS111" s="7"/>
      <c r="AT111" s="6">
        <f t="shared" si="20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12"/>
        <v>1</v>
      </c>
      <c r="O112" s="25">
        <v>15</v>
      </c>
      <c r="P112" s="23">
        <v>15</v>
      </c>
      <c r="Q112" s="24"/>
      <c r="R112" s="24"/>
      <c r="S112" s="23"/>
      <c r="T112" s="20">
        <f t="shared" si="13"/>
        <v>15</v>
      </c>
      <c r="U112" s="19">
        <f t="shared" si="22"/>
        <v>15</v>
      </c>
      <c r="V112" s="22"/>
      <c r="W112" s="22"/>
      <c r="X112" s="22"/>
      <c r="Y112" s="22"/>
      <c r="Z112" s="21"/>
      <c r="AA112" s="20">
        <f t="shared" si="14"/>
        <v>0</v>
      </c>
      <c r="AB112" s="19">
        <f t="shared" si="15"/>
        <v>0</v>
      </c>
      <c r="AC112" s="16">
        <v>20</v>
      </c>
      <c r="AD112" s="18"/>
      <c r="AE112" s="17"/>
      <c r="AF112" s="23">
        <f t="shared" si="21"/>
        <v>15</v>
      </c>
      <c r="AG112" s="16">
        <v>45</v>
      </c>
      <c r="AH112" s="23">
        <f t="shared" si="16"/>
        <v>80</v>
      </c>
      <c r="AI112" s="14">
        <f t="shared" si="17"/>
        <v>0.93</v>
      </c>
      <c r="AJ112" s="13"/>
      <c r="AK112" s="12">
        <v>0.01</v>
      </c>
      <c r="AL112" s="11">
        <f t="shared" si="18"/>
        <v>1.01</v>
      </c>
      <c r="AM112" s="10">
        <f t="shared" si="19"/>
        <v>6206696000</v>
      </c>
      <c r="AN112" s="9"/>
      <c r="AO112" s="8"/>
      <c r="AP112" s="8"/>
      <c r="AQ112" s="8"/>
      <c r="AR112" s="8"/>
      <c r="AS112" s="7"/>
      <c r="AT112" s="6">
        <f t="shared" si="20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12"/>
        <v>1</v>
      </c>
      <c r="O113" s="25">
        <v>15</v>
      </c>
      <c r="P113" s="23">
        <v>15</v>
      </c>
      <c r="Q113" s="24"/>
      <c r="R113" s="24"/>
      <c r="S113" s="23"/>
      <c r="T113" s="20">
        <f t="shared" si="13"/>
        <v>15</v>
      </c>
      <c r="U113" s="19">
        <f t="shared" si="22"/>
        <v>15</v>
      </c>
      <c r="V113" s="22"/>
      <c r="W113" s="22"/>
      <c r="X113" s="22"/>
      <c r="Y113" s="22"/>
      <c r="Z113" s="21"/>
      <c r="AA113" s="20">
        <f t="shared" si="14"/>
        <v>0</v>
      </c>
      <c r="AB113" s="19">
        <f t="shared" si="15"/>
        <v>0</v>
      </c>
      <c r="AC113" s="16">
        <v>20</v>
      </c>
      <c r="AD113" s="18"/>
      <c r="AE113" s="17"/>
      <c r="AF113" s="23">
        <f t="shared" si="21"/>
        <v>15</v>
      </c>
      <c r="AG113" s="16">
        <v>45</v>
      </c>
      <c r="AH113" s="23">
        <f t="shared" si="16"/>
        <v>80</v>
      </c>
      <c r="AI113" s="14">
        <f t="shared" si="17"/>
        <v>0.93</v>
      </c>
      <c r="AJ113" s="13"/>
      <c r="AK113" s="12">
        <v>0.01</v>
      </c>
      <c r="AL113" s="11">
        <f t="shared" si="18"/>
        <v>1.01</v>
      </c>
      <c r="AM113" s="10">
        <f t="shared" si="19"/>
        <v>6206696000</v>
      </c>
      <c r="AN113" s="9"/>
      <c r="AO113" s="8"/>
      <c r="AP113" s="8"/>
      <c r="AQ113" s="8"/>
      <c r="AR113" s="8"/>
      <c r="AS113" s="7"/>
      <c r="AT113" s="6">
        <f t="shared" si="20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12"/>
        <v>1</v>
      </c>
      <c r="O114" s="25">
        <v>15</v>
      </c>
      <c r="P114" s="23">
        <v>15</v>
      </c>
      <c r="Q114" s="24"/>
      <c r="R114" s="24"/>
      <c r="S114" s="23"/>
      <c r="T114" s="20">
        <f t="shared" si="13"/>
        <v>15</v>
      </c>
      <c r="U114" s="19">
        <f t="shared" si="22"/>
        <v>15</v>
      </c>
      <c r="V114" s="22"/>
      <c r="W114" s="22"/>
      <c r="X114" s="22"/>
      <c r="Y114" s="22"/>
      <c r="Z114" s="21"/>
      <c r="AA114" s="20">
        <f t="shared" si="14"/>
        <v>0</v>
      </c>
      <c r="AB114" s="19">
        <f t="shared" si="15"/>
        <v>0</v>
      </c>
      <c r="AC114" s="16">
        <v>20</v>
      </c>
      <c r="AD114" s="18"/>
      <c r="AE114" s="17"/>
      <c r="AF114" s="23">
        <f t="shared" si="21"/>
        <v>15</v>
      </c>
      <c r="AG114" s="16">
        <v>45</v>
      </c>
      <c r="AH114" s="23">
        <f t="shared" si="16"/>
        <v>80</v>
      </c>
      <c r="AI114" s="14">
        <f t="shared" si="17"/>
        <v>0.93</v>
      </c>
      <c r="AJ114" s="13"/>
      <c r="AK114" s="12">
        <v>0.01</v>
      </c>
      <c r="AL114" s="11">
        <f t="shared" si="18"/>
        <v>1.01</v>
      </c>
      <c r="AM114" s="10">
        <f t="shared" si="19"/>
        <v>6206696000</v>
      </c>
      <c r="AN114" s="9"/>
      <c r="AO114" s="8"/>
      <c r="AP114" s="8"/>
      <c r="AQ114" s="8"/>
      <c r="AR114" s="8"/>
      <c r="AS114" s="7"/>
      <c r="AT114" s="6">
        <f t="shared" si="20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12"/>
        <v>1</v>
      </c>
      <c r="O115" s="25">
        <v>15</v>
      </c>
      <c r="P115" s="23">
        <v>15</v>
      </c>
      <c r="Q115" s="24"/>
      <c r="R115" s="24"/>
      <c r="S115" s="23"/>
      <c r="T115" s="20">
        <f t="shared" si="13"/>
        <v>15</v>
      </c>
      <c r="U115" s="19">
        <f t="shared" si="22"/>
        <v>15</v>
      </c>
      <c r="V115" s="22"/>
      <c r="W115" s="22"/>
      <c r="X115" s="22"/>
      <c r="Y115" s="22"/>
      <c r="Z115" s="21"/>
      <c r="AA115" s="20">
        <f t="shared" si="14"/>
        <v>0</v>
      </c>
      <c r="AB115" s="19">
        <f t="shared" si="15"/>
        <v>0</v>
      </c>
      <c r="AC115" s="16">
        <v>20</v>
      </c>
      <c r="AD115" s="18"/>
      <c r="AE115" s="17"/>
      <c r="AF115" s="23">
        <f t="shared" si="21"/>
        <v>15</v>
      </c>
      <c r="AG115" s="16">
        <v>45</v>
      </c>
      <c r="AH115" s="23">
        <f t="shared" si="16"/>
        <v>80</v>
      </c>
      <c r="AI115" s="14">
        <f t="shared" si="17"/>
        <v>0.93</v>
      </c>
      <c r="AJ115" s="13"/>
      <c r="AK115" s="12">
        <v>0.01</v>
      </c>
      <c r="AL115" s="11">
        <f t="shared" si="18"/>
        <v>1.01</v>
      </c>
      <c r="AM115" s="10">
        <f t="shared" si="19"/>
        <v>6206696000</v>
      </c>
      <c r="AN115" s="9"/>
      <c r="AO115" s="8"/>
      <c r="AP115" s="8"/>
      <c r="AQ115" s="8"/>
      <c r="AR115" s="8"/>
      <c r="AS115" s="7"/>
      <c r="AT115" s="6">
        <f t="shared" si="20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12"/>
        <v>1</v>
      </c>
      <c r="O116" s="25">
        <v>15</v>
      </c>
      <c r="P116" s="23">
        <v>15</v>
      </c>
      <c r="Q116" s="24"/>
      <c r="R116" s="24"/>
      <c r="S116" s="23"/>
      <c r="T116" s="20">
        <f t="shared" si="13"/>
        <v>15</v>
      </c>
      <c r="U116" s="19">
        <f t="shared" si="22"/>
        <v>15</v>
      </c>
      <c r="V116" s="22"/>
      <c r="W116" s="22"/>
      <c r="X116" s="22"/>
      <c r="Y116" s="22"/>
      <c r="Z116" s="21"/>
      <c r="AA116" s="20">
        <f t="shared" si="14"/>
        <v>0</v>
      </c>
      <c r="AB116" s="19">
        <f t="shared" si="15"/>
        <v>0</v>
      </c>
      <c r="AC116" s="16">
        <v>20</v>
      </c>
      <c r="AD116" s="18"/>
      <c r="AE116" s="17"/>
      <c r="AF116" s="23">
        <f t="shared" si="21"/>
        <v>15</v>
      </c>
      <c r="AG116" s="16">
        <v>45</v>
      </c>
      <c r="AH116" s="23">
        <f t="shared" si="16"/>
        <v>80</v>
      </c>
      <c r="AI116" s="14">
        <f t="shared" si="17"/>
        <v>0.93</v>
      </c>
      <c r="AJ116" s="13"/>
      <c r="AK116" s="12">
        <v>0.01</v>
      </c>
      <c r="AL116" s="11">
        <f t="shared" si="18"/>
        <v>1.01</v>
      </c>
      <c r="AM116" s="10">
        <f t="shared" si="19"/>
        <v>6206696000</v>
      </c>
      <c r="AN116" s="9"/>
      <c r="AO116" s="8"/>
      <c r="AP116" s="8"/>
      <c r="AQ116" s="8"/>
      <c r="AR116" s="8"/>
      <c r="AS116" s="7"/>
      <c r="AT116" s="6">
        <f t="shared" si="20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12"/>
        <v>1</v>
      </c>
      <c r="O117" s="25">
        <v>15</v>
      </c>
      <c r="P117" s="23">
        <v>15</v>
      </c>
      <c r="Q117" s="24"/>
      <c r="R117" s="24"/>
      <c r="S117" s="23"/>
      <c r="T117" s="20">
        <f t="shared" si="13"/>
        <v>15</v>
      </c>
      <c r="U117" s="19">
        <f t="shared" si="22"/>
        <v>15</v>
      </c>
      <c r="V117" s="22"/>
      <c r="W117" s="22"/>
      <c r="X117" s="22"/>
      <c r="Y117" s="22"/>
      <c r="Z117" s="21"/>
      <c r="AA117" s="20">
        <f t="shared" si="14"/>
        <v>0</v>
      </c>
      <c r="AB117" s="19">
        <f t="shared" si="15"/>
        <v>0</v>
      </c>
      <c r="AC117" s="16">
        <v>20</v>
      </c>
      <c r="AD117" s="18"/>
      <c r="AE117" s="17"/>
      <c r="AF117" s="23">
        <f t="shared" si="21"/>
        <v>15</v>
      </c>
      <c r="AG117" s="16">
        <v>45</v>
      </c>
      <c r="AH117" s="23">
        <f t="shared" si="16"/>
        <v>80</v>
      </c>
      <c r="AI117" s="14">
        <f t="shared" si="17"/>
        <v>0.93</v>
      </c>
      <c r="AJ117" s="13"/>
      <c r="AK117" s="12">
        <v>0.01</v>
      </c>
      <c r="AL117" s="11">
        <f t="shared" si="18"/>
        <v>1.01</v>
      </c>
      <c r="AM117" s="10">
        <f t="shared" si="19"/>
        <v>6206696000</v>
      </c>
      <c r="AN117" s="9"/>
      <c r="AO117" s="8"/>
      <c r="AP117" s="8"/>
      <c r="AQ117" s="8"/>
      <c r="AR117" s="8"/>
      <c r="AS117" s="7"/>
      <c r="AT117" s="6">
        <f t="shared" si="20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12"/>
        <v>1</v>
      </c>
      <c r="O118" s="25">
        <v>15</v>
      </c>
      <c r="P118" s="23">
        <v>15</v>
      </c>
      <c r="Q118" s="24"/>
      <c r="R118" s="24"/>
      <c r="S118" s="23"/>
      <c r="T118" s="20">
        <f t="shared" si="13"/>
        <v>15</v>
      </c>
      <c r="U118" s="19">
        <f t="shared" si="22"/>
        <v>15</v>
      </c>
      <c r="V118" s="22"/>
      <c r="W118" s="22"/>
      <c r="X118" s="22"/>
      <c r="Y118" s="22"/>
      <c r="Z118" s="21"/>
      <c r="AA118" s="20">
        <f t="shared" si="14"/>
        <v>0</v>
      </c>
      <c r="AB118" s="19">
        <f t="shared" si="15"/>
        <v>0</v>
      </c>
      <c r="AC118" s="16">
        <v>20</v>
      </c>
      <c r="AD118" s="18"/>
      <c r="AE118" s="17"/>
      <c r="AF118" s="23">
        <f t="shared" si="21"/>
        <v>15</v>
      </c>
      <c r="AG118" s="16">
        <v>45</v>
      </c>
      <c r="AH118" s="23">
        <f t="shared" si="16"/>
        <v>80</v>
      </c>
      <c r="AI118" s="14">
        <f t="shared" si="17"/>
        <v>0.93</v>
      </c>
      <c r="AJ118" s="13"/>
      <c r="AK118" s="12">
        <v>0.01</v>
      </c>
      <c r="AL118" s="11">
        <f t="shared" si="18"/>
        <v>1.01</v>
      </c>
      <c r="AM118" s="10">
        <f t="shared" si="19"/>
        <v>6206696000</v>
      </c>
      <c r="AN118" s="9"/>
      <c r="AO118" s="8"/>
      <c r="AP118" s="8"/>
      <c r="AQ118" s="8"/>
      <c r="AR118" s="8"/>
      <c r="AS118" s="7"/>
      <c r="AT118" s="6">
        <f t="shared" si="20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12"/>
        <v>1</v>
      </c>
      <c r="O119" s="25">
        <v>15</v>
      </c>
      <c r="P119" s="23">
        <v>15</v>
      </c>
      <c r="Q119" s="24"/>
      <c r="R119" s="24"/>
      <c r="S119" s="23"/>
      <c r="T119" s="20">
        <f t="shared" si="13"/>
        <v>15</v>
      </c>
      <c r="U119" s="19">
        <f t="shared" si="22"/>
        <v>15</v>
      </c>
      <c r="V119" s="22"/>
      <c r="W119" s="22"/>
      <c r="X119" s="22"/>
      <c r="Y119" s="22"/>
      <c r="Z119" s="21"/>
      <c r="AA119" s="20">
        <f t="shared" si="14"/>
        <v>0</v>
      </c>
      <c r="AB119" s="19">
        <f t="shared" si="15"/>
        <v>0</v>
      </c>
      <c r="AC119" s="16">
        <v>20</v>
      </c>
      <c r="AD119" s="18"/>
      <c r="AE119" s="17"/>
      <c r="AF119" s="23">
        <f t="shared" si="21"/>
        <v>15</v>
      </c>
      <c r="AG119" s="16">
        <v>45</v>
      </c>
      <c r="AH119" s="23">
        <f t="shared" si="16"/>
        <v>80</v>
      </c>
      <c r="AI119" s="14">
        <f t="shared" si="17"/>
        <v>0.93</v>
      </c>
      <c r="AJ119" s="13"/>
      <c r="AK119" s="12">
        <v>0.01</v>
      </c>
      <c r="AL119" s="11">
        <f t="shared" si="18"/>
        <v>1.01</v>
      </c>
      <c r="AM119" s="10">
        <f t="shared" si="19"/>
        <v>6206696000</v>
      </c>
      <c r="AN119" s="9"/>
      <c r="AO119" s="8"/>
      <c r="AP119" s="8"/>
      <c r="AQ119" s="8"/>
      <c r="AR119" s="8"/>
      <c r="AS119" s="7"/>
      <c r="AT119" s="6">
        <f t="shared" si="20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12"/>
        <v>1</v>
      </c>
      <c r="O120" s="25">
        <v>15</v>
      </c>
      <c r="P120" s="23">
        <v>15</v>
      </c>
      <c r="Q120" s="24"/>
      <c r="R120" s="24"/>
      <c r="S120" s="23"/>
      <c r="T120" s="20">
        <f t="shared" si="13"/>
        <v>15</v>
      </c>
      <c r="U120" s="19">
        <f t="shared" si="22"/>
        <v>15</v>
      </c>
      <c r="V120" s="22"/>
      <c r="W120" s="22"/>
      <c r="X120" s="22"/>
      <c r="Y120" s="22"/>
      <c r="Z120" s="21"/>
      <c r="AA120" s="20">
        <f t="shared" si="14"/>
        <v>0</v>
      </c>
      <c r="AB120" s="19">
        <f t="shared" si="15"/>
        <v>0</v>
      </c>
      <c r="AC120" s="16">
        <v>20</v>
      </c>
      <c r="AD120" s="18"/>
      <c r="AE120" s="17"/>
      <c r="AF120" s="23">
        <f t="shared" si="21"/>
        <v>15</v>
      </c>
      <c r="AG120" s="16">
        <v>45</v>
      </c>
      <c r="AH120" s="23">
        <f t="shared" si="16"/>
        <v>80</v>
      </c>
      <c r="AI120" s="14">
        <f t="shared" si="17"/>
        <v>0.93</v>
      </c>
      <c r="AJ120" s="13"/>
      <c r="AK120" s="12">
        <v>0.01</v>
      </c>
      <c r="AL120" s="11">
        <f t="shared" si="18"/>
        <v>1.01</v>
      </c>
      <c r="AM120" s="10">
        <f t="shared" si="19"/>
        <v>6206696000</v>
      </c>
      <c r="AN120" s="9"/>
      <c r="AO120" s="8"/>
      <c r="AP120" s="8"/>
      <c r="AQ120" s="8"/>
      <c r="AR120" s="8"/>
      <c r="AS120" s="7"/>
      <c r="AT120" s="6">
        <f t="shared" si="20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12"/>
        <v>1</v>
      </c>
      <c r="O121" s="25">
        <v>15</v>
      </c>
      <c r="P121" s="23">
        <v>15</v>
      </c>
      <c r="Q121" s="24"/>
      <c r="R121" s="24"/>
      <c r="S121" s="23"/>
      <c r="T121" s="20">
        <f t="shared" si="13"/>
        <v>15</v>
      </c>
      <c r="U121" s="19">
        <f t="shared" si="22"/>
        <v>15</v>
      </c>
      <c r="V121" s="22"/>
      <c r="W121" s="22"/>
      <c r="X121" s="22"/>
      <c r="Y121" s="22"/>
      <c r="Z121" s="21"/>
      <c r="AA121" s="20">
        <f t="shared" si="14"/>
        <v>0</v>
      </c>
      <c r="AB121" s="19">
        <f t="shared" si="15"/>
        <v>0</v>
      </c>
      <c r="AC121" s="16">
        <v>20</v>
      </c>
      <c r="AD121" s="18"/>
      <c r="AE121" s="17"/>
      <c r="AF121" s="23">
        <f t="shared" si="21"/>
        <v>15</v>
      </c>
      <c r="AG121" s="16">
        <v>45</v>
      </c>
      <c r="AH121" s="23">
        <f t="shared" si="16"/>
        <v>80</v>
      </c>
      <c r="AI121" s="14">
        <f t="shared" si="17"/>
        <v>0.93</v>
      </c>
      <c r="AJ121" s="13"/>
      <c r="AK121" s="12">
        <v>0.01</v>
      </c>
      <c r="AL121" s="11">
        <f t="shared" si="18"/>
        <v>1.01</v>
      </c>
      <c r="AM121" s="10">
        <f t="shared" si="19"/>
        <v>6206696000</v>
      </c>
      <c r="AN121" s="9"/>
      <c r="AO121" s="8"/>
      <c r="AP121" s="8"/>
      <c r="AQ121" s="8"/>
      <c r="AR121" s="8"/>
      <c r="AS121" s="7"/>
      <c r="AT121" s="6">
        <f t="shared" si="20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12"/>
        <v>1</v>
      </c>
      <c r="O122" s="25">
        <v>15</v>
      </c>
      <c r="P122" s="23">
        <v>15</v>
      </c>
      <c r="Q122" s="24"/>
      <c r="R122" s="24"/>
      <c r="S122" s="23"/>
      <c r="T122" s="20">
        <f t="shared" si="13"/>
        <v>15</v>
      </c>
      <c r="U122" s="19">
        <f t="shared" si="22"/>
        <v>15</v>
      </c>
      <c r="V122" s="22"/>
      <c r="W122" s="22"/>
      <c r="X122" s="22"/>
      <c r="Y122" s="22"/>
      <c r="Z122" s="21"/>
      <c r="AA122" s="20">
        <f t="shared" si="14"/>
        <v>0</v>
      </c>
      <c r="AB122" s="19">
        <f t="shared" si="15"/>
        <v>0</v>
      </c>
      <c r="AC122" s="16">
        <v>20</v>
      </c>
      <c r="AD122" s="18"/>
      <c r="AE122" s="17"/>
      <c r="AF122" s="23">
        <f t="shared" si="21"/>
        <v>15</v>
      </c>
      <c r="AG122" s="16">
        <v>45</v>
      </c>
      <c r="AH122" s="23">
        <f t="shared" si="16"/>
        <v>80</v>
      </c>
      <c r="AI122" s="14">
        <f t="shared" si="17"/>
        <v>0.93</v>
      </c>
      <c r="AJ122" s="13"/>
      <c r="AK122" s="12">
        <v>0.01</v>
      </c>
      <c r="AL122" s="11">
        <f t="shared" si="18"/>
        <v>1.01</v>
      </c>
      <c r="AM122" s="10">
        <f t="shared" si="19"/>
        <v>6206696000</v>
      </c>
      <c r="AN122" s="9"/>
      <c r="AO122" s="8"/>
      <c r="AP122" s="8"/>
      <c r="AQ122" s="8"/>
      <c r="AR122" s="8"/>
      <c r="AS122" s="7"/>
      <c r="AT122" s="6">
        <f t="shared" si="20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12"/>
        <v>1</v>
      </c>
      <c r="O123" s="25">
        <v>15</v>
      </c>
      <c r="P123" s="23">
        <v>15</v>
      </c>
      <c r="Q123" s="24"/>
      <c r="R123" s="24"/>
      <c r="S123" s="23"/>
      <c r="T123" s="20">
        <f t="shared" si="13"/>
        <v>15</v>
      </c>
      <c r="U123" s="19">
        <f t="shared" si="22"/>
        <v>15</v>
      </c>
      <c r="V123" s="22"/>
      <c r="W123" s="22"/>
      <c r="X123" s="22"/>
      <c r="Y123" s="22"/>
      <c r="Z123" s="21"/>
      <c r="AA123" s="20">
        <f t="shared" si="14"/>
        <v>0</v>
      </c>
      <c r="AB123" s="19">
        <f t="shared" si="15"/>
        <v>0</v>
      </c>
      <c r="AC123" s="16">
        <v>20</v>
      </c>
      <c r="AD123" s="18"/>
      <c r="AE123" s="17"/>
      <c r="AF123" s="23">
        <f t="shared" si="21"/>
        <v>15</v>
      </c>
      <c r="AG123" s="16">
        <v>45</v>
      </c>
      <c r="AH123" s="23">
        <f t="shared" si="16"/>
        <v>80</v>
      </c>
      <c r="AI123" s="14">
        <f t="shared" si="17"/>
        <v>0.93</v>
      </c>
      <c r="AJ123" s="13"/>
      <c r="AK123" s="12">
        <v>0.01</v>
      </c>
      <c r="AL123" s="11">
        <f t="shared" si="18"/>
        <v>1.01</v>
      </c>
      <c r="AM123" s="10">
        <f t="shared" si="19"/>
        <v>6206696000</v>
      </c>
      <c r="AN123" s="9"/>
      <c r="AO123" s="8"/>
      <c r="AP123" s="8"/>
      <c r="AQ123" s="8"/>
      <c r="AR123" s="8"/>
      <c r="AS123" s="7"/>
      <c r="AT123" s="6">
        <f t="shared" si="20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12"/>
        <v>1</v>
      </c>
      <c r="O124" s="25">
        <v>15</v>
      </c>
      <c r="P124" s="23">
        <v>15</v>
      </c>
      <c r="Q124" s="24"/>
      <c r="R124" s="24"/>
      <c r="S124" s="23"/>
      <c r="T124" s="20">
        <f t="shared" si="13"/>
        <v>15</v>
      </c>
      <c r="U124" s="19">
        <f t="shared" si="22"/>
        <v>15</v>
      </c>
      <c r="V124" s="22"/>
      <c r="W124" s="22"/>
      <c r="X124" s="22"/>
      <c r="Y124" s="22"/>
      <c r="Z124" s="21"/>
      <c r="AA124" s="20">
        <f t="shared" si="14"/>
        <v>0</v>
      </c>
      <c r="AB124" s="19">
        <f t="shared" si="15"/>
        <v>0</v>
      </c>
      <c r="AC124" s="16">
        <v>20</v>
      </c>
      <c r="AD124" s="18"/>
      <c r="AE124" s="17"/>
      <c r="AF124" s="23">
        <f t="shared" si="21"/>
        <v>15</v>
      </c>
      <c r="AG124" s="16">
        <v>45</v>
      </c>
      <c r="AH124" s="23">
        <f t="shared" si="16"/>
        <v>80</v>
      </c>
      <c r="AI124" s="14">
        <f t="shared" si="17"/>
        <v>0.93</v>
      </c>
      <c r="AJ124" s="13"/>
      <c r="AK124" s="12">
        <v>0.01</v>
      </c>
      <c r="AL124" s="11">
        <f t="shared" si="18"/>
        <v>1.01</v>
      </c>
      <c r="AM124" s="10">
        <f t="shared" si="19"/>
        <v>6206696000</v>
      </c>
      <c r="AN124" s="9"/>
      <c r="AO124" s="8"/>
      <c r="AP124" s="8"/>
      <c r="AQ124" s="8"/>
      <c r="AR124" s="8"/>
      <c r="AS124" s="7"/>
      <c r="AT124" s="6">
        <f t="shared" si="20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12"/>
        <v>1</v>
      </c>
      <c r="O125" s="25">
        <v>15</v>
      </c>
      <c r="P125" s="23">
        <v>15</v>
      </c>
      <c r="Q125" s="24"/>
      <c r="R125" s="24"/>
      <c r="S125" s="23"/>
      <c r="T125" s="20">
        <f t="shared" si="13"/>
        <v>15</v>
      </c>
      <c r="U125" s="19">
        <f t="shared" si="22"/>
        <v>15</v>
      </c>
      <c r="V125" s="22"/>
      <c r="W125" s="22"/>
      <c r="X125" s="22"/>
      <c r="Y125" s="22"/>
      <c r="Z125" s="21"/>
      <c r="AA125" s="20">
        <f t="shared" si="14"/>
        <v>0</v>
      </c>
      <c r="AB125" s="19">
        <f t="shared" si="15"/>
        <v>0</v>
      </c>
      <c r="AC125" s="16">
        <v>20</v>
      </c>
      <c r="AD125" s="18"/>
      <c r="AE125" s="17"/>
      <c r="AF125" s="23">
        <f t="shared" si="21"/>
        <v>15</v>
      </c>
      <c r="AG125" s="16">
        <v>45</v>
      </c>
      <c r="AH125" s="23">
        <f t="shared" si="16"/>
        <v>80</v>
      </c>
      <c r="AI125" s="14">
        <f t="shared" si="17"/>
        <v>0.93</v>
      </c>
      <c r="AJ125" s="13"/>
      <c r="AK125" s="12">
        <v>0.01</v>
      </c>
      <c r="AL125" s="11">
        <f t="shared" si="18"/>
        <v>1.01</v>
      </c>
      <c r="AM125" s="10">
        <f t="shared" si="19"/>
        <v>6206696000</v>
      </c>
      <c r="AN125" s="9"/>
      <c r="AO125" s="8"/>
      <c r="AP125" s="8"/>
      <c r="AQ125" s="8"/>
      <c r="AR125" s="8"/>
      <c r="AS125" s="7"/>
      <c r="AT125" s="6">
        <f t="shared" si="20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12"/>
        <v>1</v>
      </c>
      <c r="O126" s="25">
        <v>15</v>
      </c>
      <c r="P126" s="23">
        <v>15</v>
      </c>
      <c r="Q126" s="24"/>
      <c r="R126" s="24"/>
      <c r="S126" s="23"/>
      <c r="T126" s="20">
        <f t="shared" si="13"/>
        <v>15</v>
      </c>
      <c r="U126" s="19">
        <f t="shared" si="22"/>
        <v>15</v>
      </c>
      <c r="V126" s="22"/>
      <c r="W126" s="22"/>
      <c r="X126" s="22"/>
      <c r="Y126" s="22"/>
      <c r="Z126" s="21"/>
      <c r="AA126" s="20">
        <f t="shared" si="14"/>
        <v>0</v>
      </c>
      <c r="AB126" s="19">
        <f t="shared" si="15"/>
        <v>0</v>
      </c>
      <c r="AC126" s="16">
        <v>20</v>
      </c>
      <c r="AD126" s="18"/>
      <c r="AE126" s="17"/>
      <c r="AF126" s="23">
        <f t="shared" si="21"/>
        <v>15</v>
      </c>
      <c r="AG126" s="16">
        <v>45</v>
      </c>
      <c r="AH126" s="23">
        <f t="shared" si="16"/>
        <v>80</v>
      </c>
      <c r="AI126" s="14">
        <f t="shared" si="17"/>
        <v>0.93</v>
      </c>
      <c r="AJ126" s="13"/>
      <c r="AK126" s="12">
        <v>0.01</v>
      </c>
      <c r="AL126" s="11">
        <f t="shared" si="18"/>
        <v>1.01</v>
      </c>
      <c r="AM126" s="10">
        <f t="shared" si="19"/>
        <v>6206696000</v>
      </c>
      <c r="AN126" s="9"/>
      <c r="AO126" s="8"/>
      <c r="AP126" s="8"/>
      <c r="AQ126" s="8"/>
      <c r="AR126" s="8"/>
      <c r="AS126" s="7"/>
      <c r="AT126" s="6">
        <f t="shared" si="20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12"/>
        <v>1</v>
      </c>
      <c r="O127" s="25">
        <v>15</v>
      </c>
      <c r="P127" s="23">
        <v>15</v>
      </c>
      <c r="Q127" s="24"/>
      <c r="R127" s="24"/>
      <c r="S127" s="23"/>
      <c r="T127" s="20">
        <f t="shared" si="13"/>
        <v>15</v>
      </c>
      <c r="U127" s="19">
        <f t="shared" si="22"/>
        <v>15</v>
      </c>
      <c r="V127" s="22"/>
      <c r="W127" s="22"/>
      <c r="X127" s="22"/>
      <c r="Y127" s="22"/>
      <c r="Z127" s="21"/>
      <c r="AA127" s="20">
        <f t="shared" si="14"/>
        <v>0</v>
      </c>
      <c r="AB127" s="19">
        <f t="shared" si="15"/>
        <v>0</v>
      </c>
      <c r="AC127" s="16">
        <v>20</v>
      </c>
      <c r="AD127" s="18"/>
      <c r="AE127" s="17"/>
      <c r="AF127" s="23">
        <f t="shared" si="21"/>
        <v>15</v>
      </c>
      <c r="AG127" s="16">
        <v>45</v>
      </c>
      <c r="AH127" s="23">
        <f t="shared" si="16"/>
        <v>80</v>
      </c>
      <c r="AI127" s="14">
        <f t="shared" si="17"/>
        <v>0.93</v>
      </c>
      <c r="AJ127" s="13"/>
      <c r="AK127" s="12">
        <v>0.01</v>
      </c>
      <c r="AL127" s="11">
        <f t="shared" si="18"/>
        <v>1.01</v>
      </c>
      <c r="AM127" s="10">
        <f t="shared" si="19"/>
        <v>6206696000</v>
      </c>
      <c r="AN127" s="9"/>
      <c r="AO127" s="8"/>
      <c r="AP127" s="8"/>
      <c r="AQ127" s="8"/>
      <c r="AR127" s="8"/>
      <c r="AS127" s="7"/>
      <c r="AT127" s="6">
        <f t="shared" si="20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12"/>
        <v>1</v>
      </c>
      <c r="O128" s="25">
        <v>15</v>
      </c>
      <c r="P128" s="23">
        <v>15</v>
      </c>
      <c r="Q128" s="24"/>
      <c r="R128" s="24"/>
      <c r="S128" s="23"/>
      <c r="T128" s="20">
        <f t="shared" si="13"/>
        <v>15</v>
      </c>
      <c r="U128" s="19">
        <f t="shared" si="22"/>
        <v>15</v>
      </c>
      <c r="V128" s="22"/>
      <c r="W128" s="22"/>
      <c r="X128" s="22"/>
      <c r="Y128" s="22"/>
      <c r="Z128" s="21"/>
      <c r="AA128" s="20">
        <f t="shared" si="14"/>
        <v>0</v>
      </c>
      <c r="AB128" s="19">
        <f t="shared" si="15"/>
        <v>0</v>
      </c>
      <c r="AC128" s="16">
        <v>20</v>
      </c>
      <c r="AD128" s="18"/>
      <c r="AE128" s="17"/>
      <c r="AF128" s="23">
        <f t="shared" si="21"/>
        <v>15</v>
      </c>
      <c r="AG128" s="16">
        <v>45</v>
      </c>
      <c r="AH128" s="23">
        <f t="shared" si="16"/>
        <v>80</v>
      </c>
      <c r="AI128" s="14">
        <f t="shared" si="17"/>
        <v>0.93</v>
      </c>
      <c r="AJ128" s="13"/>
      <c r="AK128" s="12">
        <v>0.01</v>
      </c>
      <c r="AL128" s="11">
        <f t="shared" si="18"/>
        <v>1.01</v>
      </c>
      <c r="AM128" s="10">
        <f t="shared" si="19"/>
        <v>6206696000</v>
      </c>
      <c r="AN128" s="9"/>
      <c r="AO128" s="8"/>
      <c r="AP128" s="8"/>
      <c r="AQ128" s="8"/>
      <c r="AR128" s="8"/>
      <c r="AS128" s="7"/>
      <c r="AT128" s="6">
        <f t="shared" si="20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12"/>
        <v>1</v>
      </c>
      <c r="O129" s="25">
        <v>15</v>
      </c>
      <c r="P129" s="23">
        <v>15</v>
      </c>
      <c r="Q129" s="24"/>
      <c r="R129" s="24"/>
      <c r="S129" s="23"/>
      <c r="T129" s="20">
        <f t="shared" si="13"/>
        <v>15</v>
      </c>
      <c r="U129" s="19">
        <f t="shared" si="22"/>
        <v>15</v>
      </c>
      <c r="V129" s="22"/>
      <c r="W129" s="22"/>
      <c r="X129" s="22"/>
      <c r="Y129" s="22"/>
      <c r="Z129" s="21"/>
      <c r="AA129" s="20">
        <f t="shared" si="14"/>
        <v>0</v>
      </c>
      <c r="AB129" s="19">
        <f t="shared" si="15"/>
        <v>0</v>
      </c>
      <c r="AC129" s="16">
        <v>20</v>
      </c>
      <c r="AD129" s="18"/>
      <c r="AE129" s="17"/>
      <c r="AF129" s="23">
        <f t="shared" si="21"/>
        <v>15</v>
      </c>
      <c r="AG129" s="16">
        <v>45</v>
      </c>
      <c r="AH129" s="23">
        <f t="shared" si="16"/>
        <v>80</v>
      </c>
      <c r="AI129" s="14">
        <f t="shared" si="17"/>
        <v>0.93</v>
      </c>
      <c r="AJ129" s="13"/>
      <c r="AK129" s="12">
        <v>0.01</v>
      </c>
      <c r="AL129" s="11">
        <f t="shared" si="18"/>
        <v>1.01</v>
      </c>
      <c r="AM129" s="10">
        <f t="shared" si="19"/>
        <v>6206696000</v>
      </c>
      <c r="AN129" s="9"/>
      <c r="AO129" s="8"/>
      <c r="AP129" s="8"/>
      <c r="AQ129" s="8"/>
      <c r="AR129" s="8"/>
      <c r="AS129" s="7"/>
      <c r="AT129" s="6">
        <f t="shared" si="20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12"/>
        <v>1</v>
      </c>
      <c r="O130" s="25">
        <v>15</v>
      </c>
      <c r="P130" s="23">
        <v>15</v>
      </c>
      <c r="Q130" s="24"/>
      <c r="R130" s="24"/>
      <c r="S130" s="23"/>
      <c r="T130" s="20">
        <f t="shared" si="13"/>
        <v>15</v>
      </c>
      <c r="U130" s="19">
        <f t="shared" si="22"/>
        <v>15</v>
      </c>
      <c r="V130" s="22"/>
      <c r="W130" s="22"/>
      <c r="X130" s="22"/>
      <c r="Y130" s="22"/>
      <c r="Z130" s="21"/>
      <c r="AA130" s="20">
        <f t="shared" si="14"/>
        <v>0</v>
      </c>
      <c r="AB130" s="19">
        <f t="shared" si="15"/>
        <v>0</v>
      </c>
      <c r="AC130" s="16">
        <v>20</v>
      </c>
      <c r="AD130" s="18"/>
      <c r="AE130" s="17"/>
      <c r="AF130" s="23">
        <f t="shared" si="21"/>
        <v>15</v>
      </c>
      <c r="AG130" s="16">
        <v>45</v>
      </c>
      <c r="AH130" s="23">
        <f t="shared" si="16"/>
        <v>80</v>
      </c>
      <c r="AI130" s="14">
        <f t="shared" si="17"/>
        <v>0.93</v>
      </c>
      <c r="AJ130" s="13"/>
      <c r="AK130" s="12">
        <v>0.01</v>
      </c>
      <c r="AL130" s="11">
        <f t="shared" si="18"/>
        <v>1.01</v>
      </c>
      <c r="AM130" s="10">
        <f t="shared" si="19"/>
        <v>6206696000</v>
      </c>
      <c r="AN130" s="9"/>
      <c r="AO130" s="8"/>
      <c r="AP130" s="8"/>
      <c r="AQ130" s="8"/>
      <c r="AR130" s="8"/>
      <c r="AS130" s="7"/>
      <c r="AT130" s="6">
        <f t="shared" si="20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12"/>
        <v>1</v>
      </c>
      <c r="O131" s="25">
        <v>15</v>
      </c>
      <c r="P131" s="23">
        <v>15</v>
      </c>
      <c r="Q131" s="24"/>
      <c r="R131" s="24"/>
      <c r="S131" s="23"/>
      <c r="T131" s="20">
        <f t="shared" si="13"/>
        <v>15</v>
      </c>
      <c r="U131" s="19">
        <f t="shared" si="22"/>
        <v>15</v>
      </c>
      <c r="V131" s="22"/>
      <c r="W131" s="22"/>
      <c r="X131" s="22"/>
      <c r="Y131" s="22"/>
      <c r="Z131" s="21"/>
      <c r="AA131" s="20">
        <f t="shared" si="14"/>
        <v>0</v>
      </c>
      <c r="AB131" s="19">
        <f t="shared" si="15"/>
        <v>0</v>
      </c>
      <c r="AC131" s="16">
        <v>20</v>
      </c>
      <c r="AD131" s="18"/>
      <c r="AE131" s="17"/>
      <c r="AF131" s="23">
        <f t="shared" si="21"/>
        <v>15</v>
      </c>
      <c r="AG131" s="16">
        <v>45</v>
      </c>
      <c r="AH131" s="23">
        <f t="shared" si="16"/>
        <v>80</v>
      </c>
      <c r="AI131" s="14">
        <f t="shared" si="17"/>
        <v>0.93</v>
      </c>
      <c r="AJ131" s="13"/>
      <c r="AK131" s="12">
        <v>0.01</v>
      </c>
      <c r="AL131" s="11">
        <f t="shared" si="18"/>
        <v>1.01</v>
      </c>
      <c r="AM131" s="10">
        <f t="shared" si="19"/>
        <v>6206696000</v>
      </c>
      <c r="AN131" s="9"/>
      <c r="AO131" s="8"/>
      <c r="AP131" s="8"/>
      <c r="AQ131" s="8"/>
      <c r="AR131" s="8"/>
      <c r="AS131" s="7"/>
      <c r="AT131" s="6">
        <f t="shared" si="20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12"/>
        <v>1</v>
      </c>
      <c r="O132" s="25">
        <v>15</v>
      </c>
      <c r="P132" s="23">
        <v>15</v>
      </c>
      <c r="Q132" s="24"/>
      <c r="R132" s="24"/>
      <c r="S132" s="23"/>
      <c r="T132" s="20">
        <f t="shared" si="13"/>
        <v>15</v>
      </c>
      <c r="U132" s="19">
        <f t="shared" si="22"/>
        <v>15</v>
      </c>
      <c r="V132" s="22"/>
      <c r="W132" s="22"/>
      <c r="X132" s="22"/>
      <c r="Y132" s="22"/>
      <c r="Z132" s="21"/>
      <c r="AA132" s="20">
        <f t="shared" si="14"/>
        <v>0</v>
      </c>
      <c r="AB132" s="19">
        <f t="shared" si="15"/>
        <v>0</v>
      </c>
      <c r="AC132" s="16">
        <v>20</v>
      </c>
      <c r="AD132" s="18"/>
      <c r="AE132" s="17"/>
      <c r="AF132" s="23">
        <f t="shared" si="21"/>
        <v>15</v>
      </c>
      <c r="AG132" s="16">
        <v>45</v>
      </c>
      <c r="AH132" s="23">
        <f t="shared" si="16"/>
        <v>80</v>
      </c>
      <c r="AI132" s="14">
        <f t="shared" si="17"/>
        <v>0.93</v>
      </c>
      <c r="AJ132" s="13"/>
      <c r="AK132" s="12">
        <v>0.01</v>
      </c>
      <c r="AL132" s="11">
        <f t="shared" si="18"/>
        <v>1.01</v>
      </c>
      <c r="AM132" s="10">
        <f t="shared" si="19"/>
        <v>6206696000</v>
      </c>
      <c r="AN132" s="9"/>
      <c r="AO132" s="8"/>
      <c r="AP132" s="8"/>
      <c r="AQ132" s="8"/>
      <c r="AR132" s="8"/>
      <c r="AS132" s="7"/>
      <c r="AT132" s="6">
        <f t="shared" si="20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23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24">ROUND(((O133*I133)+(P133*J133)+(Q133*K133)+(R133*L133)+(S133*M133)),2)</f>
        <v>15</v>
      </c>
      <c r="U133" s="19">
        <f t="shared" si="22"/>
        <v>15</v>
      </c>
      <c r="V133" s="22"/>
      <c r="W133" s="22"/>
      <c r="X133" s="22"/>
      <c r="Y133" s="22"/>
      <c r="Z133" s="21"/>
      <c r="AA133" s="20">
        <f t="shared" ref="AA133:AA140" si="25">ROUND((((V133*I133)+(W133*J133)+(X133*K133)+(Y133*L133)+(Z133*M133))/$I$2*15),2)</f>
        <v>0</v>
      </c>
      <c r="AB133" s="19">
        <f t="shared" ref="AB133:AB140" si="26">IF(AA133&gt;=15,15,AA133)</f>
        <v>0</v>
      </c>
      <c r="AC133" s="16">
        <v>20</v>
      </c>
      <c r="AD133" s="18"/>
      <c r="AE133" s="17"/>
      <c r="AF133" s="23">
        <f t="shared" si="21"/>
        <v>15</v>
      </c>
      <c r="AG133" s="16">
        <v>45</v>
      </c>
      <c r="AH133" s="23">
        <f t="shared" ref="AH133:AH140" si="27">AC133+AF133+AG133+AE133</f>
        <v>80</v>
      </c>
      <c r="AI133" s="14">
        <f t="shared" ref="AI133:AI140" si="28">-((50-((176+(45+(30-AF133)))))/200)</f>
        <v>0.93</v>
      </c>
      <c r="AJ133" s="13"/>
      <c r="AK133" s="12">
        <v>0.01</v>
      </c>
      <c r="AL133" s="11">
        <f t="shared" ref="AL133:AL140" si="29">100%+AK133</f>
        <v>1.01</v>
      </c>
      <c r="AM133" s="10">
        <f t="shared" ref="AM133:AM140" si="30">ROUNDUP($D$2*AI133*AL133,-3)</f>
        <v>6206696000</v>
      </c>
      <c r="AN133" s="9"/>
      <c r="AO133" s="8"/>
      <c r="AP133" s="8"/>
      <c r="AQ133" s="8"/>
      <c r="AR133" s="8"/>
      <c r="AS133" s="7"/>
      <c r="AT133" s="6">
        <f t="shared" ref="AT133:AT140" si="31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23"/>
        <v>1</v>
      </c>
      <c r="O134" s="25">
        <v>15</v>
      </c>
      <c r="P134" s="23">
        <v>15</v>
      </c>
      <c r="Q134" s="24"/>
      <c r="R134" s="24"/>
      <c r="S134" s="23"/>
      <c r="T134" s="20">
        <f t="shared" si="24"/>
        <v>15</v>
      </c>
      <c r="U134" s="19">
        <f t="shared" si="22"/>
        <v>15</v>
      </c>
      <c r="V134" s="22"/>
      <c r="W134" s="22"/>
      <c r="X134" s="22"/>
      <c r="Y134" s="22"/>
      <c r="Z134" s="21"/>
      <c r="AA134" s="20">
        <f t="shared" si="25"/>
        <v>0</v>
      </c>
      <c r="AB134" s="19">
        <f t="shared" si="26"/>
        <v>0</v>
      </c>
      <c r="AC134" s="16">
        <v>20</v>
      </c>
      <c r="AD134" s="18"/>
      <c r="AE134" s="17"/>
      <c r="AF134" s="23">
        <f t="shared" si="21"/>
        <v>15</v>
      </c>
      <c r="AG134" s="16">
        <v>45</v>
      </c>
      <c r="AH134" s="23">
        <f t="shared" si="27"/>
        <v>80</v>
      </c>
      <c r="AI134" s="14">
        <f t="shared" si="28"/>
        <v>0.93</v>
      </c>
      <c r="AJ134" s="13"/>
      <c r="AK134" s="12">
        <v>0.01</v>
      </c>
      <c r="AL134" s="11">
        <f t="shared" si="29"/>
        <v>1.01</v>
      </c>
      <c r="AM134" s="10">
        <f t="shared" si="30"/>
        <v>6206696000</v>
      </c>
      <c r="AN134" s="9"/>
      <c r="AO134" s="8"/>
      <c r="AP134" s="8"/>
      <c r="AQ134" s="8"/>
      <c r="AR134" s="8"/>
      <c r="AS134" s="7"/>
      <c r="AT134" s="6">
        <f t="shared" si="31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23"/>
        <v>1</v>
      </c>
      <c r="O135" s="25">
        <v>15</v>
      </c>
      <c r="P135" s="23">
        <v>15</v>
      </c>
      <c r="Q135" s="24"/>
      <c r="R135" s="24"/>
      <c r="S135" s="23"/>
      <c r="T135" s="20">
        <f t="shared" si="24"/>
        <v>15</v>
      </c>
      <c r="U135" s="19">
        <f t="shared" si="22"/>
        <v>15</v>
      </c>
      <c r="V135" s="22"/>
      <c r="W135" s="22"/>
      <c r="X135" s="22"/>
      <c r="Y135" s="22"/>
      <c r="Z135" s="21"/>
      <c r="AA135" s="20">
        <f t="shared" si="25"/>
        <v>0</v>
      </c>
      <c r="AB135" s="19">
        <f t="shared" si="26"/>
        <v>0</v>
      </c>
      <c r="AC135" s="16">
        <v>20</v>
      </c>
      <c r="AD135" s="18"/>
      <c r="AE135" s="17"/>
      <c r="AF135" s="23">
        <f t="shared" ref="AF135:AF140" si="32">IF((U135+AB135+AD135)&gt;=30,30,(U135+AB135+AD135))</f>
        <v>15</v>
      </c>
      <c r="AG135" s="16">
        <v>45</v>
      </c>
      <c r="AH135" s="23">
        <f t="shared" si="27"/>
        <v>80</v>
      </c>
      <c r="AI135" s="14">
        <f t="shared" si="28"/>
        <v>0.93</v>
      </c>
      <c r="AJ135" s="13"/>
      <c r="AK135" s="12">
        <v>0.01</v>
      </c>
      <c r="AL135" s="11">
        <f t="shared" si="29"/>
        <v>1.01</v>
      </c>
      <c r="AM135" s="10">
        <f t="shared" si="30"/>
        <v>6206696000</v>
      </c>
      <c r="AN135" s="9"/>
      <c r="AO135" s="8"/>
      <c r="AP135" s="8"/>
      <c r="AQ135" s="8"/>
      <c r="AR135" s="8"/>
      <c r="AS135" s="7"/>
      <c r="AT135" s="6">
        <f t="shared" si="31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23"/>
        <v>1</v>
      </c>
      <c r="O136" s="25">
        <v>15</v>
      </c>
      <c r="P136" s="23">
        <v>15</v>
      </c>
      <c r="Q136" s="24"/>
      <c r="R136" s="24"/>
      <c r="S136" s="23"/>
      <c r="T136" s="20">
        <f t="shared" si="24"/>
        <v>15</v>
      </c>
      <c r="U136" s="19">
        <f t="shared" si="22"/>
        <v>15</v>
      </c>
      <c r="V136" s="22"/>
      <c r="W136" s="22"/>
      <c r="X136" s="22"/>
      <c r="Y136" s="22"/>
      <c r="Z136" s="21"/>
      <c r="AA136" s="20">
        <f t="shared" si="25"/>
        <v>0</v>
      </c>
      <c r="AB136" s="19">
        <f t="shared" si="26"/>
        <v>0</v>
      </c>
      <c r="AC136" s="16">
        <v>20</v>
      </c>
      <c r="AD136" s="18"/>
      <c r="AE136" s="17"/>
      <c r="AF136" s="23">
        <f t="shared" si="32"/>
        <v>15</v>
      </c>
      <c r="AG136" s="16">
        <v>45</v>
      </c>
      <c r="AH136" s="23">
        <f t="shared" si="27"/>
        <v>80</v>
      </c>
      <c r="AI136" s="14">
        <f t="shared" si="28"/>
        <v>0.93</v>
      </c>
      <c r="AJ136" s="13"/>
      <c r="AK136" s="12">
        <v>0.01</v>
      </c>
      <c r="AL136" s="11">
        <f t="shared" si="29"/>
        <v>1.01</v>
      </c>
      <c r="AM136" s="10">
        <f t="shared" si="30"/>
        <v>6206696000</v>
      </c>
      <c r="AN136" s="9"/>
      <c r="AO136" s="8"/>
      <c r="AP136" s="8"/>
      <c r="AQ136" s="8"/>
      <c r="AR136" s="8"/>
      <c r="AS136" s="7"/>
      <c r="AT136" s="6">
        <f t="shared" si="31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23"/>
        <v>1</v>
      </c>
      <c r="O137" s="25">
        <v>15</v>
      </c>
      <c r="P137" s="23">
        <v>15</v>
      </c>
      <c r="Q137" s="24"/>
      <c r="R137" s="24"/>
      <c r="S137" s="23"/>
      <c r="T137" s="20">
        <f t="shared" si="24"/>
        <v>15</v>
      </c>
      <c r="U137" s="19">
        <f t="shared" si="22"/>
        <v>15</v>
      </c>
      <c r="V137" s="22"/>
      <c r="W137" s="22"/>
      <c r="X137" s="22"/>
      <c r="Y137" s="22"/>
      <c r="Z137" s="21"/>
      <c r="AA137" s="20">
        <f t="shared" si="25"/>
        <v>0</v>
      </c>
      <c r="AB137" s="19">
        <f t="shared" si="26"/>
        <v>0</v>
      </c>
      <c r="AC137" s="16">
        <v>20</v>
      </c>
      <c r="AD137" s="18"/>
      <c r="AE137" s="17"/>
      <c r="AF137" s="23">
        <f t="shared" si="32"/>
        <v>15</v>
      </c>
      <c r="AG137" s="16">
        <v>45</v>
      </c>
      <c r="AH137" s="23">
        <f t="shared" si="27"/>
        <v>80</v>
      </c>
      <c r="AI137" s="14">
        <f t="shared" si="28"/>
        <v>0.93</v>
      </c>
      <c r="AJ137" s="13"/>
      <c r="AK137" s="12">
        <v>0.01</v>
      </c>
      <c r="AL137" s="11">
        <f t="shared" si="29"/>
        <v>1.01</v>
      </c>
      <c r="AM137" s="10">
        <f t="shared" si="30"/>
        <v>6206696000</v>
      </c>
      <c r="AN137" s="9"/>
      <c r="AO137" s="8"/>
      <c r="AP137" s="8"/>
      <c r="AQ137" s="8"/>
      <c r="AR137" s="8"/>
      <c r="AS137" s="7"/>
      <c r="AT137" s="6">
        <f t="shared" si="31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23"/>
        <v>1</v>
      </c>
      <c r="O138" s="25">
        <v>15</v>
      </c>
      <c r="P138" s="23">
        <v>15</v>
      </c>
      <c r="Q138" s="24"/>
      <c r="R138" s="24"/>
      <c r="S138" s="23"/>
      <c r="T138" s="20">
        <f t="shared" si="24"/>
        <v>15</v>
      </c>
      <c r="U138" s="19">
        <f t="shared" si="22"/>
        <v>15</v>
      </c>
      <c r="V138" s="22"/>
      <c r="W138" s="22"/>
      <c r="X138" s="22"/>
      <c r="Y138" s="22"/>
      <c r="Z138" s="21"/>
      <c r="AA138" s="20">
        <f t="shared" si="25"/>
        <v>0</v>
      </c>
      <c r="AB138" s="19">
        <f t="shared" si="26"/>
        <v>0</v>
      </c>
      <c r="AC138" s="16">
        <v>20</v>
      </c>
      <c r="AD138" s="18"/>
      <c r="AE138" s="17"/>
      <c r="AF138" s="23">
        <f t="shared" si="32"/>
        <v>15</v>
      </c>
      <c r="AG138" s="16">
        <v>45</v>
      </c>
      <c r="AH138" s="23">
        <f t="shared" si="27"/>
        <v>80</v>
      </c>
      <c r="AI138" s="14">
        <f t="shared" si="28"/>
        <v>0.93</v>
      </c>
      <c r="AJ138" s="13"/>
      <c r="AK138" s="12">
        <v>0.01</v>
      </c>
      <c r="AL138" s="11">
        <f t="shared" si="29"/>
        <v>1.01</v>
      </c>
      <c r="AM138" s="10">
        <f t="shared" si="30"/>
        <v>6206696000</v>
      </c>
      <c r="AN138" s="9"/>
      <c r="AO138" s="8"/>
      <c r="AP138" s="8"/>
      <c r="AQ138" s="8"/>
      <c r="AR138" s="8"/>
      <c r="AS138" s="7"/>
      <c r="AT138" s="6">
        <f t="shared" si="31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23"/>
        <v>1</v>
      </c>
      <c r="O139" s="25">
        <v>15</v>
      </c>
      <c r="P139" s="23">
        <v>15</v>
      </c>
      <c r="Q139" s="24"/>
      <c r="R139" s="24"/>
      <c r="S139" s="23"/>
      <c r="T139" s="20">
        <f t="shared" si="24"/>
        <v>15</v>
      </c>
      <c r="U139" s="19">
        <f t="shared" si="22"/>
        <v>15</v>
      </c>
      <c r="V139" s="22"/>
      <c r="W139" s="22"/>
      <c r="X139" s="22"/>
      <c r="Y139" s="22"/>
      <c r="Z139" s="21"/>
      <c r="AA139" s="20">
        <f t="shared" si="25"/>
        <v>0</v>
      </c>
      <c r="AB139" s="19">
        <f t="shared" si="26"/>
        <v>0</v>
      </c>
      <c r="AC139" s="16">
        <v>20</v>
      </c>
      <c r="AD139" s="18"/>
      <c r="AE139" s="17"/>
      <c r="AF139" s="23">
        <f t="shared" si="32"/>
        <v>15</v>
      </c>
      <c r="AG139" s="16">
        <v>45</v>
      </c>
      <c r="AH139" s="23">
        <f t="shared" si="27"/>
        <v>80</v>
      </c>
      <c r="AI139" s="14">
        <f t="shared" si="28"/>
        <v>0.93</v>
      </c>
      <c r="AJ139" s="13"/>
      <c r="AK139" s="12">
        <v>0.01</v>
      </c>
      <c r="AL139" s="11">
        <f t="shared" si="29"/>
        <v>1.01</v>
      </c>
      <c r="AM139" s="10">
        <f t="shared" si="30"/>
        <v>6206696000</v>
      </c>
      <c r="AN139" s="9"/>
      <c r="AO139" s="8"/>
      <c r="AP139" s="8"/>
      <c r="AQ139" s="8"/>
      <c r="AR139" s="8"/>
      <c r="AS139" s="7"/>
      <c r="AT139" s="6">
        <f t="shared" si="31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23"/>
        <v>1</v>
      </c>
      <c r="O140" s="25">
        <v>15</v>
      </c>
      <c r="P140" s="23">
        <v>15</v>
      </c>
      <c r="Q140" s="24"/>
      <c r="R140" s="24"/>
      <c r="S140" s="23"/>
      <c r="T140" s="20">
        <f t="shared" si="24"/>
        <v>15</v>
      </c>
      <c r="U140" s="19">
        <f t="shared" si="22"/>
        <v>15</v>
      </c>
      <c r="V140" s="22"/>
      <c r="W140" s="22"/>
      <c r="X140" s="22"/>
      <c r="Y140" s="22"/>
      <c r="Z140" s="21"/>
      <c r="AA140" s="20">
        <f t="shared" si="25"/>
        <v>0</v>
      </c>
      <c r="AB140" s="19">
        <f t="shared" si="26"/>
        <v>0</v>
      </c>
      <c r="AC140" s="16">
        <v>20</v>
      </c>
      <c r="AD140" s="18"/>
      <c r="AE140" s="17"/>
      <c r="AF140" s="15">
        <f t="shared" si="32"/>
        <v>15</v>
      </c>
      <c r="AG140" s="16">
        <v>45</v>
      </c>
      <c r="AH140" s="15">
        <f t="shared" si="27"/>
        <v>80</v>
      </c>
      <c r="AI140" s="14">
        <f t="shared" si="28"/>
        <v>0.93</v>
      </c>
      <c r="AJ140" s="13"/>
      <c r="AK140" s="12">
        <v>0.01</v>
      </c>
      <c r="AL140" s="11">
        <f t="shared" si="29"/>
        <v>1.01</v>
      </c>
      <c r="AM140" s="10">
        <f t="shared" si="30"/>
        <v>6206696000</v>
      </c>
      <c r="AN140" s="9"/>
      <c r="AO140" s="8"/>
      <c r="AP140" s="8"/>
      <c r="AQ140" s="8"/>
      <c r="AR140" s="8"/>
      <c r="AS140" s="7"/>
      <c r="AT140" s="6">
        <f t="shared" si="31"/>
        <v>0</v>
      </c>
    </row>
  </sheetData>
  <mergeCells count="27">
    <mergeCell ref="AT3:AT4"/>
    <mergeCell ref="AN3:AN4"/>
    <mergeCell ref="AO3:AO4"/>
    <mergeCell ref="AP3:AP4"/>
    <mergeCell ref="AQ3:AQ4"/>
    <mergeCell ref="AR3:AR4"/>
    <mergeCell ref="AS3:AS4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D1:E1"/>
    <mergeCell ref="I1:J1"/>
    <mergeCell ref="M1:AF1"/>
    <mergeCell ref="AH1:AK1"/>
    <mergeCell ref="D2:E2"/>
    <mergeCell ref="F2:G2"/>
    <mergeCell ref="I2:J2"/>
    <mergeCell ref="O2:T2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T140"/>
  <sheetViews>
    <sheetView showZeros="0" view="pageBreakPreview" zoomScale="80" zoomScaleSheetLayoutView="80" workbookViewId="0">
      <selection activeCell="X12" sqref="X12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133</v>
      </c>
      <c r="D1" s="179"/>
      <c r="E1" s="179"/>
      <c r="F1" s="130"/>
      <c r="G1" s="130"/>
      <c r="H1" s="132" t="s">
        <v>132</v>
      </c>
      <c r="I1" s="180"/>
      <c r="J1" s="181"/>
      <c r="K1" s="139"/>
      <c r="L1" s="138"/>
      <c r="M1" s="182" t="s">
        <v>292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278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129</v>
      </c>
      <c r="D2" s="184">
        <v>7360034000</v>
      </c>
      <c r="E2" s="184"/>
      <c r="F2" s="185"/>
      <c r="G2" s="186"/>
      <c r="H2" s="132" t="s">
        <v>265</v>
      </c>
      <c r="I2" s="186">
        <f>D2*2</f>
        <v>14720068000</v>
      </c>
      <c r="J2" s="187"/>
      <c r="K2" s="131" t="s">
        <v>127</v>
      </c>
      <c r="L2" s="130"/>
      <c r="M2" s="130"/>
      <c r="N2" s="129" t="s">
        <v>126</v>
      </c>
      <c r="O2" s="188">
        <v>45944.583333333336</v>
      </c>
      <c r="P2" s="188"/>
      <c r="Q2" s="188"/>
      <c r="R2" s="188"/>
      <c r="S2" s="188"/>
      <c r="T2" s="188"/>
      <c r="U2" s="128"/>
      <c r="V2" s="141"/>
      <c r="W2" s="128"/>
      <c r="X2" s="128"/>
      <c r="Y2" s="142"/>
      <c r="Z2" s="142"/>
      <c r="AA2" s="142"/>
      <c r="AB2" s="142"/>
      <c r="AC2" s="142"/>
      <c r="AD2" s="143"/>
      <c r="AE2" s="142"/>
      <c r="AF2" s="142"/>
      <c r="AG2" s="142"/>
      <c r="AH2" s="123"/>
      <c r="AJ2" s="123"/>
      <c r="AK2" s="122"/>
      <c r="AL2" s="122"/>
      <c r="AM2" s="121" t="s">
        <v>124</v>
      </c>
      <c r="AO2" s="120" t="s">
        <v>260</v>
      </c>
      <c r="AP2" s="119">
        <v>6402040000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259</v>
      </c>
      <c r="B3" s="166" t="s">
        <v>121</v>
      </c>
      <c r="C3" s="168" t="s">
        <v>257</v>
      </c>
      <c r="D3" s="169"/>
      <c r="E3" s="169"/>
      <c r="F3" s="169"/>
      <c r="G3" s="169"/>
      <c r="H3" s="170"/>
      <c r="I3" s="168" t="s">
        <v>256</v>
      </c>
      <c r="J3" s="169"/>
      <c r="K3" s="169"/>
      <c r="L3" s="169"/>
      <c r="M3" s="170"/>
      <c r="N3" s="171" t="s">
        <v>255</v>
      </c>
      <c r="O3" s="168" t="s">
        <v>254</v>
      </c>
      <c r="P3" s="169"/>
      <c r="Q3" s="169"/>
      <c r="R3" s="169"/>
      <c r="S3" s="169"/>
      <c r="T3" s="170"/>
      <c r="U3" s="113"/>
      <c r="V3" s="168" t="s">
        <v>116</v>
      </c>
      <c r="W3" s="169"/>
      <c r="X3" s="169"/>
      <c r="Y3" s="169"/>
      <c r="Z3" s="169"/>
      <c r="AA3" s="170"/>
      <c r="AB3" s="113"/>
      <c r="AC3" s="113"/>
      <c r="AD3" s="114" t="s">
        <v>115</v>
      </c>
      <c r="AE3" s="113"/>
      <c r="AF3" s="113"/>
      <c r="AG3" s="113"/>
      <c r="AH3" s="112"/>
      <c r="AI3" s="173" t="s">
        <v>114</v>
      </c>
      <c r="AJ3" s="166" t="s">
        <v>113</v>
      </c>
      <c r="AK3" s="175" t="s">
        <v>249</v>
      </c>
      <c r="AL3" s="177" t="s">
        <v>248</v>
      </c>
      <c r="AM3" s="162" t="s">
        <v>247</v>
      </c>
      <c r="AN3" s="157" t="s">
        <v>109</v>
      </c>
      <c r="AO3" s="159" t="s">
        <v>246</v>
      </c>
      <c r="AP3" s="161" t="s">
        <v>245</v>
      </c>
      <c r="AQ3" s="156" t="s">
        <v>244</v>
      </c>
      <c r="AR3" s="156" t="s">
        <v>243</v>
      </c>
      <c r="AS3" s="156" t="s">
        <v>242</v>
      </c>
      <c r="AT3" s="156" t="s">
        <v>241</v>
      </c>
    </row>
    <row r="4" spans="1:46" s="5" customFormat="1" ht="39.75" customHeight="1" thickBot="1" x14ac:dyDescent="0.2">
      <c r="A4" s="165"/>
      <c r="B4" s="167"/>
      <c r="C4" s="109" t="s">
        <v>97</v>
      </c>
      <c r="D4" s="108" t="s">
        <v>235</v>
      </c>
      <c r="E4" s="105" t="s">
        <v>234</v>
      </c>
      <c r="F4" s="105" t="s">
        <v>240</v>
      </c>
      <c r="G4" s="105" t="s">
        <v>232</v>
      </c>
      <c r="H4" s="111" t="s">
        <v>239</v>
      </c>
      <c r="I4" s="109" t="s">
        <v>236</v>
      </c>
      <c r="J4" s="108" t="s">
        <v>235</v>
      </c>
      <c r="K4" s="107" t="s">
        <v>234</v>
      </c>
      <c r="L4" s="106" t="s">
        <v>233</v>
      </c>
      <c r="M4" s="105" t="s">
        <v>232</v>
      </c>
      <c r="N4" s="172"/>
      <c r="O4" s="109" t="s">
        <v>236</v>
      </c>
      <c r="P4" s="108" t="s">
        <v>235</v>
      </c>
      <c r="Q4" s="105" t="s">
        <v>234</v>
      </c>
      <c r="R4" s="107" t="s">
        <v>233</v>
      </c>
      <c r="S4" s="105" t="s">
        <v>232</v>
      </c>
      <c r="T4" s="110" t="s">
        <v>238</v>
      </c>
      <c r="U4" s="103" t="s">
        <v>237</v>
      </c>
      <c r="V4" s="109" t="s">
        <v>236</v>
      </c>
      <c r="W4" s="108" t="s">
        <v>235</v>
      </c>
      <c r="X4" s="107" t="s">
        <v>234</v>
      </c>
      <c r="Y4" s="106" t="s">
        <v>233</v>
      </c>
      <c r="Z4" s="105" t="s">
        <v>232</v>
      </c>
      <c r="AA4" s="104" t="s">
        <v>231</v>
      </c>
      <c r="AB4" s="103" t="s">
        <v>230</v>
      </c>
      <c r="AC4" s="100" t="s">
        <v>229</v>
      </c>
      <c r="AD4" s="102" t="s">
        <v>228</v>
      </c>
      <c r="AE4" s="102" t="s">
        <v>227</v>
      </c>
      <c r="AF4" s="101" t="s">
        <v>226</v>
      </c>
      <c r="AG4" s="100" t="s">
        <v>86</v>
      </c>
      <c r="AH4" s="100" t="s">
        <v>224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>
        <v>1</v>
      </c>
      <c r="B5" s="35"/>
      <c r="C5" s="73" t="s">
        <v>279</v>
      </c>
      <c r="D5" s="145" t="s">
        <v>280</v>
      </c>
      <c r="E5" s="73" t="s">
        <v>286</v>
      </c>
      <c r="F5" s="73"/>
      <c r="G5" s="73"/>
      <c r="H5" s="45"/>
      <c r="I5" s="38">
        <v>0.4</v>
      </c>
      <c r="J5" s="30">
        <v>0.3</v>
      </c>
      <c r="K5" s="29">
        <v>0.3</v>
      </c>
      <c r="L5" s="30"/>
      <c r="M5" s="27"/>
      <c r="N5" s="26">
        <f t="shared" ref="N5:N68" si="0">SUM(I5:M5)</f>
        <v>1</v>
      </c>
      <c r="O5" s="65">
        <v>15</v>
      </c>
      <c r="P5" s="23">
        <v>15</v>
      </c>
      <c r="Q5" s="144">
        <v>14.6</v>
      </c>
      <c r="R5" s="42"/>
      <c r="S5" s="42"/>
      <c r="T5" s="20">
        <f t="shared" ref="T5:T68" si="1">ROUND(((O5*I5)+(P5*J5)+(Q5*K5)+(R5*L5)+(S5*M5)),2)</f>
        <v>14.88</v>
      </c>
      <c r="U5" s="19">
        <f t="shared" ref="U5:U10" si="2">IF(T5&gt;=15,15,T5)</f>
        <v>14.88</v>
      </c>
      <c r="V5" s="146">
        <v>11716746000</v>
      </c>
      <c r="W5" s="147">
        <v>0</v>
      </c>
      <c r="X5" s="59">
        <v>60895199000</v>
      </c>
      <c r="Y5" s="22"/>
      <c r="Z5" s="21"/>
      <c r="AA5" s="20">
        <f t="shared" ref="AA5:AA68" si="3">ROUND((((V5*I5)+(W5*J5)+(X5*K5)+(Y5*L5)+(Z5*M5))/$I$2*15),2)</f>
        <v>23.39</v>
      </c>
      <c r="AB5" s="19">
        <f t="shared" ref="AB5:AB68" si="4">IF(AA5&gt;=15,15,AA5)</f>
        <v>15</v>
      </c>
      <c r="AC5" s="16">
        <v>20</v>
      </c>
      <c r="AD5" s="18">
        <f>3*I5*0.3</f>
        <v>0.36000000000000004</v>
      </c>
      <c r="AE5" s="97"/>
      <c r="AF5" s="23">
        <f>IF((U5+AB5+AD5)&gt;=30,30,(U5+AB5+AD5))</f>
        <v>30</v>
      </c>
      <c r="AG5" s="16">
        <v>45</v>
      </c>
      <c r="AH5" s="23">
        <f t="shared" ref="AH5:AH68" si="5">AC5+AF5+AG5+AE5</f>
        <v>95</v>
      </c>
      <c r="AI5" s="14">
        <f t="shared" ref="AI5:AI68" si="6">-((50-((176+(45+(30-AF5)))))/200)</f>
        <v>0.85499999999999998</v>
      </c>
      <c r="AJ5" s="13"/>
      <c r="AK5" s="12">
        <v>0.01</v>
      </c>
      <c r="AL5" s="11">
        <f t="shared" ref="AL5:AL68" si="7">100%+AK5</f>
        <v>1.01</v>
      </c>
      <c r="AM5" s="10">
        <f t="shared" ref="AM5:AM68" si="8">ROUNDUP($D$2*AI5*AL5,-3)</f>
        <v>6355758000</v>
      </c>
      <c r="AN5" s="9"/>
      <c r="AO5" s="16"/>
      <c r="AP5" s="81"/>
      <c r="AQ5" s="81"/>
      <c r="AR5" s="8"/>
      <c r="AS5" s="7"/>
      <c r="AT5" s="6">
        <f t="shared" ref="AT5:AT68" si="9">(AO5*J5)+(AP5*K5)+(AQ5*L5)+(AR5*M5)+(AS5*N5)</f>
        <v>0</v>
      </c>
    </row>
    <row r="6" spans="1:46" s="37" customFormat="1" ht="45.75" customHeight="1" thickBot="1" x14ac:dyDescent="0.2">
      <c r="A6" s="35">
        <v>2</v>
      </c>
      <c r="B6" s="35"/>
      <c r="C6" s="73" t="s">
        <v>82</v>
      </c>
      <c r="D6" s="96" t="s">
        <v>281</v>
      </c>
      <c r="E6" s="73" t="s">
        <v>284</v>
      </c>
      <c r="F6" s="73"/>
      <c r="G6" s="73"/>
      <c r="H6" s="45"/>
      <c r="I6" s="38">
        <v>0.4</v>
      </c>
      <c r="J6" s="30">
        <v>0.3</v>
      </c>
      <c r="K6" s="29">
        <v>0.3</v>
      </c>
      <c r="L6" s="30"/>
      <c r="M6" s="27"/>
      <c r="N6" s="26">
        <f t="shared" si="0"/>
        <v>1</v>
      </c>
      <c r="O6" s="65">
        <v>15</v>
      </c>
      <c r="P6" s="144">
        <v>14.23</v>
      </c>
      <c r="Q6" s="23">
        <v>15</v>
      </c>
      <c r="R6" s="42"/>
      <c r="S6" s="42"/>
      <c r="T6" s="20">
        <f t="shared" si="1"/>
        <v>14.77</v>
      </c>
      <c r="U6" s="19">
        <f t="shared" si="2"/>
        <v>14.77</v>
      </c>
      <c r="V6" s="146">
        <v>15563060000</v>
      </c>
      <c r="W6" s="147">
        <v>355365000</v>
      </c>
      <c r="X6" s="59">
        <v>63305526000</v>
      </c>
      <c r="Y6" s="41"/>
      <c r="Z6" s="21"/>
      <c r="AA6" s="20">
        <f t="shared" si="3"/>
        <v>25.81</v>
      </c>
      <c r="AB6" s="19">
        <f t="shared" si="4"/>
        <v>15</v>
      </c>
      <c r="AC6" s="16">
        <v>20</v>
      </c>
      <c r="AD6" s="18">
        <f>3*I6*0.3</f>
        <v>0.36000000000000004</v>
      </c>
      <c r="AE6" s="17"/>
      <c r="AF6" s="23">
        <f>IF((U6+AB6+AD6)&gt;=30,30,(U6+AB6+AD6))</f>
        <v>30</v>
      </c>
      <c r="AG6" s="16">
        <v>45</v>
      </c>
      <c r="AH6" s="23">
        <f t="shared" si="5"/>
        <v>95</v>
      </c>
      <c r="AI6" s="14">
        <f t="shared" si="6"/>
        <v>0.85499999999999998</v>
      </c>
      <c r="AJ6" s="13"/>
      <c r="AK6" s="12">
        <v>0.01</v>
      </c>
      <c r="AL6" s="11">
        <f t="shared" si="7"/>
        <v>1.01</v>
      </c>
      <c r="AM6" s="10">
        <f t="shared" si="8"/>
        <v>6355758000</v>
      </c>
      <c r="AN6" s="9"/>
      <c r="AO6" s="16"/>
      <c r="AP6" s="81"/>
      <c r="AQ6" s="81"/>
      <c r="AR6" s="8"/>
      <c r="AS6" s="7"/>
      <c r="AT6" s="6">
        <f t="shared" si="9"/>
        <v>0</v>
      </c>
    </row>
    <row r="7" spans="1:46" s="37" customFormat="1" ht="45.75" customHeight="1" thickBot="1" x14ac:dyDescent="0.2">
      <c r="A7" s="35">
        <v>3</v>
      </c>
      <c r="B7" s="148" t="s">
        <v>293</v>
      </c>
      <c r="C7" s="73" t="s">
        <v>282</v>
      </c>
      <c r="D7" s="70" t="s">
        <v>155</v>
      </c>
      <c r="E7" s="73"/>
      <c r="F7" s="73"/>
      <c r="G7" s="73"/>
      <c r="H7" s="45"/>
      <c r="I7" s="38">
        <v>0.7</v>
      </c>
      <c r="J7" s="30">
        <v>0.3</v>
      </c>
      <c r="K7" s="29"/>
      <c r="L7" s="30"/>
      <c r="M7" s="27"/>
      <c r="N7" s="26">
        <f t="shared" si="0"/>
        <v>1</v>
      </c>
      <c r="O7" s="65">
        <v>15</v>
      </c>
      <c r="P7" s="23">
        <v>15</v>
      </c>
      <c r="Q7" s="23">
        <v>15</v>
      </c>
      <c r="R7" s="42"/>
      <c r="S7" s="42"/>
      <c r="T7" s="20">
        <f t="shared" si="1"/>
        <v>15</v>
      </c>
      <c r="U7" s="19">
        <f t="shared" si="2"/>
        <v>15</v>
      </c>
      <c r="V7" s="146">
        <v>21672377000</v>
      </c>
      <c r="W7" s="147">
        <v>692740000</v>
      </c>
      <c r="X7" s="59"/>
      <c r="Y7" s="48"/>
      <c r="Z7" s="21"/>
      <c r="AA7" s="20">
        <f t="shared" si="3"/>
        <v>15.67</v>
      </c>
      <c r="AB7" s="19">
        <f t="shared" si="4"/>
        <v>15</v>
      </c>
      <c r="AC7" s="16">
        <v>20</v>
      </c>
      <c r="AD7" s="18"/>
      <c r="AE7" s="17"/>
      <c r="AF7" s="23">
        <f t="shared" ref="AF7:AF70" si="10">IF((U7+AB7+AD7)&gt;=30,30,(U7+AB7+AD7))</f>
        <v>30</v>
      </c>
      <c r="AG7" s="16">
        <v>45</v>
      </c>
      <c r="AH7" s="23">
        <f t="shared" si="5"/>
        <v>95</v>
      </c>
      <c r="AI7" s="14">
        <f t="shared" si="6"/>
        <v>0.85499999999999998</v>
      </c>
      <c r="AJ7" s="13"/>
      <c r="AK7" s="12">
        <v>0.01</v>
      </c>
      <c r="AL7" s="11">
        <f t="shared" si="7"/>
        <v>1.01</v>
      </c>
      <c r="AM7" s="10">
        <f t="shared" si="8"/>
        <v>6355758000</v>
      </c>
      <c r="AN7" s="9"/>
      <c r="AO7" s="16"/>
      <c r="AP7" s="81"/>
      <c r="AQ7" s="81"/>
      <c r="AR7" s="8"/>
      <c r="AS7" s="7"/>
      <c r="AT7" s="6">
        <f t="shared" si="9"/>
        <v>0</v>
      </c>
    </row>
    <row r="8" spans="1:46" s="37" customFormat="1" ht="45.75" customHeight="1" thickBot="1" x14ac:dyDescent="0.2">
      <c r="A8" s="35">
        <v>4</v>
      </c>
      <c r="B8" s="35"/>
      <c r="C8" s="73" t="s">
        <v>83</v>
      </c>
      <c r="D8" s="145" t="s">
        <v>283</v>
      </c>
      <c r="E8" s="73" t="s">
        <v>285</v>
      </c>
      <c r="F8" s="73"/>
      <c r="G8" s="73"/>
      <c r="H8" s="45"/>
      <c r="I8" s="38">
        <v>0.4</v>
      </c>
      <c r="J8" s="30">
        <v>0.3</v>
      </c>
      <c r="K8" s="29">
        <v>0.3</v>
      </c>
      <c r="L8" s="28"/>
      <c r="M8" s="27"/>
      <c r="N8" s="26">
        <f t="shared" si="0"/>
        <v>1</v>
      </c>
      <c r="O8" s="65">
        <v>15</v>
      </c>
      <c r="P8" s="23">
        <v>15</v>
      </c>
      <c r="Q8" s="23">
        <v>15</v>
      </c>
      <c r="R8" s="42"/>
      <c r="S8" s="42"/>
      <c r="T8" s="20">
        <f t="shared" si="1"/>
        <v>15</v>
      </c>
      <c r="U8" s="19">
        <f t="shared" si="2"/>
        <v>15</v>
      </c>
      <c r="V8" s="146">
        <v>7038779000</v>
      </c>
      <c r="W8" s="147">
        <v>0</v>
      </c>
      <c r="X8" s="59">
        <v>109829864000</v>
      </c>
      <c r="Y8" s="22"/>
      <c r="Z8" s="21"/>
      <c r="AA8" s="20">
        <f t="shared" si="3"/>
        <v>36.44</v>
      </c>
      <c r="AB8" s="19">
        <f t="shared" si="4"/>
        <v>15</v>
      </c>
      <c r="AC8" s="16">
        <v>20</v>
      </c>
      <c r="AD8" s="18"/>
      <c r="AE8" s="17"/>
      <c r="AF8" s="23">
        <f t="shared" si="10"/>
        <v>30</v>
      </c>
      <c r="AG8" s="16">
        <v>45</v>
      </c>
      <c r="AH8" s="23">
        <f t="shared" si="5"/>
        <v>95</v>
      </c>
      <c r="AI8" s="14">
        <f t="shared" si="6"/>
        <v>0.85499999999999998</v>
      </c>
      <c r="AJ8" s="13"/>
      <c r="AK8" s="12">
        <v>0.01</v>
      </c>
      <c r="AL8" s="11">
        <f t="shared" si="7"/>
        <v>1.01</v>
      </c>
      <c r="AM8" s="10">
        <f t="shared" si="8"/>
        <v>6355758000</v>
      </c>
      <c r="AN8" s="9"/>
      <c r="AO8" s="16"/>
      <c r="AP8" s="81"/>
      <c r="AQ8" s="81"/>
      <c r="AR8" s="8"/>
      <c r="AS8" s="7"/>
      <c r="AT8" s="6">
        <f t="shared" si="9"/>
        <v>0</v>
      </c>
    </row>
    <row r="9" spans="1:46" s="37" customFormat="1" ht="45.75" customHeight="1" thickBot="1" x14ac:dyDescent="0.2">
      <c r="A9" s="35"/>
      <c r="B9" s="35"/>
      <c r="C9" s="73" t="s">
        <v>287</v>
      </c>
      <c r="D9" s="73"/>
      <c r="E9" s="73"/>
      <c r="F9" s="73"/>
      <c r="G9" s="73"/>
      <c r="H9" s="45"/>
      <c r="I9" s="38">
        <v>0.6</v>
      </c>
      <c r="J9" s="30">
        <v>0.4</v>
      </c>
      <c r="K9" s="29"/>
      <c r="L9" s="28"/>
      <c r="M9" s="27"/>
      <c r="N9" s="26">
        <f t="shared" si="0"/>
        <v>1</v>
      </c>
      <c r="O9" s="65">
        <v>15</v>
      </c>
      <c r="P9" s="23">
        <v>15</v>
      </c>
      <c r="Q9" s="42"/>
      <c r="R9" s="42"/>
      <c r="S9" s="23"/>
      <c r="T9" s="20">
        <f t="shared" si="1"/>
        <v>15</v>
      </c>
      <c r="U9" s="19">
        <f t="shared" si="2"/>
        <v>15</v>
      </c>
      <c r="V9" s="52">
        <v>129427822000</v>
      </c>
      <c r="W9" s="59"/>
      <c r="X9" s="59"/>
      <c r="Y9" s="57"/>
      <c r="Z9" s="21"/>
      <c r="AA9" s="20">
        <f t="shared" si="3"/>
        <v>79.13</v>
      </c>
      <c r="AB9" s="19">
        <f t="shared" si="4"/>
        <v>15</v>
      </c>
      <c r="AC9" s="16">
        <v>20</v>
      </c>
      <c r="AD9" s="18"/>
      <c r="AE9" s="17"/>
      <c r="AF9" s="23">
        <f t="shared" si="10"/>
        <v>30</v>
      </c>
      <c r="AG9" s="16">
        <v>45</v>
      </c>
      <c r="AH9" s="23">
        <f t="shared" si="5"/>
        <v>95</v>
      </c>
      <c r="AI9" s="14">
        <f t="shared" si="6"/>
        <v>0.85499999999999998</v>
      </c>
      <c r="AJ9" s="13"/>
      <c r="AK9" s="12">
        <v>0.01</v>
      </c>
      <c r="AL9" s="11">
        <f t="shared" si="7"/>
        <v>1.01</v>
      </c>
      <c r="AM9" s="10">
        <f t="shared" si="8"/>
        <v>6355758000</v>
      </c>
      <c r="AN9" s="9"/>
      <c r="AO9" s="16"/>
      <c r="AP9" s="87"/>
      <c r="AQ9" s="81"/>
      <c r="AR9" s="8"/>
      <c r="AS9" s="7"/>
      <c r="AT9" s="6">
        <f t="shared" si="9"/>
        <v>0</v>
      </c>
    </row>
    <row r="10" spans="1:46" s="37" customFormat="1" ht="45.75" customHeight="1" thickBot="1" x14ac:dyDescent="0.2">
      <c r="A10" s="35"/>
      <c r="B10" s="35"/>
      <c r="C10" s="73" t="s">
        <v>54</v>
      </c>
      <c r="D10" s="73"/>
      <c r="E10" s="73"/>
      <c r="F10" s="73"/>
      <c r="G10" s="73"/>
      <c r="H10" s="45"/>
      <c r="I10" s="38">
        <v>0.6</v>
      </c>
      <c r="J10" s="30">
        <v>0.4</v>
      </c>
      <c r="K10" s="29"/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84">
        <v>56126180000</v>
      </c>
      <c r="W10" s="92"/>
      <c r="X10" s="41"/>
      <c r="Y10" s="41"/>
      <c r="Z10" s="21"/>
      <c r="AA10" s="20">
        <f t="shared" si="3"/>
        <v>34.32</v>
      </c>
      <c r="AB10" s="19">
        <f t="shared" si="4"/>
        <v>15</v>
      </c>
      <c r="AC10" s="16">
        <v>20</v>
      </c>
      <c r="AD10" s="18"/>
      <c r="AE10" s="17"/>
      <c r="AF10" s="93">
        <f t="shared" si="10"/>
        <v>30</v>
      </c>
      <c r="AG10" s="74">
        <v>45</v>
      </c>
      <c r="AH10" s="93">
        <f t="shared" si="5"/>
        <v>95</v>
      </c>
      <c r="AI10" s="14">
        <f t="shared" si="6"/>
        <v>0.85499999999999998</v>
      </c>
      <c r="AJ10" s="13"/>
      <c r="AK10" s="12">
        <v>0.01</v>
      </c>
      <c r="AL10" s="11">
        <f t="shared" si="7"/>
        <v>1.01</v>
      </c>
      <c r="AM10" s="10">
        <f t="shared" si="8"/>
        <v>6355758000</v>
      </c>
      <c r="AN10" s="9"/>
      <c r="AO10" s="16"/>
      <c r="AP10" s="71"/>
      <c r="AQ10" s="81"/>
      <c r="AR10" s="8"/>
      <c r="AS10" s="7"/>
      <c r="AT10" s="6">
        <f t="shared" si="9"/>
        <v>0</v>
      </c>
    </row>
    <row r="11" spans="1:46" s="37" customFormat="1" ht="45.75" customHeight="1" thickBot="1" x14ac:dyDescent="0.2">
      <c r="A11" s="35"/>
      <c r="B11" s="35"/>
      <c r="C11" s="73"/>
      <c r="D11" s="73" t="s">
        <v>289</v>
      </c>
      <c r="E11" s="73"/>
      <c r="F11" s="73"/>
      <c r="G11" s="73"/>
      <c r="H11" s="45"/>
      <c r="I11" s="38">
        <v>0.51</v>
      </c>
      <c r="J11" s="30">
        <v>0.49</v>
      </c>
      <c r="K11" s="29"/>
      <c r="L11" s="28"/>
      <c r="M11" s="27"/>
      <c r="N11" s="26">
        <f t="shared" si="0"/>
        <v>1</v>
      </c>
      <c r="O11" s="65">
        <v>15</v>
      </c>
      <c r="P11" s="23">
        <v>15</v>
      </c>
      <c r="Q11" s="42">
        <v>15</v>
      </c>
      <c r="R11" s="42"/>
      <c r="S11" s="23"/>
      <c r="T11" s="20">
        <f t="shared" si="1"/>
        <v>15</v>
      </c>
      <c r="U11" s="19"/>
      <c r="V11" s="84"/>
      <c r="W11" s="41">
        <v>36613423000</v>
      </c>
      <c r="X11" s="41"/>
      <c r="Y11" s="91"/>
      <c r="Z11" s="21"/>
      <c r="AA11" s="20">
        <f t="shared" si="3"/>
        <v>18.28</v>
      </c>
      <c r="AB11" s="19">
        <f t="shared" si="4"/>
        <v>15</v>
      </c>
      <c r="AC11" s="16">
        <v>20</v>
      </c>
      <c r="AD11" s="18"/>
      <c r="AE11" s="17"/>
      <c r="AF11" s="23">
        <f t="shared" si="10"/>
        <v>15</v>
      </c>
      <c r="AG11" s="16">
        <v>45</v>
      </c>
      <c r="AH11" s="23">
        <f t="shared" si="5"/>
        <v>80</v>
      </c>
      <c r="AI11" s="14">
        <f t="shared" si="6"/>
        <v>0.93</v>
      </c>
      <c r="AJ11" s="13"/>
      <c r="AK11" s="12">
        <v>0.01</v>
      </c>
      <c r="AL11" s="11">
        <f t="shared" si="7"/>
        <v>1.01</v>
      </c>
      <c r="AM11" s="10">
        <f t="shared" si="8"/>
        <v>6913280000</v>
      </c>
      <c r="AN11" s="9"/>
      <c r="AO11" s="16"/>
      <c r="AP11" s="71"/>
      <c r="AQ11" s="71"/>
      <c r="AR11" s="8"/>
      <c r="AS11" s="7"/>
      <c r="AT11" s="6">
        <f t="shared" si="9"/>
        <v>0</v>
      </c>
    </row>
    <row r="12" spans="1:46" s="37" customFormat="1" ht="45.75" customHeight="1" thickBot="1" x14ac:dyDescent="0.2">
      <c r="A12" s="35"/>
      <c r="B12" s="35"/>
      <c r="C12" s="73" t="s">
        <v>290</v>
      </c>
      <c r="D12" s="73"/>
      <c r="E12" s="73"/>
      <c r="F12" s="73"/>
      <c r="G12" s="73"/>
      <c r="H12" s="45"/>
      <c r="I12" s="38">
        <v>0.6</v>
      </c>
      <c r="J12" s="30">
        <v>0.4</v>
      </c>
      <c r="K12" s="29"/>
      <c r="L12" s="28"/>
      <c r="M12" s="27"/>
      <c r="N12" s="26">
        <f t="shared" si="0"/>
        <v>1</v>
      </c>
      <c r="O12" s="65">
        <v>15</v>
      </c>
      <c r="P12" s="23">
        <v>15</v>
      </c>
      <c r="Q12" s="42"/>
      <c r="R12" s="42"/>
      <c r="S12" s="23"/>
      <c r="T12" s="20">
        <f t="shared" si="1"/>
        <v>15</v>
      </c>
      <c r="U12" s="19"/>
      <c r="V12" s="78">
        <v>55832837000</v>
      </c>
      <c r="W12" s="59"/>
      <c r="X12" s="59"/>
      <c r="Y12" s="92"/>
      <c r="Z12" s="68"/>
      <c r="AA12" s="20">
        <f t="shared" si="3"/>
        <v>34.14</v>
      </c>
      <c r="AB12" s="19">
        <f t="shared" si="4"/>
        <v>15</v>
      </c>
      <c r="AC12" s="16">
        <v>20</v>
      </c>
      <c r="AD12" s="18"/>
      <c r="AE12" s="17"/>
      <c r="AF12" s="23">
        <f t="shared" si="10"/>
        <v>15</v>
      </c>
      <c r="AG12" s="16">
        <v>45</v>
      </c>
      <c r="AH12" s="23">
        <f t="shared" si="5"/>
        <v>80</v>
      </c>
      <c r="AI12" s="14">
        <f t="shared" si="6"/>
        <v>0.93</v>
      </c>
      <c r="AJ12" s="13"/>
      <c r="AK12" s="12">
        <v>0.01</v>
      </c>
      <c r="AL12" s="11">
        <f t="shared" si="7"/>
        <v>1.01</v>
      </c>
      <c r="AM12" s="10">
        <f t="shared" si="8"/>
        <v>6913280000</v>
      </c>
      <c r="AN12" s="9"/>
      <c r="AO12" s="16"/>
      <c r="AP12" s="72"/>
      <c r="AQ12" s="71"/>
      <c r="AR12" s="8"/>
      <c r="AS12" s="7"/>
      <c r="AT12" s="6">
        <f t="shared" si="9"/>
        <v>0</v>
      </c>
    </row>
    <row r="13" spans="1:46" s="37" customFormat="1" ht="45.75" customHeight="1" thickBot="1" x14ac:dyDescent="0.2">
      <c r="A13" s="35"/>
      <c r="B13" s="35"/>
      <c r="C13" s="73"/>
      <c r="D13" s="73"/>
      <c r="E13" s="73"/>
      <c r="F13" s="73"/>
      <c r="G13" s="73"/>
      <c r="H13" s="45"/>
      <c r="I13" s="38">
        <v>0.51</v>
      </c>
      <c r="J13" s="30">
        <v>0.49</v>
      </c>
      <c r="K13" s="29"/>
      <c r="L13" s="28"/>
      <c r="M13" s="29"/>
      <c r="N13" s="26">
        <f t="shared" si="0"/>
        <v>1</v>
      </c>
      <c r="O13" s="23">
        <v>15</v>
      </c>
      <c r="P13" s="23">
        <v>15</v>
      </c>
      <c r="Q13" s="42"/>
      <c r="R13" s="42"/>
      <c r="S13" s="24"/>
      <c r="T13" s="20">
        <f t="shared" si="1"/>
        <v>15</v>
      </c>
      <c r="U13" s="19"/>
      <c r="V13" s="78"/>
      <c r="W13" s="59"/>
      <c r="X13" s="22"/>
      <c r="Y13" s="22"/>
      <c r="Z13" s="22"/>
      <c r="AA13" s="20">
        <f t="shared" si="3"/>
        <v>0</v>
      </c>
      <c r="AB13" s="19">
        <f t="shared" si="4"/>
        <v>0</v>
      </c>
      <c r="AC13" s="16">
        <v>20</v>
      </c>
      <c r="AD13" s="18"/>
      <c r="AE13" s="17"/>
      <c r="AF13" s="23">
        <f t="shared" si="10"/>
        <v>0</v>
      </c>
      <c r="AG13" s="16">
        <v>45</v>
      </c>
      <c r="AH13" s="23">
        <f t="shared" si="5"/>
        <v>65</v>
      </c>
      <c r="AI13" s="14">
        <f t="shared" si="6"/>
        <v>1.0049999999999999</v>
      </c>
      <c r="AJ13" s="13"/>
      <c r="AK13" s="12">
        <v>0.01</v>
      </c>
      <c r="AL13" s="11">
        <f t="shared" si="7"/>
        <v>1.01</v>
      </c>
      <c r="AM13" s="10">
        <f t="shared" si="8"/>
        <v>7470803000</v>
      </c>
      <c r="AN13" s="9"/>
      <c r="AO13" s="8"/>
      <c r="AP13" s="8"/>
      <c r="AQ13" s="8"/>
      <c r="AR13" s="8"/>
      <c r="AS13" s="7"/>
      <c r="AT13" s="6">
        <f t="shared" si="9"/>
        <v>0</v>
      </c>
    </row>
    <row r="14" spans="1:46" s="37" customFormat="1" ht="45.75" customHeight="1" thickBot="1" x14ac:dyDescent="0.2">
      <c r="A14" s="35"/>
      <c r="B14" s="35"/>
      <c r="C14" s="73"/>
      <c r="D14" s="73" t="s">
        <v>288</v>
      </c>
      <c r="E14" s="73"/>
      <c r="F14" s="73"/>
      <c r="G14" s="73"/>
      <c r="H14" s="45"/>
      <c r="I14" s="38">
        <v>0.4</v>
      </c>
      <c r="J14" s="30">
        <v>0.3</v>
      </c>
      <c r="K14" s="29">
        <v>0.3</v>
      </c>
      <c r="L14" s="30"/>
      <c r="M14" s="27"/>
      <c r="N14" s="26">
        <f t="shared" si="0"/>
        <v>1</v>
      </c>
      <c r="O14" s="65">
        <v>15</v>
      </c>
      <c r="P14" s="23">
        <v>15</v>
      </c>
      <c r="Q14" s="23">
        <v>15</v>
      </c>
      <c r="R14" s="42"/>
      <c r="S14" s="42"/>
      <c r="T14" s="20">
        <f t="shared" si="1"/>
        <v>15</v>
      </c>
      <c r="U14" s="19"/>
      <c r="V14" s="79"/>
      <c r="W14" s="59">
        <v>21720797000</v>
      </c>
      <c r="X14" s="92"/>
      <c r="Y14" s="91"/>
      <c r="Z14" s="21"/>
      <c r="AA14" s="20">
        <f t="shared" si="3"/>
        <v>6.64</v>
      </c>
      <c r="AB14" s="19">
        <f t="shared" si="4"/>
        <v>6.64</v>
      </c>
      <c r="AC14" s="16">
        <v>20</v>
      </c>
      <c r="AD14" s="18"/>
      <c r="AE14" s="17"/>
      <c r="AF14" s="23">
        <f t="shared" si="10"/>
        <v>6.64</v>
      </c>
      <c r="AG14" s="16">
        <v>45</v>
      </c>
      <c r="AH14" s="23">
        <f t="shared" si="5"/>
        <v>71.64</v>
      </c>
      <c r="AI14" s="14">
        <f t="shared" si="6"/>
        <v>0.97180000000000011</v>
      </c>
      <c r="AJ14" s="13"/>
      <c r="AK14" s="12">
        <v>0.01</v>
      </c>
      <c r="AL14" s="11">
        <f t="shared" si="7"/>
        <v>1.01</v>
      </c>
      <c r="AM14" s="10">
        <f t="shared" si="8"/>
        <v>7224006000</v>
      </c>
      <c r="AN14" s="9"/>
      <c r="AO14" s="72"/>
      <c r="AP14" s="16"/>
      <c r="AQ14" s="16"/>
      <c r="AR14" s="8"/>
      <c r="AS14" s="7"/>
      <c r="AT14" s="6">
        <f t="shared" si="9"/>
        <v>0</v>
      </c>
    </row>
    <row r="15" spans="1:46" s="37" customFormat="1" ht="45.75" customHeight="1" thickBot="1" x14ac:dyDescent="0.2">
      <c r="A15" s="35"/>
      <c r="B15" s="35"/>
      <c r="C15" s="73"/>
      <c r="D15" s="73"/>
      <c r="E15" s="73"/>
      <c r="F15" s="73"/>
      <c r="G15" s="73"/>
      <c r="H15" s="77"/>
      <c r="I15" s="38">
        <v>0.4</v>
      </c>
      <c r="J15" s="30">
        <v>0.3</v>
      </c>
      <c r="K15" s="29">
        <v>0.3</v>
      </c>
      <c r="L15" s="28"/>
      <c r="M15" s="27"/>
      <c r="N15" s="26">
        <f t="shared" si="0"/>
        <v>1</v>
      </c>
      <c r="O15" s="65">
        <v>15</v>
      </c>
      <c r="P15" s="23">
        <v>15</v>
      </c>
      <c r="Q15" s="23">
        <v>15</v>
      </c>
      <c r="R15" s="42"/>
      <c r="S15" s="23"/>
      <c r="T15" s="20">
        <f t="shared" si="1"/>
        <v>15</v>
      </c>
      <c r="U15" s="19"/>
      <c r="V15" s="59"/>
      <c r="W15" s="68"/>
      <c r="X15" s="41"/>
      <c r="Y15" s="22"/>
      <c r="Z15" s="68"/>
      <c r="AA15" s="20">
        <f t="shared" si="3"/>
        <v>0</v>
      </c>
      <c r="AB15" s="19">
        <f t="shared" si="4"/>
        <v>0</v>
      </c>
      <c r="AC15" s="16">
        <v>20</v>
      </c>
      <c r="AD15" s="18"/>
      <c r="AE15" s="17"/>
      <c r="AF15" s="23">
        <f t="shared" si="10"/>
        <v>0</v>
      </c>
      <c r="AG15" s="16">
        <v>45</v>
      </c>
      <c r="AH15" s="23">
        <f t="shared" si="5"/>
        <v>65</v>
      </c>
      <c r="AI15" s="14">
        <f t="shared" si="6"/>
        <v>1.0049999999999999</v>
      </c>
      <c r="AJ15" s="13"/>
      <c r="AK15" s="12">
        <v>0.01</v>
      </c>
      <c r="AL15" s="11">
        <f t="shared" si="7"/>
        <v>1.01</v>
      </c>
      <c r="AM15" s="10">
        <f t="shared" si="8"/>
        <v>7470803000</v>
      </c>
      <c r="AN15" s="9"/>
      <c r="AO15" s="16"/>
      <c r="AP15" s="71"/>
      <c r="AQ15" s="16"/>
      <c r="AR15" s="8"/>
      <c r="AS15" s="7"/>
      <c r="AT15" s="6">
        <f t="shared" si="9"/>
        <v>0</v>
      </c>
    </row>
    <row r="16" spans="1:46" s="37" customFormat="1" ht="45.75" customHeight="1" thickBot="1" x14ac:dyDescent="0.2">
      <c r="A16" s="35"/>
      <c r="B16" s="35"/>
      <c r="C16" s="73"/>
      <c r="D16" s="73"/>
      <c r="E16" s="73"/>
      <c r="F16" s="73"/>
      <c r="G16" s="73"/>
      <c r="H16" s="45"/>
      <c r="I16" s="38">
        <v>0.7</v>
      </c>
      <c r="J16" s="30">
        <v>0.3</v>
      </c>
      <c r="K16" s="29"/>
      <c r="L16" s="28"/>
      <c r="M16" s="27"/>
      <c r="N16" s="26">
        <f t="shared" si="0"/>
        <v>1</v>
      </c>
      <c r="O16" s="65">
        <v>15</v>
      </c>
      <c r="P16" s="23">
        <v>15</v>
      </c>
      <c r="Q16" s="42"/>
      <c r="R16" s="42"/>
      <c r="S16" s="23"/>
      <c r="T16" s="20">
        <f t="shared" si="1"/>
        <v>15</v>
      </c>
      <c r="U16" s="19"/>
      <c r="V16" s="52"/>
      <c r="W16" s="59"/>
      <c r="X16" s="61"/>
      <c r="Y16" s="22"/>
      <c r="Z16" s="21"/>
      <c r="AA16" s="20">
        <f t="shared" si="3"/>
        <v>0</v>
      </c>
      <c r="AB16" s="19">
        <f t="shared" si="4"/>
        <v>0</v>
      </c>
      <c r="AC16" s="16">
        <v>20</v>
      </c>
      <c r="AD16" s="18"/>
      <c r="AE16" s="17"/>
      <c r="AF16" s="23">
        <f t="shared" si="10"/>
        <v>0</v>
      </c>
      <c r="AG16" s="16">
        <v>45</v>
      </c>
      <c r="AH16" s="23">
        <f t="shared" si="5"/>
        <v>65</v>
      </c>
      <c r="AI16" s="14">
        <f t="shared" si="6"/>
        <v>1.0049999999999999</v>
      </c>
      <c r="AJ16" s="13"/>
      <c r="AK16" s="12">
        <v>0.01</v>
      </c>
      <c r="AL16" s="11">
        <f t="shared" si="7"/>
        <v>1.01</v>
      </c>
      <c r="AM16" s="10">
        <f t="shared" si="8"/>
        <v>7470803000</v>
      </c>
      <c r="AN16" s="9"/>
      <c r="AO16" s="74"/>
      <c r="AP16" s="71"/>
      <c r="AQ16" s="71"/>
      <c r="AR16" s="8"/>
      <c r="AS16" s="7"/>
      <c r="AT16" s="6">
        <f t="shared" si="9"/>
        <v>0</v>
      </c>
    </row>
    <row r="17" spans="1:46" s="37" customFormat="1" ht="45.75" customHeight="1" thickBot="1" x14ac:dyDescent="0.2">
      <c r="A17" s="35"/>
      <c r="B17" s="35"/>
      <c r="C17" s="73"/>
      <c r="D17" s="73"/>
      <c r="E17" s="73"/>
      <c r="F17" s="73"/>
      <c r="G17" s="73"/>
      <c r="H17" s="45"/>
      <c r="I17" s="38">
        <v>0.7</v>
      </c>
      <c r="J17" s="30">
        <v>0.3</v>
      </c>
      <c r="K17" s="29"/>
      <c r="L17" s="28"/>
      <c r="M17" s="27"/>
      <c r="N17" s="26">
        <f t="shared" si="0"/>
        <v>1</v>
      </c>
      <c r="O17" s="65">
        <v>15</v>
      </c>
      <c r="P17" s="23">
        <v>15</v>
      </c>
      <c r="Q17" s="42"/>
      <c r="R17" s="42"/>
      <c r="S17" s="23"/>
      <c r="T17" s="20">
        <f t="shared" si="1"/>
        <v>15</v>
      </c>
      <c r="U17" s="19"/>
      <c r="V17" s="59"/>
      <c r="W17" s="59"/>
      <c r="X17" s="76"/>
      <c r="Y17" s="59"/>
      <c r="Z17" s="68"/>
      <c r="AA17" s="20">
        <f t="shared" si="3"/>
        <v>0</v>
      </c>
      <c r="AB17" s="19">
        <f t="shared" si="4"/>
        <v>0</v>
      </c>
      <c r="AC17" s="16">
        <v>20</v>
      </c>
      <c r="AD17" s="18"/>
      <c r="AE17" s="17"/>
      <c r="AF17" s="23">
        <f t="shared" si="10"/>
        <v>0</v>
      </c>
      <c r="AG17" s="16">
        <v>45</v>
      </c>
      <c r="AH17" s="23">
        <f t="shared" si="5"/>
        <v>65</v>
      </c>
      <c r="AI17" s="14">
        <f t="shared" si="6"/>
        <v>1.0049999999999999</v>
      </c>
      <c r="AJ17" s="13"/>
      <c r="AK17" s="12">
        <v>0.01</v>
      </c>
      <c r="AL17" s="11">
        <f t="shared" si="7"/>
        <v>1.01</v>
      </c>
      <c r="AM17" s="10">
        <f t="shared" si="8"/>
        <v>7470803000</v>
      </c>
      <c r="AN17" s="9"/>
      <c r="AO17" s="72"/>
      <c r="AP17" s="71"/>
      <c r="AQ17" s="72"/>
      <c r="AR17" s="8"/>
      <c r="AS17" s="7"/>
      <c r="AT17" s="6">
        <f t="shared" si="9"/>
        <v>0</v>
      </c>
    </row>
    <row r="18" spans="1:46" s="37" customFormat="1" ht="45.75" customHeight="1" thickBot="1" x14ac:dyDescent="0.2">
      <c r="A18" s="35"/>
      <c r="B18" s="35"/>
      <c r="C18" s="73"/>
      <c r="D18" s="73"/>
      <c r="E18" s="73"/>
      <c r="F18" s="73"/>
      <c r="G18" s="73"/>
      <c r="H18" s="45"/>
      <c r="I18" s="38">
        <v>0.5</v>
      </c>
      <c r="J18" s="30">
        <v>0.3</v>
      </c>
      <c r="K18" s="29">
        <v>0.2</v>
      </c>
      <c r="L18" s="30"/>
      <c r="M18" s="27"/>
      <c r="N18" s="26">
        <f t="shared" si="0"/>
        <v>1</v>
      </c>
      <c r="O18" s="65">
        <v>15</v>
      </c>
      <c r="P18" s="23">
        <v>15</v>
      </c>
      <c r="Q18" s="42">
        <v>15</v>
      </c>
      <c r="R18" s="42"/>
      <c r="S18" s="42"/>
      <c r="T18" s="20">
        <f t="shared" si="1"/>
        <v>15</v>
      </c>
      <c r="U18" s="19"/>
      <c r="V18" s="90"/>
      <c r="W18" s="41"/>
      <c r="X18" s="61"/>
      <c r="Y18" s="22"/>
      <c r="Z18" s="21"/>
      <c r="AA18" s="20">
        <f t="shared" si="3"/>
        <v>0</v>
      </c>
      <c r="AB18" s="19">
        <f t="shared" si="4"/>
        <v>0</v>
      </c>
      <c r="AC18" s="16">
        <v>20</v>
      </c>
      <c r="AD18" s="83"/>
      <c r="AE18" s="17"/>
      <c r="AF18" s="23">
        <f t="shared" si="10"/>
        <v>0</v>
      </c>
      <c r="AG18" s="16">
        <v>45</v>
      </c>
      <c r="AH18" s="23">
        <f t="shared" si="5"/>
        <v>65</v>
      </c>
      <c r="AI18" s="14">
        <f t="shared" si="6"/>
        <v>1.0049999999999999</v>
      </c>
      <c r="AJ18" s="13"/>
      <c r="AK18" s="12">
        <v>0.01</v>
      </c>
      <c r="AL18" s="11">
        <f t="shared" si="7"/>
        <v>1.01</v>
      </c>
      <c r="AM18" s="10">
        <f t="shared" si="8"/>
        <v>7470803000</v>
      </c>
      <c r="AN18" s="9"/>
      <c r="AO18" s="16"/>
      <c r="AP18" s="87"/>
      <c r="AQ18" s="81"/>
      <c r="AR18" s="8"/>
      <c r="AS18" s="7"/>
      <c r="AT18" s="6">
        <f t="shared" si="9"/>
        <v>0</v>
      </c>
    </row>
    <row r="19" spans="1:46" s="37" customFormat="1" ht="45.75" customHeight="1" thickBot="1" x14ac:dyDescent="0.2">
      <c r="A19" s="35"/>
      <c r="B19" s="35"/>
      <c r="C19" s="73"/>
      <c r="D19" s="73"/>
      <c r="E19" s="73"/>
      <c r="F19" s="73"/>
      <c r="G19" s="73"/>
      <c r="H19" s="45"/>
      <c r="I19" s="38">
        <v>0.6</v>
      </c>
      <c r="J19" s="30">
        <v>0.4</v>
      </c>
      <c r="K19" s="29"/>
      <c r="L19" s="28"/>
      <c r="M19" s="27"/>
      <c r="N19" s="26">
        <f t="shared" si="0"/>
        <v>1</v>
      </c>
      <c r="O19" s="65">
        <v>15</v>
      </c>
      <c r="P19" s="23">
        <v>15</v>
      </c>
      <c r="Q19" s="42"/>
      <c r="R19" s="42"/>
      <c r="S19" s="23"/>
      <c r="T19" s="20">
        <f t="shared" si="1"/>
        <v>15</v>
      </c>
      <c r="U19" s="19"/>
      <c r="V19" s="62"/>
      <c r="W19" s="59"/>
      <c r="X19" s="59"/>
      <c r="Y19" s="59"/>
      <c r="Z19" s="21"/>
      <c r="AA19" s="20">
        <f t="shared" si="3"/>
        <v>0</v>
      </c>
      <c r="AB19" s="19">
        <f t="shared" si="4"/>
        <v>0</v>
      </c>
      <c r="AC19" s="16">
        <v>20</v>
      </c>
      <c r="AD19" s="18"/>
      <c r="AE19" s="17"/>
      <c r="AF19" s="23">
        <f t="shared" si="10"/>
        <v>0</v>
      </c>
      <c r="AG19" s="16">
        <v>45</v>
      </c>
      <c r="AH19" s="23">
        <f t="shared" si="5"/>
        <v>65</v>
      </c>
      <c r="AI19" s="14">
        <f t="shared" si="6"/>
        <v>1.0049999999999999</v>
      </c>
      <c r="AJ19" s="13"/>
      <c r="AK19" s="12">
        <v>0.01</v>
      </c>
      <c r="AL19" s="11">
        <f t="shared" si="7"/>
        <v>1.01</v>
      </c>
      <c r="AM19" s="10">
        <f t="shared" si="8"/>
        <v>7470803000</v>
      </c>
      <c r="AN19" s="9"/>
      <c r="AO19" s="16"/>
      <c r="AP19" s="81"/>
      <c r="AQ19" s="87"/>
      <c r="AR19" s="8"/>
      <c r="AS19" s="7"/>
      <c r="AT19" s="6">
        <f t="shared" si="9"/>
        <v>0</v>
      </c>
    </row>
    <row r="20" spans="1:46" s="37" customFormat="1" ht="45.75" customHeight="1" thickBot="1" x14ac:dyDescent="0.2">
      <c r="A20" s="35"/>
      <c r="B20" s="35"/>
      <c r="C20" s="73"/>
      <c r="D20" s="73"/>
      <c r="E20" s="73"/>
      <c r="F20" s="73"/>
      <c r="G20" s="73"/>
      <c r="H20" s="45"/>
      <c r="I20" s="38">
        <v>0.6</v>
      </c>
      <c r="J20" s="30">
        <v>0.4</v>
      </c>
      <c r="K20" s="29"/>
      <c r="L20" s="28"/>
      <c r="M20" s="27"/>
      <c r="N20" s="26">
        <f t="shared" si="0"/>
        <v>1</v>
      </c>
      <c r="O20" s="65">
        <v>15</v>
      </c>
      <c r="P20" s="23">
        <v>15</v>
      </c>
      <c r="Q20" s="23"/>
      <c r="R20" s="42"/>
      <c r="S20" s="23"/>
      <c r="T20" s="20">
        <f t="shared" si="1"/>
        <v>15</v>
      </c>
      <c r="U20" s="19"/>
      <c r="V20" s="62"/>
      <c r="W20" s="68"/>
      <c r="X20" s="59"/>
      <c r="Y20" s="22"/>
      <c r="Z20" s="21"/>
      <c r="AA20" s="20">
        <f t="shared" si="3"/>
        <v>0</v>
      </c>
      <c r="AB20" s="19">
        <f t="shared" si="4"/>
        <v>0</v>
      </c>
      <c r="AC20" s="16">
        <v>20</v>
      </c>
      <c r="AD20" s="18"/>
      <c r="AE20" s="17"/>
      <c r="AF20" s="23">
        <f t="shared" si="10"/>
        <v>0</v>
      </c>
      <c r="AG20" s="16">
        <v>45</v>
      </c>
      <c r="AH20" s="23">
        <f t="shared" si="5"/>
        <v>65</v>
      </c>
      <c r="AI20" s="14">
        <f t="shared" si="6"/>
        <v>1.0049999999999999</v>
      </c>
      <c r="AJ20" s="13"/>
      <c r="AK20" s="12">
        <v>0.01</v>
      </c>
      <c r="AL20" s="11">
        <f t="shared" si="7"/>
        <v>1.01</v>
      </c>
      <c r="AM20" s="10">
        <f t="shared" si="8"/>
        <v>7470803000</v>
      </c>
      <c r="AN20" s="9"/>
      <c r="AO20" s="16"/>
      <c r="AP20" s="81"/>
      <c r="AQ20" s="88"/>
      <c r="AR20" s="8"/>
      <c r="AS20" s="7"/>
      <c r="AT20" s="6">
        <f t="shared" si="9"/>
        <v>0</v>
      </c>
    </row>
    <row r="21" spans="1:46" s="37" customFormat="1" ht="45.75" customHeight="1" thickBot="1" x14ac:dyDescent="0.2">
      <c r="A21" s="35"/>
      <c r="B21" s="35"/>
      <c r="C21" s="73"/>
      <c r="D21" s="73"/>
      <c r="E21" s="73"/>
      <c r="F21" s="73"/>
      <c r="G21" s="73"/>
      <c r="H21" s="45"/>
      <c r="I21" s="38">
        <v>0.6</v>
      </c>
      <c r="J21" s="30">
        <v>0.4</v>
      </c>
      <c r="K21" s="29"/>
      <c r="L21" s="28"/>
      <c r="M21" s="27"/>
      <c r="N21" s="26">
        <f t="shared" si="0"/>
        <v>1</v>
      </c>
      <c r="O21" s="65">
        <v>15</v>
      </c>
      <c r="P21" s="23">
        <v>15</v>
      </c>
      <c r="Q21" s="42"/>
      <c r="R21" s="42"/>
      <c r="S21" s="42"/>
      <c r="T21" s="20">
        <f t="shared" si="1"/>
        <v>15</v>
      </c>
      <c r="U21" s="19"/>
      <c r="V21" s="61"/>
      <c r="W21" s="22"/>
      <c r="X21" s="59"/>
      <c r="Y21" s="48"/>
      <c r="Z21" s="21"/>
      <c r="AA21" s="20">
        <f t="shared" si="3"/>
        <v>0</v>
      </c>
      <c r="AB21" s="19">
        <f t="shared" si="4"/>
        <v>0</v>
      </c>
      <c r="AC21" s="16">
        <v>20</v>
      </c>
      <c r="AD21" s="18"/>
      <c r="AE21" s="17"/>
      <c r="AF21" s="23">
        <f t="shared" si="10"/>
        <v>0</v>
      </c>
      <c r="AG21" s="16">
        <v>45</v>
      </c>
      <c r="AH21" s="23">
        <f t="shared" si="5"/>
        <v>65</v>
      </c>
      <c r="AI21" s="14">
        <f t="shared" si="6"/>
        <v>1.0049999999999999</v>
      </c>
      <c r="AJ21" s="13"/>
      <c r="AK21" s="12">
        <v>0.01</v>
      </c>
      <c r="AL21" s="11">
        <f t="shared" si="7"/>
        <v>1.01</v>
      </c>
      <c r="AM21" s="10">
        <f t="shared" si="8"/>
        <v>7470803000</v>
      </c>
      <c r="AN21" s="9"/>
      <c r="AO21" s="8"/>
      <c r="AP21" s="8"/>
      <c r="AQ21" s="8"/>
      <c r="AR21" s="8"/>
      <c r="AS21" s="7"/>
      <c r="AT21" s="6">
        <f t="shared" si="9"/>
        <v>0</v>
      </c>
    </row>
    <row r="22" spans="1:46" s="37" customFormat="1" ht="45.75" customHeight="1" thickBot="1" x14ac:dyDescent="0.2">
      <c r="A22" s="35"/>
      <c r="B22" s="35"/>
      <c r="C22" s="73"/>
      <c r="D22" s="73"/>
      <c r="E22" s="73"/>
      <c r="F22" s="73"/>
      <c r="G22" s="73"/>
      <c r="H22" s="45"/>
      <c r="I22" s="38">
        <v>0.51</v>
      </c>
      <c r="J22" s="30">
        <v>0.49</v>
      </c>
      <c r="K22" s="29"/>
      <c r="L22" s="28"/>
      <c r="M22" s="27"/>
      <c r="N22" s="26">
        <f t="shared" si="0"/>
        <v>1</v>
      </c>
      <c r="O22" s="65">
        <v>15</v>
      </c>
      <c r="P22" s="23">
        <v>15</v>
      </c>
      <c r="Q22" s="42"/>
      <c r="R22" s="42"/>
      <c r="S22" s="23"/>
      <c r="T22" s="20">
        <f t="shared" si="1"/>
        <v>15</v>
      </c>
      <c r="U22" s="19"/>
      <c r="V22" s="59"/>
      <c r="W22" s="48"/>
      <c r="X22" s="59"/>
      <c r="Y22" s="22"/>
      <c r="Z22" s="21"/>
      <c r="AA22" s="20">
        <f t="shared" si="3"/>
        <v>0</v>
      </c>
      <c r="AB22" s="19">
        <f t="shared" si="4"/>
        <v>0</v>
      </c>
      <c r="AC22" s="16">
        <v>20</v>
      </c>
      <c r="AD22" s="18"/>
      <c r="AE22" s="17"/>
      <c r="AF22" s="23">
        <f t="shared" si="10"/>
        <v>0</v>
      </c>
      <c r="AG22" s="16">
        <v>45</v>
      </c>
      <c r="AH22" s="23">
        <f t="shared" si="5"/>
        <v>65</v>
      </c>
      <c r="AI22" s="14">
        <f t="shared" si="6"/>
        <v>1.0049999999999999</v>
      </c>
      <c r="AJ22" s="13"/>
      <c r="AK22" s="12">
        <v>0.01</v>
      </c>
      <c r="AL22" s="11">
        <f t="shared" si="7"/>
        <v>1.01</v>
      </c>
      <c r="AM22" s="10">
        <f t="shared" si="8"/>
        <v>7470803000</v>
      </c>
      <c r="AN22" s="9"/>
      <c r="AO22" s="81"/>
      <c r="AP22" s="87"/>
      <c r="AQ22" s="81"/>
      <c r="AR22" s="8"/>
      <c r="AS22" s="7"/>
      <c r="AT22" s="6">
        <f t="shared" si="9"/>
        <v>0</v>
      </c>
    </row>
    <row r="23" spans="1:46" s="37" customFormat="1" ht="45.75" customHeight="1" thickBot="1" x14ac:dyDescent="0.2">
      <c r="A23" s="35"/>
      <c r="B23" s="35"/>
      <c r="C23" s="73"/>
      <c r="D23" s="73"/>
      <c r="E23" s="73"/>
      <c r="F23" s="73"/>
      <c r="G23" s="73"/>
      <c r="H23" s="77"/>
      <c r="I23" s="38">
        <v>0.51</v>
      </c>
      <c r="J23" s="29">
        <v>0.49</v>
      </c>
      <c r="K23" s="29"/>
      <c r="L23" s="28"/>
      <c r="M23" s="27"/>
      <c r="N23" s="26">
        <f t="shared" si="0"/>
        <v>1</v>
      </c>
      <c r="O23" s="65">
        <v>15</v>
      </c>
      <c r="P23" s="23">
        <v>15</v>
      </c>
      <c r="Q23" s="23"/>
      <c r="R23" s="42"/>
      <c r="S23" s="42"/>
      <c r="T23" s="20">
        <f t="shared" si="1"/>
        <v>15</v>
      </c>
      <c r="U23" s="19"/>
      <c r="V23" s="61"/>
      <c r="W23" s="22"/>
      <c r="X23" s="22"/>
      <c r="Y23" s="48"/>
      <c r="Z23" s="22"/>
      <c r="AA23" s="20">
        <f t="shared" si="3"/>
        <v>0</v>
      </c>
      <c r="AB23" s="19">
        <f t="shared" si="4"/>
        <v>0</v>
      </c>
      <c r="AC23" s="16">
        <v>20</v>
      </c>
      <c r="AD23" s="18"/>
      <c r="AE23" s="17"/>
      <c r="AF23" s="23">
        <f t="shared" si="10"/>
        <v>0</v>
      </c>
      <c r="AG23" s="16">
        <v>45</v>
      </c>
      <c r="AH23" s="23">
        <f t="shared" si="5"/>
        <v>65</v>
      </c>
      <c r="AI23" s="14">
        <f t="shared" si="6"/>
        <v>1.0049999999999999</v>
      </c>
      <c r="AJ23" s="13"/>
      <c r="AK23" s="12">
        <v>0.01</v>
      </c>
      <c r="AL23" s="11">
        <f t="shared" si="7"/>
        <v>1.01</v>
      </c>
      <c r="AM23" s="10">
        <f t="shared" si="8"/>
        <v>7470803000</v>
      </c>
      <c r="AN23" s="9"/>
      <c r="AO23" s="74"/>
      <c r="AP23" s="71"/>
      <c r="AQ23" s="71"/>
      <c r="AR23" s="8"/>
      <c r="AS23" s="7"/>
      <c r="AT23" s="6">
        <f t="shared" si="9"/>
        <v>0</v>
      </c>
    </row>
    <row r="24" spans="1:46" s="37" customFormat="1" ht="45.75" customHeight="1" thickBot="1" x14ac:dyDescent="0.2">
      <c r="A24" s="35"/>
      <c r="B24" s="35"/>
      <c r="C24" s="73"/>
      <c r="D24" s="73"/>
      <c r="E24" s="73"/>
      <c r="F24" s="73"/>
      <c r="G24" s="73"/>
      <c r="H24" s="45"/>
      <c r="I24" s="38">
        <v>0.51</v>
      </c>
      <c r="J24" s="30">
        <v>0.49</v>
      </c>
      <c r="K24" s="29"/>
      <c r="L24" s="28"/>
      <c r="M24" s="27"/>
      <c r="N24" s="26">
        <f t="shared" si="0"/>
        <v>1</v>
      </c>
      <c r="O24" s="65">
        <v>15</v>
      </c>
      <c r="P24" s="23">
        <v>15</v>
      </c>
      <c r="Q24" s="42"/>
      <c r="R24" s="42"/>
      <c r="S24" s="23"/>
      <c r="T24" s="20">
        <f t="shared" si="1"/>
        <v>15</v>
      </c>
      <c r="U24" s="19"/>
      <c r="V24" s="61"/>
      <c r="W24" s="22"/>
      <c r="X24" s="59"/>
      <c r="Y24" s="22"/>
      <c r="Z24" s="21"/>
      <c r="AA24" s="20">
        <f t="shared" si="3"/>
        <v>0</v>
      </c>
      <c r="AB24" s="19">
        <f t="shared" si="4"/>
        <v>0</v>
      </c>
      <c r="AC24" s="16">
        <v>20</v>
      </c>
      <c r="AD24" s="18"/>
      <c r="AE24" s="17"/>
      <c r="AF24" s="23">
        <f t="shared" si="10"/>
        <v>0</v>
      </c>
      <c r="AG24" s="16">
        <v>45</v>
      </c>
      <c r="AH24" s="23">
        <f t="shared" si="5"/>
        <v>65</v>
      </c>
      <c r="AI24" s="14">
        <f t="shared" si="6"/>
        <v>1.0049999999999999</v>
      </c>
      <c r="AJ24" s="13"/>
      <c r="AK24" s="12">
        <v>0.01</v>
      </c>
      <c r="AL24" s="11">
        <f t="shared" si="7"/>
        <v>1.01</v>
      </c>
      <c r="AM24" s="10">
        <f t="shared" si="8"/>
        <v>7470803000</v>
      </c>
      <c r="AN24" s="9"/>
      <c r="AO24" s="74"/>
      <c r="AP24" s="71"/>
      <c r="AQ24" s="81"/>
      <c r="AR24" s="8"/>
      <c r="AS24" s="7"/>
      <c r="AT24" s="6">
        <f t="shared" si="9"/>
        <v>0</v>
      </c>
    </row>
    <row r="25" spans="1:46" s="37" customFormat="1" ht="45.75" customHeight="1" thickBot="1" x14ac:dyDescent="0.2">
      <c r="A25" s="35"/>
      <c r="B25" s="35"/>
      <c r="C25" s="73"/>
      <c r="D25" s="73"/>
      <c r="E25" s="73"/>
      <c r="F25" s="73"/>
      <c r="G25" s="73"/>
      <c r="H25" s="45"/>
      <c r="I25" s="38">
        <v>0.51</v>
      </c>
      <c r="J25" s="30">
        <v>0.49</v>
      </c>
      <c r="K25" s="29"/>
      <c r="L25" s="28"/>
      <c r="M25" s="27"/>
      <c r="N25" s="26">
        <f t="shared" si="0"/>
        <v>1</v>
      </c>
      <c r="O25" s="65">
        <v>15</v>
      </c>
      <c r="P25" s="23">
        <v>15</v>
      </c>
      <c r="Q25" s="42"/>
      <c r="R25" s="42"/>
      <c r="S25" s="23"/>
      <c r="T25" s="20">
        <f t="shared" si="1"/>
        <v>15</v>
      </c>
      <c r="U25" s="19"/>
      <c r="V25" s="61"/>
      <c r="W25" s="59"/>
      <c r="X25" s="59"/>
      <c r="Y25" s="22"/>
      <c r="Z25" s="21"/>
      <c r="AA25" s="20">
        <f t="shared" si="3"/>
        <v>0</v>
      </c>
      <c r="AB25" s="19">
        <f t="shared" si="4"/>
        <v>0</v>
      </c>
      <c r="AC25" s="16">
        <v>20</v>
      </c>
      <c r="AD25" s="18"/>
      <c r="AE25" s="17"/>
      <c r="AF25" s="23">
        <f t="shared" si="10"/>
        <v>0</v>
      </c>
      <c r="AG25" s="16">
        <v>45</v>
      </c>
      <c r="AH25" s="23">
        <f t="shared" si="5"/>
        <v>65</v>
      </c>
      <c r="AI25" s="14">
        <f t="shared" si="6"/>
        <v>1.0049999999999999</v>
      </c>
      <c r="AJ25" s="13"/>
      <c r="AK25" s="12">
        <v>0.01</v>
      </c>
      <c r="AL25" s="11">
        <f t="shared" si="7"/>
        <v>1.01</v>
      </c>
      <c r="AM25" s="10">
        <f t="shared" si="8"/>
        <v>7470803000</v>
      </c>
      <c r="AN25" s="9"/>
      <c r="AO25" s="74"/>
      <c r="AP25" s="81"/>
      <c r="AQ25" s="71"/>
      <c r="AR25" s="8"/>
      <c r="AS25" s="7"/>
      <c r="AT25" s="6">
        <f t="shared" si="9"/>
        <v>0</v>
      </c>
    </row>
    <row r="26" spans="1:46" s="37" customFormat="1" ht="45.75" customHeight="1" thickBot="1" x14ac:dyDescent="0.2">
      <c r="A26" s="35"/>
      <c r="B26" s="35"/>
      <c r="C26" s="73"/>
      <c r="D26" s="73"/>
      <c r="E26" s="73"/>
      <c r="F26" s="73"/>
      <c r="G26" s="73"/>
      <c r="H26" s="45"/>
      <c r="I26" s="38">
        <v>0.51</v>
      </c>
      <c r="J26" s="30">
        <v>0.49</v>
      </c>
      <c r="K26" s="29"/>
      <c r="L26" s="28"/>
      <c r="M26" s="27"/>
      <c r="N26" s="26">
        <f t="shared" si="0"/>
        <v>1</v>
      </c>
      <c r="O26" s="65">
        <v>15</v>
      </c>
      <c r="P26" s="42">
        <v>15</v>
      </c>
      <c r="Q26" s="42"/>
      <c r="R26" s="42"/>
      <c r="S26" s="23"/>
      <c r="T26" s="20">
        <f t="shared" si="1"/>
        <v>15</v>
      </c>
      <c r="U26" s="19"/>
      <c r="V26" s="61"/>
      <c r="W26" s="59"/>
      <c r="X26" s="59"/>
      <c r="Y26" s="22"/>
      <c r="Z26" s="21"/>
      <c r="AA26" s="20">
        <f t="shared" si="3"/>
        <v>0</v>
      </c>
      <c r="AB26" s="19">
        <f t="shared" si="4"/>
        <v>0</v>
      </c>
      <c r="AC26" s="16">
        <v>20</v>
      </c>
      <c r="AD26" s="18"/>
      <c r="AE26" s="17"/>
      <c r="AF26" s="23">
        <f t="shared" si="10"/>
        <v>0</v>
      </c>
      <c r="AG26" s="16">
        <v>45</v>
      </c>
      <c r="AH26" s="23">
        <f t="shared" si="5"/>
        <v>65</v>
      </c>
      <c r="AI26" s="14">
        <f t="shared" si="6"/>
        <v>1.0049999999999999</v>
      </c>
      <c r="AJ26" s="13"/>
      <c r="AK26" s="12">
        <v>0.01</v>
      </c>
      <c r="AL26" s="11">
        <f t="shared" si="7"/>
        <v>1.01</v>
      </c>
      <c r="AM26" s="10">
        <f t="shared" si="8"/>
        <v>7470803000</v>
      </c>
      <c r="AN26" s="9"/>
      <c r="AO26" s="8"/>
      <c r="AP26" s="8"/>
      <c r="AQ26" s="8"/>
      <c r="AR26" s="8"/>
      <c r="AS26" s="7"/>
      <c r="AT26" s="6">
        <f t="shared" si="9"/>
        <v>0</v>
      </c>
    </row>
    <row r="27" spans="1:46" s="37" customFormat="1" ht="45.75" customHeight="1" thickBot="1" x14ac:dyDescent="0.2">
      <c r="A27" s="35"/>
      <c r="B27" s="35"/>
      <c r="C27" s="73"/>
      <c r="D27" s="73"/>
      <c r="E27" s="73"/>
      <c r="F27" s="73"/>
      <c r="G27" s="73"/>
      <c r="H27" s="45"/>
      <c r="I27" s="38">
        <v>0.51</v>
      </c>
      <c r="J27" s="30">
        <v>0.49</v>
      </c>
      <c r="K27" s="29"/>
      <c r="L27" s="30"/>
      <c r="M27" s="27"/>
      <c r="N27" s="26">
        <f t="shared" si="0"/>
        <v>1</v>
      </c>
      <c r="O27" s="65">
        <v>15</v>
      </c>
      <c r="P27" s="23">
        <v>15</v>
      </c>
      <c r="Q27" s="42"/>
      <c r="R27" s="42"/>
      <c r="S27" s="42"/>
      <c r="T27" s="20">
        <f t="shared" si="1"/>
        <v>15</v>
      </c>
      <c r="U27" s="19"/>
      <c r="V27" s="62"/>
      <c r="W27" s="59"/>
      <c r="X27" s="59"/>
      <c r="Y27" s="48"/>
      <c r="Z27" s="21"/>
      <c r="AA27" s="20">
        <f t="shared" si="3"/>
        <v>0</v>
      </c>
      <c r="AB27" s="19">
        <f t="shared" si="4"/>
        <v>0</v>
      </c>
      <c r="AC27" s="16">
        <v>20</v>
      </c>
      <c r="AD27" s="18"/>
      <c r="AE27" s="17"/>
      <c r="AF27" s="23">
        <f t="shared" si="10"/>
        <v>0</v>
      </c>
      <c r="AG27" s="16">
        <v>45</v>
      </c>
      <c r="AH27" s="23">
        <f t="shared" si="5"/>
        <v>65</v>
      </c>
      <c r="AI27" s="14">
        <f t="shared" si="6"/>
        <v>1.0049999999999999</v>
      </c>
      <c r="AJ27" s="13"/>
      <c r="AK27" s="12">
        <v>0.01</v>
      </c>
      <c r="AL27" s="11">
        <f t="shared" si="7"/>
        <v>1.01</v>
      </c>
      <c r="AM27" s="10">
        <f t="shared" si="8"/>
        <v>7470803000</v>
      </c>
      <c r="AN27" s="9"/>
      <c r="AO27" s="74"/>
      <c r="AP27" s="71"/>
      <c r="AQ27" s="71"/>
      <c r="AR27" s="8"/>
      <c r="AS27" s="7"/>
      <c r="AT27" s="6">
        <f t="shared" si="9"/>
        <v>0</v>
      </c>
    </row>
    <row r="28" spans="1:46" s="37" customFormat="1" ht="45.75" customHeight="1" thickBot="1" x14ac:dyDescent="0.2">
      <c r="A28" s="35"/>
      <c r="B28" s="35"/>
      <c r="C28" s="73"/>
      <c r="D28" s="73"/>
      <c r="E28" s="73"/>
      <c r="F28" s="73"/>
      <c r="G28" s="73"/>
      <c r="H28" s="45"/>
      <c r="I28" s="38">
        <v>0.51</v>
      </c>
      <c r="J28" s="30">
        <v>0.49</v>
      </c>
      <c r="K28" s="29"/>
      <c r="L28" s="28"/>
      <c r="M28" s="27"/>
      <c r="N28" s="26">
        <f t="shared" si="0"/>
        <v>1</v>
      </c>
      <c r="O28" s="65">
        <v>15</v>
      </c>
      <c r="P28" s="23">
        <v>15</v>
      </c>
      <c r="Q28" s="42"/>
      <c r="R28" s="42"/>
      <c r="S28" s="23"/>
      <c r="T28" s="20">
        <f t="shared" si="1"/>
        <v>15</v>
      </c>
      <c r="U28" s="19"/>
      <c r="V28" s="84"/>
      <c r="W28" s="41"/>
      <c r="X28" s="22"/>
      <c r="Y28" s="22"/>
      <c r="Z28" s="21"/>
      <c r="AA28" s="20">
        <f t="shared" si="3"/>
        <v>0</v>
      </c>
      <c r="AB28" s="19">
        <f t="shared" si="4"/>
        <v>0</v>
      </c>
      <c r="AC28" s="16">
        <v>20</v>
      </c>
      <c r="AD28" s="18"/>
      <c r="AE28" s="17"/>
      <c r="AF28" s="23">
        <f t="shared" si="10"/>
        <v>0</v>
      </c>
      <c r="AG28" s="16">
        <v>45</v>
      </c>
      <c r="AH28" s="23">
        <f t="shared" si="5"/>
        <v>65</v>
      </c>
      <c r="AI28" s="14">
        <f t="shared" si="6"/>
        <v>1.0049999999999999</v>
      </c>
      <c r="AJ28" s="13"/>
      <c r="AK28" s="12">
        <v>0.01</v>
      </c>
      <c r="AL28" s="11">
        <f t="shared" si="7"/>
        <v>1.01</v>
      </c>
      <c r="AM28" s="10">
        <f t="shared" si="8"/>
        <v>7470803000</v>
      </c>
      <c r="AN28" s="9"/>
      <c r="AO28" s="8"/>
      <c r="AP28" s="8"/>
      <c r="AQ28" s="8"/>
      <c r="AR28" s="8"/>
      <c r="AS28" s="7"/>
      <c r="AT28" s="6">
        <f t="shared" si="9"/>
        <v>0</v>
      </c>
    </row>
    <row r="29" spans="1:46" s="37" customFormat="1" ht="45.75" customHeight="1" thickBot="1" x14ac:dyDescent="0.2">
      <c r="A29" s="35"/>
      <c r="B29" s="35"/>
      <c r="C29" s="73"/>
      <c r="D29" s="73"/>
      <c r="E29" s="73"/>
      <c r="F29" s="73"/>
      <c r="G29" s="73"/>
      <c r="H29" s="45"/>
      <c r="I29" s="38">
        <v>0.51</v>
      </c>
      <c r="J29" s="30">
        <v>0.49</v>
      </c>
      <c r="K29" s="29"/>
      <c r="L29" s="30"/>
      <c r="M29" s="27"/>
      <c r="N29" s="26">
        <f t="shared" si="0"/>
        <v>1</v>
      </c>
      <c r="O29" s="65">
        <v>15</v>
      </c>
      <c r="P29" s="23">
        <v>15</v>
      </c>
      <c r="Q29" s="42"/>
      <c r="R29" s="42"/>
      <c r="S29" s="42"/>
      <c r="T29" s="20">
        <f t="shared" si="1"/>
        <v>15</v>
      </c>
      <c r="U29" s="19"/>
      <c r="V29" s="61"/>
      <c r="W29" s="22"/>
      <c r="X29" s="59"/>
      <c r="Y29" s="41"/>
      <c r="Z29" s="21"/>
      <c r="AA29" s="20">
        <f t="shared" si="3"/>
        <v>0</v>
      </c>
      <c r="AB29" s="19">
        <f t="shared" si="4"/>
        <v>0</v>
      </c>
      <c r="AC29" s="16">
        <v>20</v>
      </c>
      <c r="AD29" s="83"/>
      <c r="AE29" s="17"/>
      <c r="AF29" s="23">
        <f t="shared" si="10"/>
        <v>0</v>
      </c>
      <c r="AG29" s="16">
        <v>45</v>
      </c>
      <c r="AH29" s="23">
        <f t="shared" si="5"/>
        <v>65</v>
      </c>
      <c r="AI29" s="14">
        <f t="shared" si="6"/>
        <v>1.0049999999999999</v>
      </c>
      <c r="AJ29" s="13"/>
      <c r="AK29" s="12">
        <v>0.01</v>
      </c>
      <c r="AL29" s="11">
        <f t="shared" si="7"/>
        <v>1.01</v>
      </c>
      <c r="AM29" s="10">
        <f t="shared" si="8"/>
        <v>7470803000</v>
      </c>
      <c r="AN29" s="9"/>
      <c r="AO29" s="16"/>
      <c r="AP29" s="82"/>
      <c r="AQ29" s="16"/>
      <c r="AR29" s="8"/>
      <c r="AS29" s="7"/>
      <c r="AT29" s="6">
        <f t="shared" si="9"/>
        <v>0</v>
      </c>
    </row>
    <row r="30" spans="1:46" s="37" customFormat="1" ht="45.75" customHeight="1" thickBot="1" x14ac:dyDescent="0.2">
      <c r="A30" s="35"/>
      <c r="B30" s="35"/>
      <c r="C30" s="73"/>
      <c r="D30" s="73"/>
      <c r="E30" s="73"/>
      <c r="F30" s="73"/>
      <c r="G30" s="73"/>
      <c r="H30" s="45"/>
      <c r="I30" s="38">
        <v>0.51</v>
      </c>
      <c r="J30" s="30">
        <v>0.49</v>
      </c>
      <c r="K30" s="29"/>
      <c r="L30" s="28"/>
      <c r="M30" s="27"/>
      <c r="N30" s="26">
        <f t="shared" si="0"/>
        <v>1</v>
      </c>
      <c r="O30" s="65">
        <v>15</v>
      </c>
      <c r="P30" s="23">
        <v>15</v>
      </c>
      <c r="Q30" s="42"/>
      <c r="R30" s="42"/>
      <c r="S30" s="42"/>
      <c r="T30" s="20">
        <f t="shared" si="1"/>
        <v>15</v>
      </c>
      <c r="U30" s="19"/>
      <c r="V30" s="61"/>
      <c r="W30" s="22"/>
      <c r="X30" s="22"/>
      <c r="Y30" s="54"/>
      <c r="Z30" s="21"/>
      <c r="AA30" s="20">
        <f t="shared" si="3"/>
        <v>0</v>
      </c>
      <c r="AB30" s="19">
        <f t="shared" si="4"/>
        <v>0</v>
      </c>
      <c r="AC30" s="16">
        <v>20</v>
      </c>
      <c r="AD30" s="18"/>
      <c r="AE30" s="17"/>
      <c r="AF30" s="23">
        <f t="shared" si="10"/>
        <v>0</v>
      </c>
      <c r="AG30" s="16">
        <v>45</v>
      </c>
      <c r="AH30" s="23">
        <f t="shared" si="5"/>
        <v>65</v>
      </c>
      <c r="AI30" s="14">
        <f t="shared" si="6"/>
        <v>1.0049999999999999</v>
      </c>
      <c r="AJ30" s="13"/>
      <c r="AK30" s="12">
        <v>0.01</v>
      </c>
      <c r="AL30" s="11">
        <f t="shared" si="7"/>
        <v>1.01</v>
      </c>
      <c r="AM30" s="10">
        <f t="shared" si="8"/>
        <v>7470803000</v>
      </c>
      <c r="AN30" s="9"/>
      <c r="AO30" s="74"/>
      <c r="AP30" s="72"/>
      <c r="AQ30" s="72"/>
      <c r="AR30" s="8"/>
      <c r="AS30" s="7"/>
      <c r="AT30" s="6">
        <f t="shared" si="9"/>
        <v>0</v>
      </c>
    </row>
    <row r="31" spans="1:46" s="37" customFormat="1" ht="45.75" customHeight="1" thickBot="1" x14ac:dyDescent="0.2">
      <c r="A31" s="35"/>
      <c r="B31" s="35"/>
      <c r="C31" s="73"/>
      <c r="D31" s="73"/>
      <c r="E31" s="73"/>
      <c r="F31" s="73"/>
      <c r="G31" s="73"/>
      <c r="H31" s="45"/>
      <c r="I31" s="38">
        <v>0.51</v>
      </c>
      <c r="J31" s="30">
        <v>0.49</v>
      </c>
      <c r="K31" s="29"/>
      <c r="L31" s="28"/>
      <c r="M31" s="27"/>
      <c r="N31" s="26">
        <f t="shared" si="0"/>
        <v>1</v>
      </c>
      <c r="O31" s="65">
        <v>15</v>
      </c>
      <c r="P31" s="23">
        <v>15</v>
      </c>
      <c r="Q31" s="42"/>
      <c r="R31" s="42"/>
      <c r="S31" s="23"/>
      <c r="T31" s="20">
        <f t="shared" si="1"/>
        <v>15</v>
      </c>
      <c r="U31" s="19"/>
      <c r="V31" s="61"/>
      <c r="W31" s="48"/>
      <c r="X31" s="59"/>
      <c r="Y31" s="59"/>
      <c r="Z31" s="21"/>
      <c r="AA31" s="20">
        <f t="shared" si="3"/>
        <v>0</v>
      </c>
      <c r="AB31" s="19">
        <f t="shared" si="4"/>
        <v>0</v>
      </c>
      <c r="AC31" s="16">
        <v>20</v>
      </c>
      <c r="AD31" s="18"/>
      <c r="AE31" s="17"/>
      <c r="AF31" s="23">
        <f t="shared" si="10"/>
        <v>0</v>
      </c>
      <c r="AG31" s="16">
        <v>45</v>
      </c>
      <c r="AH31" s="23">
        <f t="shared" si="5"/>
        <v>65</v>
      </c>
      <c r="AI31" s="14">
        <f t="shared" si="6"/>
        <v>1.0049999999999999</v>
      </c>
      <c r="AJ31" s="13"/>
      <c r="AK31" s="12">
        <v>0.01</v>
      </c>
      <c r="AL31" s="11">
        <f t="shared" si="7"/>
        <v>1.01</v>
      </c>
      <c r="AM31" s="10">
        <f t="shared" si="8"/>
        <v>7470803000</v>
      </c>
      <c r="AN31" s="9"/>
      <c r="AO31" s="16"/>
      <c r="AP31" s="81"/>
      <c r="AQ31" s="81"/>
      <c r="AR31" s="8"/>
      <c r="AS31" s="7"/>
      <c r="AT31" s="6">
        <f t="shared" si="9"/>
        <v>0</v>
      </c>
    </row>
    <row r="32" spans="1:46" s="37" customFormat="1" ht="45.75" customHeight="1" thickBot="1" x14ac:dyDescent="0.2">
      <c r="A32" s="35"/>
      <c r="B32" s="35"/>
      <c r="C32" s="73"/>
      <c r="D32" s="73"/>
      <c r="E32" s="73"/>
      <c r="F32" s="73"/>
      <c r="G32" s="73"/>
      <c r="H32" s="45"/>
      <c r="I32" s="38">
        <v>0.51</v>
      </c>
      <c r="J32" s="30">
        <v>0.49</v>
      </c>
      <c r="K32" s="29"/>
      <c r="L32" s="28"/>
      <c r="M32" s="27"/>
      <c r="N32" s="26">
        <f t="shared" si="0"/>
        <v>1</v>
      </c>
      <c r="O32" s="65">
        <v>15</v>
      </c>
      <c r="P32" s="23">
        <v>15</v>
      </c>
      <c r="Q32" s="42"/>
      <c r="R32" s="42"/>
      <c r="S32" s="42"/>
      <c r="T32" s="20">
        <f t="shared" si="1"/>
        <v>15</v>
      </c>
      <c r="U32" s="19"/>
      <c r="V32" s="85"/>
      <c r="W32" s="59"/>
      <c r="X32" s="54"/>
      <c r="Y32" s="54"/>
      <c r="Z32" s="21"/>
      <c r="AA32" s="20">
        <f t="shared" si="3"/>
        <v>0</v>
      </c>
      <c r="AB32" s="19">
        <f t="shared" si="4"/>
        <v>0</v>
      </c>
      <c r="AC32" s="16">
        <v>20</v>
      </c>
      <c r="AD32" s="18"/>
      <c r="AE32" s="17"/>
      <c r="AF32" s="23">
        <f t="shared" si="10"/>
        <v>0</v>
      </c>
      <c r="AG32" s="16">
        <v>45</v>
      </c>
      <c r="AH32" s="23">
        <f t="shared" si="5"/>
        <v>65</v>
      </c>
      <c r="AI32" s="14">
        <f t="shared" si="6"/>
        <v>1.0049999999999999</v>
      </c>
      <c r="AJ32" s="13"/>
      <c r="AK32" s="12">
        <v>0.01</v>
      </c>
      <c r="AL32" s="11">
        <f t="shared" si="7"/>
        <v>1.01</v>
      </c>
      <c r="AM32" s="10">
        <f t="shared" si="8"/>
        <v>7470803000</v>
      </c>
      <c r="AN32" s="9"/>
      <c r="AO32" s="8"/>
      <c r="AP32" s="8"/>
      <c r="AQ32" s="8"/>
      <c r="AR32" s="8"/>
      <c r="AS32" s="7"/>
      <c r="AT32" s="6">
        <f t="shared" si="9"/>
        <v>0</v>
      </c>
    </row>
    <row r="33" spans="1:46" s="37" customFormat="1" ht="45.75" customHeight="1" thickBot="1" x14ac:dyDescent="0.2">
      <c r="A33" s="35"/>
      <c r="B33" s="35"/>
      <c r="C33" s="73"/>
      <c r="D33" s="73"/>
      <c r="E33" s="73"/>
      <c r="F33" s="73"/>
      <c r="G33" s="73"/>
      <c r="H33" s="32"/>
      <c r="I33" s="38">
        <v>0.51</v>
      </c>
      <c r="J33" s="30">
        <v>0.49</v>
      </c>
      <c r="K33" s="29"/>
      <c r="L33" s="28"/>
      <c r="M33" s="27"/>
      <c r="N33" s="26">
        <f t="shared" si="0"/>
        <v>1</v>
      </c>
      <c r="O33" s="25">
        <v>15</v>
      </c>
      <c r="P33" s="23">
        <v>15</v>
      </c>
      <c r="Q33" s="24"/>
      <c r="R33" s="24"/>
      <c r="S33" s="23"/>
      <c r="T33" s="20">
        <f t="shared" si="1"/>
        <v>15</v>
      </c>
      <c r="U33" s="19"/>
      <c r="V33" s="22"/>
      <c r="W33" s="22"/>
      <c r="X33" s="22"/>
      <c r="Y33" s="22"/>
      <c r="Z33" s="21"/>
      <c r="AA33" s="20">
        <f t="shared" si="3"/>
        <v>0</v>
      </c>
      <c r="AB33" s="19">
        <f t="shared" si="4"/>
        <v>0</v>
      </c>
      <c r="AC33" s="16">
        <v>20</v>
      </c>
      <c r="AD33" s="18"/>
      <c r="AE33" s="17"/>
      <c r="AF33" s="23">
        <f t="shared" si="10"/>
        <v>0</v>
      </c>
      <c r="AG33" s="16">
        <v>45</v>
      </c>
      <c r="AH33" s="23">
        <f t="shared" si="5"/>
        <v>65</v>
      </c>
      <c r="AI33" s="14">
        <f t="shared" si="6"/>
        <v>1.0049999999999999</v>
      </c>
      <c r="AJ33" s="13"/>
      <c r="AK33" s="12">
        <v>0.01</v>
      </c>
      <c r="AL33" s="11">
        <f t="shared" si="7"/>
        <v>1.01</v>
      </c>
      <c r="AM33" s="10">
        <f t="shared" si="8"/>
        <v>7470803000</v>
      </c>
      <c r="AN33" s="9"/>
      <c r="AO33" s="8"/>
      <c r="AP33" s="8"/>
      <c r="AQ33" s="8"/>
      <c r="AR33" s="8"/>
      <c r="AS33" s="7"/>
      <c r="AT33" s="6">
        <f t="shared" si="9"/>
        <v>0</v>
      </c>
    </row>
    <row r="34" spans="1:46" s="37" customFormat="1" ht="45.75" customHeight="1" thickBot="1" x14ac:dyDescent="0.2">
      <c r="A34" s="35"/>
      <c r="B34" s="35"/>
      <c r="C34" s="73"/>
      <c r="D34" s="73"/>
      <c r="E34" s="73"/>
      <c r="F34" s="73"/>
      <c r="G34" s="73"/>
      <c r="H34" s="32"/>
      <c r="I34" s="38">
        <v>0.51</v>
      </c>
      <c r="J34" s="30">
        <v>0.49</v>
      </c>
      <c r="K34" s="29"/>
      <c r="L34" s="28"/>
      <c r="M34" s="27"/>
      <c r="N34" s="26">
        <f t="shared" si="0"/>
        <v>1</v>
      </c>
      <c r="O34" s="25">
        <v>15</v>
      </c>
      <c r="P34" s="23">
        <v>15</v>
      </c>
      <c r="Q34" s="24"/>
      <c r="R34" s="24"/>
      <c r="S34" s="23"/>
      <c r="T34" s="20">
        <f t="shared" si="1"/>
        <v>15</v>
      </c>
      <c r="U34" s="19"/>
      <c r="V34" s="59"/>
      <c r="W34" s="59"/>
      <c r="X34" s="22"/>
      <c r="Y34" s="22"/>
      <c r="Z34" s="21"/>
      <c r="AA34" s="20">
        <f t="shared" si="3"/>
        <v>0</v>
      </c>
      <c r="AB34" s="19">
        <f t="shared" si="4"/>
        <v>0</v>
      </c>
      <c r="AC34" s="16">
        <v>20</v>
      </c>
      <c r="AD34" s="18"/>
      <c r="AE34" s="17"/>
      <c r="AF34" s="23">
        <f t="shared" si="10"/>
        <v>0</v>
      </c>
      <c r="AG34" s="16">
        <v>45</v>
      </c>
      <c r="AH34" s="23">
        <f t="shared" si="5"/>
        <v>65</v>
      </c>
      <c r="AI34" s="14">
        <f t="shared" si="6"/>
        <v>1.0049999999999999</v>
      </c>
      <c r="AJ34" s="13"/>
      <c r="AK34" s="12">
        <v>0.01</v>
      </c>
      <c r="AL34" s="11">
        <f t="shared" si="7"/>
        <v>1.01</v>
      </c>
      <c r="AM34" s="10">
        <f t="shared" si="8"/>
        <v>7470803000</v>
      </c>
      <c r="AN34" s="9"/>
      <c r="AO34" s="8"/>
      <c r="AP34" s="8"/>
      <c r="AQ34" s="8"/>
      <c r="AR34" s="8"/>
      <c r="AS34" s="7"/>
      <c r="AT34" s="6">
        <f t="shared" si="9"/>
        <v>0</v>
      </c>
    </row>
    <row r="35" spans="1:46" s="37" customFormat="1" ht="45.75" customHeight="1" thickBot="1" x14ac:dyDescent="0.2">
      <c r="A35" s="35"/>
      <c r="B35" s="35"/>
      <c r="C35" s="73"/>
      <c r="D35" s="73"/>
      <c r="E35" s="73"/>
      <c r="F35" s="73"/>
      <c r="G35" s="73"/>
      <c r="H35" s="45"/>
      <c r="I35" s="38">
        <v>0.51</v>
      </c>
      <c r="J35" s="30">
        <v>0.49</v>
      </c>
      <c r="K35" s="29"/>
      <c r="L35" s="28"/>
      <c r="M35" s="27"/>
      <c r="N35" s="26">
        <f t="shared" si="0"/>
        <v>1</v>
      </c>
      <c r="O35" s="23">
        <v>15</v>
      </c>
      <c r="P35" s="23">
        <v>15</v>
      </c>
      <c r="Q35" s="23"/>
      <c r="R35" s="24"/>
      <c r="S35" s="23"/>
      <c r="T35" s="20">
        <f t="shared" si="1"/>
        <v>15</v>
      </c>
      <c r="U35" s="19"/>
      <c r="V35" s="48"/>
      <c r="W35" s="22"/>
      <c r="X35" s="59"/>
      <c r="Y35" s="41"/>
      <c r="Z35" s="68"/>
      <c r="AA35" s="20">
        <f t="shared" si="3"/>
        <v>0</v>
      </c>
      <c r="AB35" s="19">
        <f t="shared" si="4"/>
        <v>0</v>
      </c>
      <c r="AC35" s="16">
        <v>20</v>
      </c>
      <c r="AD35" s="18"/>
      <c r="AE35" s="17"/>
      <c r="AF35" s="23">
        <f t="shared" si="10"/>
        <v>0</v>
      </c>
      <c r="AG35" s="16">
        <v>45</v>
      </c>
      <c r="AH35" s="23">
        <f t="shared" si="5"/>
        <v>65</v>
      </c>
      <c r="AI35" s="14">
        <f t="shared" si="6"/>
        <v>1.0049999999999999</v>
      </c>
      <c r="AJ35" s="13"/>
      <c r="AK35" s="12">
        <v>0.01</v>
      </c>
      <c r="AL35" s="11">
        <f t="shared" si="7"/>
        <v>1.01</v>
      </c>
      <c r="AM35" s="10">
        <f t="shared" si="8"/>
        <v>7470803000</v>
      </c>
      <c r="AN35" s="9"/>
      <c r="AO35" s="8"/>
      <c r="AP35" s="8"/>
      <c r="AQ35" s="8"/>
      <c r="AR35" s="8"/>
      <c r="AS35" s="7"/>
      <c r="AT35" s="6">
        <f t="shared" si="9"/>
        <v>0</v>
      </c>
    </row>
    <row r="36" spans="1:46" s="37" customFormat="1" ht="45.75" customHeight="1" thickBot="1" x14ac:dyDescent="0.2">
      <c r="A36" s="35"/>
      <c r="B36" s="35"/>
      <c r="C36" s="73"/>
      <c r="D36" s="73"/>
      <c r="E36" s="73"/>
      <c r="F36" s="73"/>
      <c r="G36" s="73"/>
      <c r="H36" s="32"/>
      <c r="I36" s="38">
        <v>0.51</v>
      </c>
      <c r="J36" s="30">
        <v>0.49</v>
      </c>
      <c r="K36" s="29"/>
      <c r="L36" s="28"/>
      <c r="M36" s="27"/>
      <c r="N36" s="26">
        <f t="shared" si="0"/>
        <v>1</v>
      </c>
      <c r="O36" s="25">
        <v>15</v>
      </c>
      <c r="P36" s="23">
        <v>15</v>
      </c>
      <c r="Q36" s="24"/>
      <c r="R36" s="24"/>
      <c r="S36" s="23"/>
      <c r="T36" s="20">
        <f t="shared" si="1"/>
        <v>15</v>
      </c>
      <c r="U36" s="19"/>
      <c r="V36" s="61"/>
      <c r="W36" s="79"/>
      <c r="X36" s="22"/>
      <c r="Y36" s="22"/>
      <c r="Z36" s="21"/>
      <c r="AA36" s="20">
        <f t="shared" si="3"/>
        <v>0</v>
      </c>
      <c r="AB36" s="19">
        <f t="shared" si="4"/>
        <v>0</v>
      </c>
      <c r="AC36" s="16">
        <v>20</v>
      </c>
      <c r="AD36" s="18"/>
      <c r="AE36" s="17"/>
      <c r="AF36" s="23">
        <f t="shared" si="10"/>
        <v>0</v>
      </c>
      <c r="AG36" s="16">
        <v>45</v>
      </c>
      <c r="AH36" s="23">
        <f t="shared" si="5"/>
        <v>65</v>
      </c>
      <c r="AI36" s="14">
        <f t="shared" si="6"/>
        <v>1.0049999999999999</v>
      </c>
      <c r="AJ36" s="13"/>
      <c r="AK36" s="12">
        <v>0.01</v>
      </c>
      <c r="AL36" s="11">
        <f t="shared" si="7"/>
        <v>1.01</v>
      </c>
      <c r="AM36" s="10">
        <f t="shared" si="8"/>
        <v>7470803000</v>
      </c>
      <c r="AN36" s="9"/>
      <c r="AO36" s="8"/>
      <c r="AP36" s="8"/>
      <c r="AQ36" s="8"/>
      <c r="AR36" s="8"/>
      <c r="AS36" s="7"/>
      <c r="AT36" s="6">
        <f t="shared" si="9"/>
        <v>0</v>
      </c>
    </row>
    <row r="37" spans="1:46" s="37" customFormat="1" ht="45.75" customHeight="1" thickBot="1" x14ac:dyDescent="0.2">
      <c r="A37" s="35"/>
      <c r="B37" s="35"/>
      <c r="C37" s="73"/>
      <c r="D37" s="73"/>
      <c r="E37" s="73"/>
      <c r="F37" s="73"/>
      <c r="G37" s="73"/>
      <c r="H37" s="50"/>
      <c r="I37" s="38">
        <v>0.7</v>
      </c>
      <c r="J37" s="30">
        <v>0.3</v>
      </c>
      <c r="K37" s="29"/>
      <c r="L37" s="28"/>
      <c r="M37" s="27"/>
      <c r="N37" s="26">
        <f t="shared" si="0"/>
        <v>1</v>
      </c>
      <c r="O37" s="44">
        <v>15</v>
      </c>
      <c r="P37" s="43">
        <v>15</v>
      </c>
      <c r="Q37" s="24"/>
      <c r="R37" s="42"/>
      <c r="S37" s="42"/>
      <c r="T37" s="20">
        <f t="shared" si="1"/>
        <v>15</v>
      </c>
      <c r="U37" s="19"/>
      <c r="V37" s="41"/>
      <c r="W37" s="59"/>
      <c r="X37" s="54"/>
      <c r="Y37" s="48"/>
      <c r="Z37" s="21"/>
      <c r="AA37" s="20">
        <f t="shared" si="3"/>
        <v>0</v>
      </c>
      <c r="AB37" s="19">
        <f t="shared" si="4"/>
        <v>0</v>
      </c>
      <c r="AC37" s="16">
        <v>20</v>
      </c>
      <c r="AD37" s="18"/>
      <c r="AE37" s="17"/>
      <c r="AF37" s="23">
        <f t="shared" si="10"/>
        <v>0</v>
      </c>
      <c r="AG37" s="16">
        <v>45</v>
      </c>
      <c r="AH37" s="23">
        <f t="shared" si="5"/>
        <v>65</v>
      </c>
      <c r="AI37" s="14">
        <f t="shared" si="6"/>
        <v>1.0049999999999999</v>
      </c>
      <c r="AJ37" s="13"/>
      <c r="AK37" s="12">
        <v>0.01</v>
      </c>
      <c r="AL37" s="11">
        <f t="shared" si="7"/>
        <v>1.01</v>
      </c>
      <c r="AM37" s="10">
        <f t="shared" si="8"/>
        <v>7470803000</v>
      </c>
      <c r="AN37" s="9"/>
      <c r="AO37" s="8"/>
      <c r="AP37" s="8"/>
      <c r="AQ37" s="8"/>
      <c r="AR37" s="8"/>
      <c r="AS37" s="7"/>
      <c r="AT37" s="6">
        <f t="shared" si="9"/>
        <v>0</v>
      </c>
    </row>
    <row r="38" spans="1:46" s="37" customFormat="1" ht="45.75" customHeight="1" thickBot="1" x14ac:dyDescent="0.2">
      <c r="A38" s="35"/>
      <c r="B38" s="35"/>
      <c r="C38" s="73"/>
      <c r="D38" s="73"/>
      <c r="E38" s="73"/>
      <c r="F38" s="73"/>
      <c r="G38" s="73"/>
      <c r="H38" s="50"/>
      <c r="I38" s="38">
        <v>0.51</v>
      </c>
      <c r="J38" s="30">
        <v>0.49</v>
      </c>
      <c r="K38" s="29"/>
      <c r="L38" s="28"/>
      <c r="M38" s="27"/>
      <c r="N38" s="26">
        <f t="shared" si="0"/>
        <v>1</v>
      </c>
      <c r="O38" s="44">
        <v>15</v>
      </c>
      <c r="P38" s="43">
        <v>15</v>
      </c>
      <c r="Q38" s="42"/>
      <c r="R38" s="42"/>
      <c r="S38" s="42"/>
      <c r="T38" s="20">
        <f t="shared" si="1"/>
        <v>15</v>
      </c>
      <c r="U38" s="19"/>
      <c r="V38" s="48"/>
      <c r="W38" s="68"/>
      <c r="X38" s="48"/>
      <c r="Y38" s="48"/>
      <c r="Z38" s="21"/>
      <c r="AA38" s="20">
        <f t="shared" si="3"/>
        <v>0</v>
      </c>
      <c r="AB38" s="19">
        <f t="shared" si="4"/>
        <v>0</v>
      </c>
      <c r="AC38" s="16">
        <v>20</v>
      </c>
      <c r="AD38" s="18"/>
      <c r="AE38" s="17"/>
      <c r="AF38" s="23">
        <f t="shared" si="10"/>
        <v>0</v>
      </c>
      <c r="AG38" s="16">
        <v>45</v>
      </c>
      <c r="AH38" s="23">
        <f t="shared" si="5"/>
        <v>65</v>
      </c>
      <c r="AI38" s="14">
        <f t="shared" si="6"/>
        <v>1.0049999999999999</v>
      </c>
      <c r="AJ38" s="13"/>
      <c r="AK38" s="12">
        <v>0.01</v>
      </c>
      <c r="AL38" s="11">
        <f t="shared" si="7"/>
        <v>1.01</v>
      </c>
      <c r="AM38" s="10">
        <f t="shared" si="8"/>
        <v>7470803000</v>
      </c>
      <c r="AN38" s="9"/>
      <c r="AO38" s="8"/>
      <c r="AP38" s="8"/>
      <c r="AQ38" s="8"/>
      <c r="AR38" s="8"/>
      <c r="AS38" s="7"/>
      <c r="AT38" s="6">
        <f t="shared" si="9"/>
        <v>0</v>
      </c>
    </row>
    <row r="39" spans="1:46" s="37" customFormat="1" ht="45.75" customHeight="1" thickBot="1" x14ac:dyDescent="0.2">
      <c r="A39" s="35"/>
      <c r="B39" s="35"/>
      <c r="C39" s="73"/>
      <c r="D39" s="73"/>
      <c r="E39" s="73"/>
      <c r="F39" s="73"/>
      <c r="G39" s="73"/>
      <c r="H39" s="50"/>
      <c r="I39" s="38">
        <v>0.51</v>
      </c>
      <c r="J39" s="30">
        <v>0.49</v>
      </c>
      <c r="K39" s="29"/>
      <c r="L39" s="28"/>
      <c r="M39" s="27"/>
      <c r="N39" s="26">
        <f t="shared" si="0"/>
        <v>1</v>
      </c>
      <c r="O39" s="25">
        <v>15</v>
      </c>
      <c r="P39" s="24">
        <v>15</v>
      </c>
      <c r="Q39" s="42"/>
      <c r="R39" s="42"/>
      <c r="S39" s="42"/>
      <c r="T39" s="20">
        <f t="shared" si="1"/>
        <v>15</v>
      </c>
      <c r="U39" s="19"/>
      <c r="V39" s="22"/>
      <c r="W39" s="22"/>
      <c r="X39" s="22"/>
      <c r="Y39" s="57"/>
      <c r="Z39" s="21"/>
      <c r="AA39" s="20">
        <f t="shared" si="3"/>
        <v>0</v>
      </c>
      <c r="AB39" s="19">
        <f t="shared" si="4"/>
        <v>0</v>
      </c>
      <c r="AC39" s="16">
        <v>20</v>
      </c>
      <c r="AD39" s="18"/>
      <c r="AE39" s="17"/>
      <c r="AF39" s="23">
        <f t="shared" si="10"/>
        <v>0</v>
      </c>
      <c r="AG39" s="16">
        <v>45</v>
      </c>
      <c r="AH39" s="23">
        <f t="shared" si="5"/>
        <v>65</v>
      </c>
      <c r="AI39" s="14">
        <f t="shared" si="6"/>
        <v>1.0049999999999999</v>
      </c>
      <c r="AJ39" s="13"/>
      <c r="AK39" s="12">
        <v>0.01</v>
      </c>
      <c r="AL39" s="11">
        <f t="shared" si="7"/>
        <v>1.01</v>
      </c>
      <c r="AM39" s="10">
        <f t="shared" si="8"/>
        <v>7470803000</v>
      </c>
      <c r="AN39" s="9"/>
      <c r="AO39" s="8"/>
      <c r="AP39" s="8"/>
      <c r="AQ39" s="8"/>
      <c r="AR39" s="8"/>
      <c r="AS39" s="7"/>
      <c r="AT39" s="6">
        <f t="shared" si="9"/>
        <v>0</v>
      </c>
    </row>
    <row r="40" spans="1:46" s="37" customFormat="1" ht="45.75" customHeight="1" thickBot="1" x14ac:dyDescent="0.2">
      <c r="A40" s="36"/>
      <c r="B40" s="35"/>
      <c r="C40" s="73"/>
      <c r="D40" s="73"/>
      <c r="E40" s="73"/>
      <c r="F40" s="73"/>
      <c r="G40" s="73"/>
      <c r="H40" s="45"/>
      <c r="I40" s="38">
        <v>0.51</v>
      </c>
      <c r="J40" s="30">
        <v>0.49</v>
      </c>
      <c r="K40" s="29"/>
      <c r="L40" s="28"/>
      <c r="M40" s="27"/>
      <c r="N40" s="26">
        <f t="shared" si="0"/>
        <v>1</v>
      </c>
      <c r="O40" s="44">
        <v>15</v>
      </c>
      <c r="P40" s="43">
        <v>15</v>
      </c>
      <c r="Q40" s="42"/>
      <c r="R40" s="42"/>
      <c r="S40" s="42"/>
      <c r="T40" s="20">
        <f t="shared" si="1"/>
        <v>15</v>
      </c>
      <c r="U40" s="19"/>
      <c r="V40" s="54"/>
      <c r="W40" s="48"/>
      <c r="X40" s="41"/>
      <c r="Y40" s="48"/>
      <c r="Z40" s="21"/>
      <c r="AA40" s="20">
        <f t="shared" si="3"/>
        <v>0</v>
      </c>
      <c r="AB40" s="19">
        <f t="shared" si="4"/>
        <v>0</v>
      </c>
      <c r="AC40" s="16">
        <v>20</v>
      </c>
      <c r="AD40" s="18"/>
      <c r="AE40" s="17"/>
      <c r="AF40" s="23">
        <f t="shared" si="10"/>
        <v>0</v>
      </c>
      <c r="AG40" s="16">
        <v>45</v>
      </c>
      <c r="AH40" s="23">
        <f t="shared" si="5"/>
        <v>65</v>
      </c>
      <c r="AI40" s="14">
        <f t="shared" si="6"/>
        <v>1.0049999999999999</v>
      </c>
      <c r="AJ40" s="13"/>
      <c r="AK40" s="12">
        <v>0.01</v>
      </c>
      <c r="AL40" s="11">
        <f t="shared" si="7"/>
        <v>1.01</v>
      </c>
      <c r="AM40" s="10">
        <f t="shared" si="8"/>
        <v>7470803000</v>
      </c>
      <c r="AN40" s="9"/>
      <c r="AO40" s="8"/>
      <c r="AP40" s="8"/>
      <c r="AQ40" s="8"/>
      <c r="AR40" s="8"/>
      <c r="AS40" s="7"/>
      <c r="AT40" s="6">
        <f t="shared" si="9"/>
        <v>0</v>
      </c>
    </row>
    <row r="41" spans="1:46" s="37" customFormat="1" ht="45.75" customHeight="1" thickBot="1" x14ac:dyDescent="0.2">
      <c r="A41" s="36"/>
      <c r="B41" s="55"/>
      <c r="C41" s="73"/>
      <c r="D41" s="73"/>
      <c r="E41" s="73"/>
      <c r="F41" s="73"/>
      <c r="G41" s="73"/>
      <c r="H41" s="32"/>
      <c r="I41" s="38">
        <v>0.51</v>
      </c>
      <c r="J41" s="30">
        <v>0.49</v>
      </c>
      <c r="K41" s="29"/>
      <c r="L41" s="28"/>
      <c r="M41" s="27"/>
      <c r="N41" s="26">
        <f t="shared" si="0"/>
        <v>1</v>
      </c>
      <c r="O41" s="25">
        <v>15</v>
      </c>
      <c r="P41" s="43">
        <v>15</v>
      </c>
      <c r="Q41" s="24"/>
      <c r="R41" s="24"/>
      <c r="S41" s="23"/>
      <c r="T41" s="20">
        <f t="shared" si="1"/>
        <v>15</v>
      </c>
      <c r="U41" s="19"/>
      <c r="V41" s="61"/>
      <c r="W41" s="59"/>
      <c r="X41" s="22"/>
      <c r="Y41" s="22"/>
      <c r="Z41" s="21"/>
      <c r="AA41" s="20">
        <f t="shared" si="3"/>
        <v>0</v>
      </c>
      <c r="AB41" s="19">
        <f t="shared" si="4"/>
        <v>0</v>
      </c>
      <c r="AC41" s="16">
        <v>20</v>
      </c>
      <c r="AD41" s="18"/>
      <c r="AE41" s="17"/>
      <c r="AF41" s="23">
        <f t="shared" si="10"/>
        <v>0</v>
      </c>
      <c r="AG41" s="16">
        <v>45</v>
      </c>
      <c r="AH41" s="23">
        <f t="shared" si="5"/>
        <v>65</v>
      </c>
      <c r="AI41" s="14">
        <f t="shared" si="6"/>
        <v>1.0049999999999999</v>
      </c>
      <c r="AJ41" s="13"/>
      <c r="AK41" s="12">
        <v>0.01</v>
      </c>
      <c r="AL41" s="11">
        <f t="shared" si="7"/>
        <v>1.01</v>
      </c>
      <c r="AM41" s="10">
        <f t="shared" si="8"/>
        <v>7470803000</v>
      </c>
      <c r="AN41" s="9"/>
      <c r="AO41" s="8"/>
      <c r="AP41" s="8"/>
      <c r="AQ41" s="8"/>
      <c r="AR41" s="8"/>
      <c r="AS41" s="7"/>
      <c r="AT41" s="6">
        <f t="shared" si="9"/>
        <v>0</v>
      </c>
    </row>
    <row r="42" spans="1:46" s="37" customFormat="1" ht="45.75" customHeight="1" thickBot="1" x14ac:dyDescent="0.2">
      <c r="A42" s="35"/>
      <c r="B42" s="35"/>
      <c r="C42" s="73"/>
      <c r="D42" s="73"/>
      <c r="E42" s="73"/>
      <c r="F42" s="73"/>
      <c r="G42" s="73"/>
      <c r="H42" s="45"/>
      <c r="I42" s="38">
        <v>0.51</v>
      </c>
      <c r="J42" s="30">
        <v>0.49</v>
      </c>
      <c r="K42" s="29"/>
      <c r="L42" s="28"/>
      <c r="M42" s="27"/>
      <c r="N42" s="26">
        <f t="shared" si="0"/>
        <v>1</v>
      </c>
      <c r="O42" s="65">
        <v>15</v>
      </c>
      <c r="P42" s="23">
        <v>15</v>
      </c>
      <c r="Q42" s="42"/>
      <c r="R42" s="42"/>
      <c r="S42" s="23"/>
      <c r="T42" s="20">
        <f t="shared" si="1"/>
        <v>15</v>
      </c>
      <c r="U42" s="19"/>
      <c r="V42" s="52"/>
      <c r="W42" s="59"/>
      <c r="X42" s="59"/>
      <c r="Y42" s="79"/>
      <c r="Z42" s="21"/>
      <c r="AA42" s="20">
        <f t="shared" si="3"/>
        <v>0</v>
      </c>
      <c r="AB42" s="19">
        <f t="shared" si="4"/>
        <v>0</v>
      </c>
      <c r="AC42" s="16">
        <v>20</v>
      </c>
      <c r="AD42" s="18"/>
      <c r="AE42" s="17"/>
      <c r="AF42" s="23">
        <f t="shared" si="10"/>
        <v>0</v>
      </c>
      <c r="AG42" s="16">
        <v>45</v>
      </c>
      <c r="AH42" s="23">
        <f t="shared" si="5"/>
        <v>65</v>
      </c>
      <c r="AI42" s="14">
        <f t="shared" si="6"/>
        <v>1.0049999999999999</v>
      </c>
      <c r="AJ42" s="13"/>
      <c r="AK42" s="12">
        <v>0.01</v>
      </c>
      <c r="AL42" s="11">
        <f t="shared" si="7"/>
        <v>1.01</v>
      </c>
      <c r="AM42" s="10">
        <f t="shared" si="8"/>
        <v>7470803000</v>
      </c>
      <c r="AN42" s="9"/>
      <c r="AO42" s="16"/>
      <c r="AP42" s="72"/>
      <c r="AQ42" s="72"/>
      <c r="AR42" s="8"/>
      <c r="AS42" s="7"/>
      <c r="AT42" s="6">
        <f t="shared" si="9"/>
        <v>0</v>
      </c>
    </row>
    <row r="43" spans="1:46" s="37" customFormat="1" ht="45.75" customHeight="1" thickBot="1" x14ac:dyDescent="0.2">
      <c r="A43" s="35"/>
      <c r="B43" s="35"/>
      <c r="C43" s="73"/>
      <c r="D43" s="73"/>
      <c r="E43" s="73"/>
      <c r="F43" s="73"/>
      <c r="G43" s="73"/>
      <c r="H43" s="45"/>
      <c r="I43" s="38">
        <v>0.51</v>
      </c>
      <c r="J43" s="30">
        <v>0.49</v>
      </c>
      <c r="K43" s="29"/>
      <c r="L43" s="28"/>
      <c r="M43" s="27"/>
      <c r="N43" s="26">
        <f t="shared" si="0"/>
        <v>1</v>
      </c>
      <c r="O43" s="65">
        <v>15</v>
      </c>
      <c r="P43" s="23">
        <v>15</v>
      </c>
      <c r="Q43" s="42"/>
      <c r="R43" s="42"/>
      <c r="S43" s="23"/>
      <c r="T43" s="20">
        <f t="shared" si="1"/>
        <v>15</v>
      </c>
      <c r="U43" s="19">
        <f t="shared" ref="U43:U106" si="11">IF(T43&gt;=15,15,T43)</f>
        <v>15</v>
      </c>
      <c r="V43" s="61"/>
      <c r="W43" s="59"/>
      <c r="X43" s="59"/>
      <c r="Y43" s="22"/>
      <c r="Z43" s="68"/>
      <c r="AA43" s="20">
        <f t="shared" si="3"/>
        <v>0</v>
      </c>
      <c r="AB43" s="19">
        <f t="shared" si="4"/>
        <v>0</v>
      </c>
      <c r="AC43" s="16">
        <v>20</v>
      </c>
      <c r="AD43" s="18"/>
      <c r="AE43" s="17"/>
      <c r="AF43" s="23">
        <f t="shared" si="10"/>
        <v>15</v>
      </c>
      <c r="AG43" s="16">
        <v>45</v>
      </c>
      <c r="AH43" s="23">
        <f t="shared" si="5"/>
        <v>80</v>
      </c>
      <c r="AI43" s="14">
        <f t="shared" si="6"/>
        <v>0.93</v>
      </c>
      <c r="AJ43" s="13"/>
      <c r="AK43" s="12">
        <v>0.01</v>
      </c>
      <c r="AL43" s="11">
        <f t="shared" si="7"/>
        <v>1.01</v>
      </c>
      <c r="AM43" s="10">
        <f t="shared" si="8"/>
        <v>6913280000</v>
      </c>
      <c r="AN43" s="9"/>
      <c r="AO43" s="16"/>
      <c r="AP43" s="71"/>
      <c r="AQ43" s="71"/>
      <c r="AR43" s="8"/>
      <c r="AS43" s="7"/>
      <c r="AT43" s="6">
        <f t="shared" si="9"/>
        <v>0</v>
      </c>
    </row>
    <row r="44" spans="1:46" s="37" customFormat="1" ht="45.75" customHeight="1" thickBot="1" x14ac:dyDescent="0.2">
      <c r="A44" s="35"/>
      <c r="B44" s="35"/>
      <c r="C44" s="73"/>
      <c r="D44" s="73"/>
      <c r="E44" s="73"/>
      <c r="F44" s="73"/>
      <c r="G44" s="73"/>
      <c r="H44" s="45"/>
      <c r="I44" s="38">
        <v>0.51</v>
      </c>
      <c r="J44" s="30">
        <v>0.49</v>
      </c>
      <c r="K44" s="29"/>
      <c r="L44" s="30"/>
      <c r="M44" s="27"/>
      <c r="N44" s="26">
        <f t="shared" si="0"/>
        <v>1</v>
      </c>
      <c r="O44" s="65">
        <v>15</v>
      </c>
      <c r="P44" s="23">
        <v>15</v>
      </c>
      <c r="Q44" s="42"/>
      <c r="R44" s="42"/>
      <c r="S44" s="42"/>
      <c r="T44" s="20">
        <f t="shared" si="1"/>
        <v>15</v>
      </c>
      <c r="U44" s="19">
        <f t="shared" si="11"/>
        <v>15</v>
      </c>
      <c r="V44" s="68"/>
      <c r="W44" s="68">
        <v>1966034000</v>
      </c>
      <c r="X44" s="59">
        <v>3324955000</v>
      </c>
      <c r="Y44" s="68"/>
      <c r="Z44" s="59"/>
      <c r="AA44" s="20">
        <f t="shared" si="3"/>
        <v>0.98</v>
      </c>
      <c r="AB44" s="19">
        <f t="shared" si="4"/>
        <v>0.98</v>
      </c>
      <c r="AC44" s="16">
        <v>20</v>
      </c>
      <c r="AD44" s="18"/>
      <c r="AE44" s="17"/>
      <c r="AF44" s="23">
        <f t="shared" si="10"/>
        <v>15.98</v>
      </c>
      <c r="AG44" s="16">
        <v>45</v>
      </c>
      <c r="AH44" s="23">
        <f t="shared" si="5"/>
        <v>80.98</v>
      </c>
      <c r="AI44" s="14">
        <f t="shared" si="6"/>
        <v>0.92509999999999992</v>
      </c>
      <c r="AJ44" s="13"/>
      <c r="AK44" s="12">
        <v>0.01</v>
      </c>
      <c r="AL44" s="11">
        <f t="shared" si="7"/>
        <v>1.01</v>
      </c>
      <c r="AM44" s="10">
        <f t="shared" si="8"/>
        <v>6876856000</v>
      </c>
      <c r="AN44" s="9"/>
      <c r="AO44" s="71"/>
      <c r="AP44" s="71"/>
      <c r="AQ44" s="71"/>
      <c r="AR44" s="8"/>
      <c r="AS44" s="7"/>
      <c r="AT44" s="6">
        <f t="shared" si="9"/>
        <v>0</v>
      </c>
    </row>
    <row r="45" spans="1:46" s="37" customFormat="1" ht="45.75" customHeight="1" thickBot="1" x14ac:dyDescent="0.2">
      <c r="A45" s="35"/>
      <c r="B45" s="35"/>
      <c r="C45" s="73"/>
      <c r="D45" s="73"/>
      <c r="E45" s="73"/>
      <c r="F45" s="73"/>
      <c r="G45" s="73"/>
      <c r="H45" s="45"/>
      <c r="I45" s="38">
        <v>0.51</v>
      </c>
      <c r="J45" s="30">
        <v>0.49</v>
      </c>
      <c r="K45" s="29"/>
      <c r="L45" s="28"/>
      <c r="M45" s="27"/>
      <c r="N45" s="26">
        <f t="shared" si="0"/>
        <v>1</v>
      </c>
      <c r="O45" s="65">
        <v>15</v>
      </c>
      <c r="P45" s="23">
        <v>15</v>
      </c>
      <c r="Q45" s="42"/>
      <c r="R45" s="42"/>
      <c r="S45" s="42"/>
      <c r="T45" s="20">
        <f t="shared" si="1"/>
        <v>15</v>
      </c>
      <c r="U45" s="19">
        <f t="shared" si="11"/>
        <v>15</v>
      </c>
      <c r="V45" s="61"/>
      <c r="W45" s="62">
        <v>9345491000</v>
      </c>
      <c r="X45" s="59"/>
      <c r="Y45" s="22"/>
      <c r="Z45" s="68"/>
      <c r="AA45" s="20">
        <f t="shared" si="3"/>
        <v>4.67</v>
      </c>
      <c r="AB45" s="19">
        <f t="shared" si="4"/>
        <v>4.67</v>
      </c>
      <c r="AC45" s="16">
        <v>20</v>
      </c>
      <c r="AD45" s="18"/>
      <c r="AE45" s="17"/>
      <c r="AF45" s="23">
        <f t="shared" si="10"/>
        <v>19.670000000000002</v>
      </c>
      <c r="AG45" s="16">
        <v>45</v>
      </c>
      <c r="AH45" s="23">
        <f t="shared" si="5"/>
        <v>84.67</v>
      </c>
      <c r="AI45" s="14">
        <f t="shared" si="6"/>
        <v>0.90664999999999996</v>
      </c>
      <c r="AJ45" s="13"/>
      <c r="AK45" s="12">
        <v>0.01</v>
      </c>
      <c r="AL45" s="11">
        <f t="shared" si="7"/>
        <v>1.01</v>
      </c>
      <c r="AM45" s="10">
        <f t="shared" si="8"/>
        <v>6739705000</v>
      </c>
      <c r="AN45" s="9"/>
      <c r="AO45" s="8"/>
      <c r="AP45" s="8"/>
      <c r="AQ45" s="8"/>
      <c r="AR45" s="8"/>
      <c r="AS45" s="7"/>
      <c r="AT45" s="6">
        <f t="shared" si="9"/>
        <v>0</v>
      </c>
    </row>
    <row r="46" spans="1:46" s="37" customFormat="1" ht="45.75" customHeight="1" thickBot="1" x14ac:dyDescent="0.2">
      <c r="A46" s="35"/>
      <c r="B46" s="35"/>
      <c r="C46" s="73"/>
      <c r="D46" s="73"/>
      <c r="E46" s="73"/>
      <c r="F46" s="73"/>
      <c r="G46" s="73"/>
      <c r="H46" s="45"/>
      <c r="I46" s="38">
        <v>0.51</v>
      </c>
      <c r="J46" s="30">
        <v>0.49</v>
      </c>
      <c r="K46" s="29"/>
      <c r="L46" s="28"/>
      <c r="M46" s="27"/>
      <c r="N46" s="26">
        <f t="shared" si="0"/>
        <v>1</v>
      </c>
      <c r="O46" s="65">
        <v>15</v>
      </c>
      <c r="P46" s="23">
        <v>15</v>
      </c>
      <c r="Q46" s="42"/>
      <c r="R46" s="42"/>
      <c r="S46" s="23"/>
      <c r="T46" s="20">
        <f t="shared" si="1"/>
        <v>15</v>
      </c>
      <c r="U46" s="19">
        <f t="shared" si="11"/>
        <v>15</v>
      </c>
      <c r="V46" s="68"/>
      <c r="W46" s="62"/>
      <c r="X46" s="78"/>
      <c r="Y46" s="22"/>
      <c r="Z46" s="68"/>
      <c r="AA46" s="20">
        <f t="shared" si="3"/>
        <v>0</v>
      </c>
      <c r="AB46" s="19">
        <f t="shared" si="4"/>
        <v>0</v>
      </c>
      <c r="AC46" s="16">
        <v>20</v>
      </c>
      <c r="AD46" s="18"/>
      <c r="AE46" s="17"/>
      <c r="AF46" s="23">
        <f t="shared" si="10"/>
        <v>15</v>
      </c>
      <c r="AG46" s="16">
        <v>45</v>
      </c>
      <c r="AH46" s="23">
        <f t="shared" si="5"/>
        <v>80</v>
      </c>
      <c r="AI46" s="14">
        <f t="shared" si="6"/>
        <v>0.93</v>
      </c>
      <c r="AJ46" s="13"/>
      <c r="AK46" s="12">
        <v>0.01</v>
      </c>
      <c r="AL46" s="11">
        <f t="shared" si="7"/>
        <v>1.01</v>
      </c>
      <c r="AM46" s="10">
        <f t="shared" si="8"/>
        <v>6913280000</v>
      </c>
      <c r="AN46" s="9"/>
      <c r="AO46" s="71"/>
      <c r="AP46" s="71"/>
      <c r="AQ46" s="71"/>
      <c r="AR46" s="8"/>
      <c r="AS46" s="7"/>
      <c r="AT46" s="6">
        <f t="shared" si="9"/>
        <v>0</v>
      </c>
    </row>
    <row r="47" spans="1:46" s="37" customFormat="1" ht="45.75" customHeight="1" thickBot="1" x14ac:dyDescent="0.2">
      <c r="A47" s="35"/>
      <c r="B47" s="35"/>
      <c r="C47" s="73"/>
      <c r="D47" s="73"/>
      <c r="E47" s="73"/>
      <c r="F47" s="73"/>
      <c r="G47" s="73"/>
      <c r="H47" s="77"/>
      <c r="I47" s="38">
        <v>0.51</v>
      </c>
      <c r="J47" s="30">
        <v>0.49</v>
      </c>
      <c r="K47" s="29"/>
      <c r="L47" s="28"/>
      <c r="M47" s="27"/>
      <c r="N47" s="26">
        <f t="shared" si="0"/>
        <v>1</v>
      </c>
      <c r="O47" s="65">
        <v>15</v>
      </c>
      <c r="P47" s="23">
        <v>15</v>
      </c>
      <c r="Q47" s="42"/>
      <c r="R47" s="42"/>
      <c r="S47" s="42"/>
      <c r="T47" s="20">
        <f t="shared" si="1"/>
        <v>15</v>
      </c>
      <c r="U47" s="19">
        <f t="shared" si="11"/>
        <v>15</v>
      </c>
      <c r="V47" s="22"/>
      <c r="W47" s="68"/>
      <c r="X47" s="59"/>
      <c r="Y47" s="22"/>
      <c r="Z47" s="68"/>
      <c r="AA47" s="20">
        <f t="shared" si="3"/>
        <v>0</v>
      </c>
      <c r="AB47" s="19">
        <f t="shared" si="4"/>
        <v>0</v>
      </c>
      <c r="AC47" s="16">
        <v>20</v>
      </c>
      <c r="AD47" s="18"/>
      <c r="AE47" s="17"/>
      <c r="AF47" s="23">
        <f t="shared" si="10"/>
        <v>15</v>
      </c>
      <c r="AG47" s="16">
        <v>45</v>
      </c>
      <c r="AH47" s="23">
        <f t="shared" si="5"/>
        <v>80</v>
      </c>
      <c r="AI47" s="14">
        <f t="shared" si="6"/>
        <v>0.93</v>
      </c>
      <c r="AJ47" s="13"/>
      <c r="AK47" s="12">
        <v>0.01</v>
      </c>
      <c r="AL47" s="11">
        <f t="shared" si="7"/>
        <v>1.01</v>
      </c>
      <c r="AM47" s="10">
        <f t="shared" si="8"/>
        <v>6913280000</v>
      </c>
      <c r="AN47" s="9"/>
      <c r="AO47" s="16"/>
      <c r="AP47" s="71"/>
      <c r="AQ47" s="71"/>
      <c r="AR47" s="8"/>
      <c r="AS47" s="7"/>
      <c r="AT47" s="6">
        <f t="shared" si="9"/>
        <v>0</v>
      </c>
    </row>
    <row r="48" spans="1:46" s="37" customFormat="1" ht="45.75" customHeight="1" thickBot="1" x14ac:dyDescent="0.2">
      <c r="A48" s="35"/>
      <c r="B48" s="35"/>
      <c r="C48" s="73"/>
      <c r="D48" s="73"/>
      <c r="E48" s="73"/>
      <c r="F48" s="73"/>
      <c r="G48" s="73"/>
      <c r="H48" s="45"/>
      <c r="I48" s="38">
        <v>0.4</v>
      </c>
      <c r="J48" s="30">
        <v>0.3</v>
      </c>
      <c r="K48" s="29">
        <v>0.3</v>
      </c>
      <c r="L48" s="30"/>
      <c r="M48" s="27"/>
      <c r="N48" s="26">
        <f t="shared" si="0"/>
        <v>1</v>
      </c>
      <c r="O48" s="65">
        <v>15</v>
      </c>
      <c r="P48" s="23">
        <v>15</v>
      </c>
      <c r="Q48" s="23">
        <v>15</v>
      </c>
      <c r="R48" s="42"/>
      <c r="S48" s="42"/>
      <c r="T48" s="20">
        <f t="shared" si="1"/>
        <v>15</v>
      </c>
      <c r="U48" s="19">
        <f t="shared" si="11"/>
        <v>15</v>
      </c>
      <c r="V48" s="85">
        <v>3425675000</v>
      </c>
      <c r="W48" s="22"/>
      <c r="X48" s="76"/>
      <c r="Y48" s="22"/>
      <c r="Z48" s="68"/>
      <c r="AA48" s="20">
        <f t="shared" si="3"/>
        <v>1.4</v>
      </c>
      <c r="AB48" s="19">
        <f t="shared" si="4"/>
        <v>1.4</v>
      </c>
      <c r="AC48" s="16">
        <v>20</v>
      </c>
      <c r="AD48" s="18"/>
      <c r="AE48" s="17"/>
      <c r="AF48" s="23">
        <f t="shared" si="10"/>
        <v>16.399999999999999</v>
      </c>
      <c r="AG48" s="16">
        <v>45</v>
      </c>
      <c r="AH48" s="23">
        <f t="shared" si="5"/>
        <v>81.400000000000006</v>
      </c>
      <c r="AI48" s="14">
        <f t="shared" si="6"/>
        <v>0.92299999999999993</v>
      </c>
      <c r="AJ48" s="13"/>
      <c r="AK48" s="12">
        <v>0.01</v>
      </c>
      <c r="AL48" s="11">
        <f t="shared" si="7"/>
        <v>1.01</v>
      </c>
      <c r="AM48" s="10">
        <f t="shared" si="8"/>
        <v>6861245000</v>
      </c>
      <c r="AN48" s="9"/>
      <c r="AO48" s="71"/>
      <c r="AP48" s="71"/>
      <c r="AQ48" s="71"/>
      <c r="AR48" s="8"/>
      <c r="AS48" s="7"/>
      <c r="AT48" s="6">
        <f t="shared" si="9"/>
        <v>0</v>
      </c>
    </row>
    <row r="49" spans="1:46" s="37" customFormat="1" ht="45.75" customHeight="1" thickBot="1" x14ac:dyDescent="0.2">
      <c r="A49" s="35"/>
      <c r="B49" s="35"/>
      <c r="C49" s="73"/>
      <c r="D49" s="73"/>
      <c r="E49" s="73"/>
      <c r="F49" s="73"/>
      <c r="G49" s="73"/>
      <c r="H49" s="45"/>
      <c r="I49" s="38">
        <v>0.51</v>
      </c>
      <c r="J49" s="30">
        <v>0.49</v>
      </c>
      <c r="K49" s="29"/>
      <c r="L49" s="28"/>
      <c r="M49" s="27"/>
      <c r="N49" s="26">
        <f t="shared" si="0"/>
        <v>1</v>
      </c>
      <c r="O49" s="65">
        <v>15</v>
      </c>
      <c r="P49" s="23">
        <v>15</v>
      </c>
      <c r="Q49" s="42"/>
      <c r="R49" s="42"/>
      <c r="S49" s="23"/>
      <c r="T49" s="20">
        <f t="shared" si="1"/>
        <v>15</v>
      </c>
      <c r="U49" s="19">
        <f t="shared" si="11"/>
        <v>15</v>
      </c>
      <c r="V49" s="59"/>
      <c r="W49" s="22">
        <v>7486618000</v>
      </c>
      <c r="X49" s="59"/>
      <c r="Y49" s="22"/>
      <c r="Z49" s="68"/>
      <c r="AA49" s="20">
        <f t="shared" si="3"/>
        <v>3.74</v>
      </c>
      <c r="AB49" s="19">
        <f t="shared" si="4"/>
        <v>3.74</v>
      </c>
      <c r="AC49" s="16">
        <v>20</v>
      </c>
      <c r="AD49" s="18"/>
      <c r="AE49" s="17"/>
      <c r="AF49" s="23">
        <f t="shared" si="10"/>
        <v>18.740000000000002</v>
      </c>
      <c r="AG49" s="16">
        <v>45</v>
      </c>
      <c r="AH49" s="23">
        <f t="shared" si="5"/>
        <v>83.740000000000009</v>
      </c>
      <c r="AI49" s="14">
        <f t="shared" si="6"/>
        <v>0.9113</v>
      </c>
      <c r="AJ49" s="13"/>
      <c r="AK49" s="12">
        <v>0.01</v>
      </c>
      <c r="AL49" s="11">
        <f t="shared" si="7"/>
        <v>1.01</v>
      </c>
      <c r="AM49" s="10">
        <f t="shared" si="8"/>
        <v>6774271000</v>
      </c>
      <c r="AN49" s="9"/>
      <c r="AO49" s="74"/>
      <c r="AP49" s="72"/>
      <c r="AQ49" s="72"/>
      <c r="AR49" s="8"/>
      <c r="AS49" s="7"/>
      <c r="AT49" s="6">
        <f t="shared" si="9"/>
        <v>0</v>
      </c>
    </row>
    <row r="50" spans="1:46" s="37" customFormat="1" ht="45.75" customHeight="1" thickBot="1" x14ac:dyDescent="0.2">
      <c r="A50" s="35"/>
      <c r="B50" s="35"/>
      <c r="C50" s="73"/>
      <c r="D50" s="73"/>
      <c r="E50" s="73"/>
      <c r="F50" s="73"/>
      <c r="G50" s="73"/>
      <c r="H50" s="45"/>
      <c r="I50" s="38">
        <v>0.51</v>
      </c>
      <c r="J50" s="30">
        <v>0.49</v>
      </c>
      <c r="K50" s="29"/>
      <c r="L50" s="28"/>
      <c r="M50" s="27"/>
      <c r="N50" s="26">
        <f t="shared" si="0"/>
        <v>1</v>
      </c>
      <c r="O50" s="23">
        <v>15</v>
      </c>
      <c r="P50" s="23">
        <v>15</v>
      </c>
      <c r="Q50" s="42"/>
      <c r="R50" s="42"/>
      <c r="S50" s="42"/>
      <c r="T50" s="20">
        <f t="shared" si="1"/>
        <v>15</v>
      </c>
      <c r="U50" s="19">
        <f t="shared" si="11"/>
        <v>15</v>
      </c>
      <c r="V50" s="61"/>
      <c r="W50" s="59"/>
      <c r="X50" s="61"/>
      <c r="Y50" s="22"/>
      <c r="Z50" s="21"/>
      <c r="AA50" s="20">
        <f t="shared" si="3"/>
        <v>0</v>
      </c>
      <c r="AB50" s="19">
        <f t="shared" si="4"/>
        <v>0</v>
      </c>
      <c r="AC50" s="16">
        <v>20</v>
      </c>
      <c r="AD50" s="18"/>
      <c r="AE50" s="17"/>
      <c r="AF50" s="23">
        <f t="shared" si="10"/>
        <v>15</v>
      </c>
      <c r="AG50" s="16">
        <v>45</v>
      </c>
      <c r="AH50" s="23">
        <f t="shared" si="5"/>
        <v>80</v>
      </c>
      <c r="AI50" s="14">
        <f t="shared" si="6"/>
        <v>0.93</v>
      </c>
      <c r="AJ50" s="13"/>
      <c r="AK50" s="12">
        <v>0.01</v>
      </c>
      <c r="AL50" s="11">
        <f t="shared" si="7"/>
        <v>1.01</v>
      </c>
      <c r="AM50" s="10">
        <f t="shared" si="8"/>
        <v>6913280000</v>
      </c>
      <c r="AN50" s="9"/>
      <c r="AO50" s="8"/>
      <c r="AP50" s="8"/>
      <c r="AQ50" s="8"/>
      <c r="AR50" s="8"/>
      <c r="AS50" s="7"/>
      <c r="AT50" s="6">
        <f t="shared" si="9"/>
        <v>0</v>
      </c>
    </row>
    <row r="51" spans="1:46" s="37" customFormat="1" ht="45.75" customHeight="1" thickBot="1" x14ac:dyDescent="0.2">
      <c r="A51" s="35"/>
      <c r="B51" s="35"/>
      <c r="C51" s="73"/>
      <c r="D51" s="73"/>
      <c r="E51" s="73"/>
      <c r="F51" s="73"/>
      <c r="G51" s="73"/>
      <c r="H51" s="45"/>
      <c r="I51" s="38">
        <v>0.5</v>
      </c>
      <c r="J51" s="30">
        <v>0.25</v>
      </c>
      <c r="K51" s="29">
        <v>0.25</v>
      </c>
      <c r="L51" s="28"/>
      <c r="M51" s="27"/>
      <c r="N51" s="26">
        <f t="shared" si="0"/>
        <v>1</v>
      </c>
      <c r="O51" s="65">
        <v>15</v>
      </c>
      <c r="P51" s="23">
        <v>15</v>
      </c>
      <c r="Q51" s="23">
        <v>15</v>
      </c>
      <c r="R51" s="42"/>
      <c r="S51" s="23"/>
      <c r="T51" s="20">
        <f t="shared" si="1"/>
        <v>15</v>
      </c>
      <c r="U51" s="19">
        <f t="shared" si="11"/>
        <v>15</v>
      </c>
      <c r="V51" s="22">
        <v>1364132000</v>
      </c>
      <c r="W51" s="22">
        <v>3231169000</v>
      </c>
      <c r="X51" s="68">
        <v>3586189000</v>
      </c>
      <c r="Y51" s="59">
        <v>1177604000</v>
      </c>
      <c r="Z51" s="22">
        <v>6584044000</v>
      </c>
      <c r="AA51" s="20">
        <f t="shared" si="3"/>
        <v>2.4300000000000002</v>
      </c>
      <c r="AB51" s="19">
        <f t="shared" si="4"/>
        <v>2.4300000000000002</v>
      </c>
      <c r="AC51" s="16">
        <v>20</v>
      </c>
      <c r="AD51" s="18"/>
      <c r="AE51" s="17"/>
      <c r="AF51" s="23">
        <f t="shared" si="10"/>
        <v>17.43</v>
      </c>
      <c r="AG51" s="16">
        <v>45</v>
      </c>
      <c r="AH51" s="23">
        <f t="shared" si="5"/>
        <v>82.43</v>
      </c>
      <c r="AI51" s="14">
        <f t="shared" si="6"/>
        <v>0.91784999999999994</v>
      </c>
      <c r="AJ51" s="13"/>
      <c r="AK51" s="12">
        <v>0.01</v>
      </c>
      <c r="AL51" s="11">
        <f t="shared" si="7"/>
        <v>1.01</v>
      </c>
      <c r="AM51" s="10">
        <f t="shared" si="8"/>
        <v>6822962000</v>
      </c>
      <c r="AN51" s="9"/>
      <c r="AO51" s="16"/>
      <c r="AP51" s="71"/>
      <c r="AQ51" s="71"/>
      <c r="AR51" s="8"/>
      <c r="AS51" s="7"/>
      <c r="AT51" s="6">
        <f t="shared" si="9"/>
        <v>0</v>
      </c>
    </row>
    <row r="52" spans="1:46" s="37" customFormat="1" ht="45.75" customHeight="1" thickBot="1" x14ac:dyDescent="0.2">
      <c r="A52" s="35"/>
      <c r="B52" s="35"/>
      <c r="C52" s="73"/>
      <c r="D52" s="73"/>
      <c r="E52" s="73"/>
      <c r="F52" s="73"/>
      <c r="G52" s="51"/>
      <c r="H52" s="45"/>
      <c r="I52" s="38">
        <v>0.51</v>
      </c>
      <c r="J52" s="30">
        <v>0.49</v>
      </c>
      <c r="K52" s="29"/>
      <c r="L52" s="28"/>
      <c r="M52" s="27"/>
      <c r="N52" s="26">
        <f t="shared" si="0"/>
        <v>1</v>
      </c>
      <c r="O52" s="65">
        <v>15</v>
      </c>
      <c r="P52" s="23">
        <v>15</v>
      </c>
      <c r="Q52" s="42"/>
      <c r="R52" s="42"/>
      <c r="S52" s="23"/>
      <c r="T52" s="20">
        <f t="shared" si="1"/>
        <v>15</v>
      </c>
      <c r="U52" s="19">
        <f t="shared" si="11"/>
        <v>15</v>
      </c>
      <c r="V52" s="22"/>
      <c r="W52" s="22"/>
      <c r="X52" s="22"/>
      <c r="Y52" s="22"/>
      <c r="Z52" s="68"/>
      <c r="AA52" s="20">
        <f t="shared" si="3"/>
        <v>0</v>
      </c>
      <c r="AB52" s="19">
        <f t="shared" si="4"/>
        <v>0</v>
      </c>
      <c r="AC52" s="16">
        <v>20</v>
      </c>
      <c r="AD52" s="18"/>
      <c r="AE52" s="17"/>
      <c r="AF52" s="23">
        <f t="shared" si="10"/>
        <v>15</v>
      </c>
      <c r="AG52" s="16">
        <v>45</v>
      </c>
      <c r="AH52" s="23">
        <f t="shared" si="5"/>
        <v>80</v>
      </c>
      <c r="AI52" s="14">
        <f t="shared" si="6"/>
        <v>0.93</v>
      </c>
      <c r="AJ52" s="13"/>
      <c r="AK52" s="12">
        <v>0.01</v>
      </c>
      <c r="AL52" s="11">
        <f t="shared" si="7"/>
        <v>1.01</v>
      </c>
      <c r="AM52" s="10">
        <f t="shared" si="8"/>
        <v>6913280000</v>
      </c>
      <c r="AN52" s="9"/>
      <c r="AO52" s="74"/>
      <c r="AP52" s="16"/>
      <c r="AQ52" s="16"/>
      <c r="AR52" s="8"/>
      <c r="AS52" s="7"/>
      <c r="AT52" s="6">
        <f t="shared" si="9"/>
        <v>0</v>
      </c>
    </row>
    <row r="53" spans="1:46" s="37" customFormat="1" ht="45.75" customHeight="1" thickBot="1" x14ac:dyDescent="0.2">
      <c r="A53" s="35"/>
      <c r="B53" s="35"/>
      <c r="C53" s="73"/>
      <c r="D53" s="73"/>
      <c r="E53" s="73"/>
      <c r="F53" s="73"/>
      <c r="G53" s="73" t="s">
        <v>2</v>
      </c>
      <c r="H53" s="45" t="s">
        <v>1</v>
      </c>
      <c r="I53" s="38">
        <v>0.51</v>
      </c>
      <c r="J53" s="30">
        <v>0.49</v>
      </c>
      <c r="K53" s="29"/>
      <c r="L53" s="28"/>
      <c r="M53" s="27"/>
      <c r="N53" s="26">
        <f t="shared" si="0"/>
        <v>1</v>
      </c>
      <c r="O53" s="65">
        <v>15</v>
      </c>
      <c r="P53" s="23">
        <v>15</v>
      </c>
      <c r="Q53" s="42"/>
      <c r="R53" s="42"/>
      <c r="S53" s="23"/>
      <c r="T53" s="20">
        <f t="shared" si="1"/>
        <v>15</v>
      </c>
      <c r="U53" s="19">
        <f t="shared" si="11"/>
        <v>15</v>
      </c>
      <c r="V53" s="22"/>
      <c r="W53" s="59"/>
      <c r="X53" s="59"/>
      <c r="Y53" s="22"/>
      <c r="Z53" s="21"/>
      <c r="AA53" s="20">
        <f t="shared" si="3"/>
        <v>0</v>
      </c>
      <c r="AB53" s="19">
        <f t="shared" si="4"/>
        <v>0</v>
      </c>
      <c r="AC53" s="16">
        <v>20</v>
      </c>
      <c r="AD53" s="18"/>
      <c r="AE53" s="17"/>
      <c r="AF53" s="23">
        <f t="shared" si="10"/>
        <v>15</v>
      </c>
      <c r="AG53" s="16">
        <v>45</v>
      </c>
      <c r="AH53" s="23">
        <f t="shared" si="5"/>
        <v>80</v>
      </c>
      <c r="AI53" s="14">
        <f t="shared" si="6"/>
        <v>0.93</v>
      </c>
      <c r="AJ53" s="13"/>
      <c r="AK53" s="12">
        <v>0.01</v>
      </c>
      <c r="AL53" s="11">
        <f t="shared" si="7"/>
        <v>1.01</v>
      </c>
      <c r="AM53" s="10">
        <f t="shared" si="8"/>
        <v>6913280000</v>
      </c>
      <c r="AN53" s="9"/>
      <c r="AO53" s="16"/>
      <c r="AP53" s="72"/>
      <c r="AQ53" s="71"/>
      <c r="AR53" s="8"/>
      <c r="AS53" s="7"/>
      <c r="AT53" s="6">
        <f t="shared" si="9"/>
        <v>0</v>
      </c>
    </row>
    <row r="54" spans="1:46" s="37" customFormat="1" ht="45.75" customHeight="1" thickBot="1" x14ac:dyDescent="0.2">
      <c r="A54" s="35"/>
      <c r="B54" s="35"/>
      <c r="C54" s="39"/>
      <c r="D54" s="53"/>
      <c r="E54" s="63"/>
      <c r="F54" s="63"/>
      <c r="G54" s="51"/>
      <c r="H54" s="45"/>
      <c r="I54" s="38">
        <v>0.51</v>
      </c>
      <c r="J54" s="30">
        <v>0.49</v>
      </c>
      <c r="K54" s="29"/>
      <c r="L54" s="28"/>
      <c r="M54" s="27"/>
      <c r="N54" s="26">
        <f t="shared" si="0"/>
        <v>1</v>
      </c>
      <c r="O54" s="23">
        <v>15</v>
      </c>
      <c r="P54" s="23">
        <v>15</v>
      </c>
      <c r="Q54" s="42"/>
      <c r="R54" s="24"/>
      <c r="S54" s="23"/>
      <c r="T54" s="20">
        <f t="shared" si="1"/>
        <v>15</v>
      </c>
      <c r="U54" s="19">
        <f t="shared" si="11"/>
        <v>15</v>
      </c>
      <c r="V54" s="61"/>
      <c r="W54" s="59"/>
      <c r="X54" s="22"/>
      <c r="Y54" s="22"/>
      <c r="Z54" s="68"/>
      <c r="AA54" s="20">
        <f t="shared" si="3"/>
        <v>0</v>
      </c>
      <c r="AB54" s="19">
        <f t="shared" si="4"/>
        <v>0</v>
      </c>
      <c r="AC54" s="16">
        <v>20</v>
      </c>
      <c r="AD54" s="18"/>
      <c r="AE54" s="17"/>
      <c r="AF54" s="23">
        <f t="shared" si="10"/>
        <v>15</v>
      </c>
      <c r="AG54" s="16">
        <v>45</v>
      </c>
      <c r="AH54" s="23">
        <f t="shared" si="5"/>
        <v>80</v>
      </c>
      <c r="AI54" s="14">
        <f t="shared" si="6"/>
        <v>0.93</v>
      </c>
      <c r="AJ54" s="13"/>
      <c r="AK54" s="12">
        <v>0.01</v>
      </c>
      <c r="AL54" s="11">
        <f t="shared" si="7"/>
        <v>1.01</v>
      </c>
      <c r="AM54" s="10">
        <f t="shared" si="8"/>
        <v>6913280000</v>
      </c>
      <c r="AN54" s="9"/>
      <c r="AO54" s="8"/>
      <c r="AP54" s="8"/>
      <c r="AQ54" s="8"/>
      <c r="AR54" s="8"/>
      <c r="AS54" s="7"/>
      <c r="AT54" s="6">
        <f t="shared" si="9"/>
        <v>0</v>
      </c>
    </row>
    <row r="55" spans="1:46" s="37" customFormat="1" ht="45.75" customHeight="1" thickBot="1" x14ac:dyDescent="0.2">
      <c r="A55" s="35"/>
      <c r="B55" s="35"/>
      <c r="C55" s="39"/>
      <c r="D55" s="70" t="s">
        <v>0</v>
      </c>
      <c r="E55" s="39"/>
      <c r="F55" s="63"/>
      <c r="G55" s="51"/>
      <c r="H55" s="45"/>
      <c r="I55" s="38">
        <v>0.51</v>
      </c>
      <c r="J55" s="30">
        <v>0.49</v>
      </c>
      <c r="K55" s="29"/>
      <c r="L55" s="28"/>
      <c r="M55" s="27"/>
      <c r="N55" s="26">
        <f t="shared" si="0"/>
        <v>1</v>
      </c>
      <c r="O55" s="23">
        <v>15</v>
      </c>
      <c r="P55" s="23">
        <v>15</v>
      </c>
      <c r="Q55" s="69"/>
      <c r="R55" s="24"/>
      <c r="S55" s="23"/>
      <c r="T55" s="20">
        <f t="shared" si="1"/>
        <v>15</v>
      </c>
      <c r="U55" s="19">
        <f t="shared" si="11"/>
        <v>15</v>
      </c>
      <c r="V55" s="61"/>
      <c r="W55" s="68">
        <v>20418317000</v>
      </c>
      <c r="X55" s="59"/>
      <c r="Y55" s="22"/>
      <c r="Z55" s="21"/>
      <c r="AA55" s="20">
        <f t="shared" si="3"/>
        <v>10.199999999999999</v>
      </c>
      <c r="AB55" s="19">
        <f t="shared" si="4"/>
        <v>10.199999999999999</v>
      </c>
      <c r="AC55" s="16">
        <v>20</v>
      </c>
      <c r="AD55" s="18"/>
      <c r="AE55" s="17"/>
      <c r="AF55" s="23">
        <f t="shared" si="10"/>
        <v>25.2</v>
      </c>
      <c r="AG55" s="16">
        <v>45</v>
      </c>
      <c r="AH55" s="23">
        <f t="shared" si="5"/>
        <v>90.2</v>
      </c>
      <c r="AI55" s="14">
        <f t="shared" si="6"/>
        <v>0.879</v>
      </c>
      <c r="AJ55" s="13"/>
      <c r="AK55" s="12">
        <v>0.01</v>
      </c>
      <c r="AL55" s="11">
        <f t="shared" si="7"/>
        <v>1.01</v>
      </c>
      <c r="AM55" s="10">
        <f t="shared" si="8"/>
        <v>6534165000</v>
      </c>
      <c r="AN55" s="9"/>
      <c r="AO55" s="8"/>
      <c r="AP55" s="8"/>
      <c r="AQ55" s="8"/>
      <c r="AR55" s="8"/>
      <c r="AS55" s="7"/>
      <c r="AT55" s="6">
        <f t="shared" si="9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0"/>
        <v>1</v>
      </c>
      <c r="O56" s="25">
        <v>15</v>
      </c>
      <c r="P56" s="23">
        <v>15</v>
      </c>
      <c r="Q56" s="24"/>
      <c r="R56" s="24"/>
      <c r="S56" s="23"/>
      <c r="T56" s="20">
        <f t="shared" si="1"/>
        <v>15</v>
      </c>
      <c r="U56" s="19">
        <f t="shared" si="11"/>
        <v>15</v>
      </c>
      <c r="V56" s="48"/>
      <c r="W56" s="22"/>
      <c r="X56" s="22"/>
      <c r="Y56" s="22"/>
      <c r="Z56" s="21"/>
      <c r="AA56" s="20">
        <f t="shared" si="3"/>
        <v>0</v>
      </c>
      <c r="AB56" s="19">
        <f t="shared" si="4"/>
        <v>0</v>
      </c>
      <c r="AC56" s="16">
        <v>20</v>
      </c>
      <c r="AD56" s="18"/>
      <c r="AE56" s="17"/>
      <c r="AF56" s="23">
        <f t="shared" si="10"/>
        <v>15</v>
      </c>
      <c r="AG56" s="16">
        <v>45</v>
      </c>
      <c r="AH56" s="23">
        <f t="shared" si="5"/>
        <v>80</v>
      </c>
      <c r="AI56" s="14">
        <f t="shared" si="6"/>
        <v>0.93</v>
      </c>
      <c r="AJ56" s="13"/>
      <c r="AK56" s="12">
        <v>0.01</v>
      </c>
      <c r="AL56" s="11">
        <f t="shared" si="7"/>
        <v>1.01</v>
      </c>
      <c r="AM56" s="10">
        <f t="shared" si="8"/>
        <v>6913280000</v>
      </c>
      <c r="AN56" s="9"/>
      <c r="AO56" s="8"/>
      <c r="AP56" s="8"/>
      <c r="AQ56" s="8"/>
      <c r="AR56" s="8"/>
      <c r="AS56" s="7"/>
      <c r="AT56" s="6">
        <f t="shared" si="9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0"/>
        <v>1</v>
      </c>
      <c r="O57" s="25">
        <v>15</v>
      </c>
      <c r="P57" s="23">
        <v>15</v>
      </c>
      <c r="Q57" s="24"/>
      <c r="R57" s="24"/>
      <c r="S57" s="23"/>
      <c r="T57" s="20">
        <f t="shared" si="1"/>
        <v>15</v>
      </c>
      <c r="U57" s="19">
        <f t="shared" si="11"/>
        <v>15</v>
      </c>
      <c r="V57" s="48"/>
      <c r="W57" s="22"/>
      <c r="X57" s="22"/>
      <c r="Y57" s="57"/>
      <c r="Z57" s="21"/>
      <c r="AA57" s="20">
        <f t="shared" si="3"/>
        <v>0</v>
      </c>
      <c r="AB57" s="19">
        <f t="shared" si="4"/>
        <v>0</v>
      </c>
      <c r="AC57" s="16">
        <v>20</v>
      </c>
      <c r="AD57" s="18"/>
      <c r="AE57" s="17"/>
      <c r="AF57" s="23">
        <f t="shared" si="10"/>
        <v>15</v>
      </c>
      <c r="AG57" s="16">
        <v>45</v>
      </c>
      <c r="AH57" s="23">
        <f t="shared" si="5"/>
        <v>80</v>
      </c>
      <c r="AI57" s="14">
        <f t="shared" si="6"/>
        <v>0.93</v>
      </c>
      <c r="AJ57" s="13"/>
      <c r="AK57" s="12">
        <v>0.01</v>
      </c>
      <c r="AL57" s="11">
        <f t="shared" si="7"/>
        <v>1.01</v>
      </c>
      <c r="AM57" s="10">
        <f t="shared" si="8"/>
        <v>6913280000</v>
      </c>
      <c r="AN57" s="9"/>
      <c r="AO57" s="8"/>
      <c r="AP57" s="8"/>
      <c r="AQ57" s="8"/>
      <c r="AR57" s="8"/>
      <c r="AS57" s="7"/>
      <c r="AT57" s="6">
        <f t="shared" si="9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0"/>
        <v>1</v>
      </c>
      <c r="O58" s="25">
        <v>15</v>
      </c>
      <c r="P58" s="24">
        <v>15</v>
      </c>
      <c r="Q58" s="42"/>
      <c r="R58" s="42"/>
      <c r="S58" s="23"/>
      <c r="T58" s="20">
        <f t="shared" si="1"/>
        <v>15</v>
      </c>
      <c r="U58" s="19">
        <f t="shared" si="11"/>
        <v>15</v>
      </c>
      <c r="V58" s="22"/>
      <c r="W58" s="41"/>
      <c r="X58" s="54"/>
      <c r="Y58" s="48"/>
      <c r="Z58" s="21"/>
      <c r="AA58" s="20">
        <f t="shared" si="3"/>
        <v>0</v>
      </c>
      <c r="AB58" s="19">
        <f t="shared" si="4"/>
        <v>0</v>
      </c>
      <c r="AC58" s="16">
        <v>20</v>
      </c>
      <c r="AD58" s="18"/>
      <c r="AE58" s="17"/>
      <c r="AF58" s="23">
        <f t="shared" si="10"/>
        <v>15</v>
      </c>
      <c r="AG58" s="16">
        <v>45</v>
      </c>
      <c r="AH58" s="23">
        <f t="shared" si="5"/>
        <v>80</v>
      </c>
      <c r="AI58" s="14">
        <f t="shared" si="6"/>
        <v>0.93</v>
      </c>
      <c r="AJ58" s="13"/>
      <c r="AK58" s="12">
        <v>0.01</v>
      </c>
      <c r="AL58" s="11">
        <f t="shared" si="7"/>
        <v>1.01</v>
      </c>
      <c r="AM58" s="10">
        <f t="shared" si="8"/>
        <v>6913280000</v>
      </c>
      <c r="AN58" s="9"/>
      <c r="AO58" s="8"/>
      <c r="AP58" s="8"/>
      <c r="AQ58" s="8"/>
      <c r="AR58" s="8"/>
      <c r="AS58" s="7"/>
      <c r="AT58" s="6">
        <f t="shared" si="9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0"/>
        <v>1</v>
      </c>
      <c r="O59" s="25">
        <v>15</v>
      </c>
      <c r="P59" s="24">
        <v>15</v>
      </c>
      <c r="Q59" s="42"/>
      <c r="R59" s="42"/>
      <c r="S59" s="23"/>
      <c r="T59" s="20">
        <f t="shared" si="1"/>
        <v>15</v>
      </c>
      <c r="U59" s="19">
        <f t="shared" si="11"/>
        <v>15</v>
      </c>
      <c r="V59" s="48"/>
      <c r="W59" s="41"/>
      <c r="X59" s="54"/>
      <c r="Y59" s="56"/>
      <c r="Z59" s="21"/>
      <c r="AA59" s="20">
        <f t="shared" si="3"/>
        <v>0</v>
      </c>
      <c r="AB59" s="19">
        <f t="shared" si="4"/>
        <v>0</v>
      </c>
      <c r="AC59" s="16">
        <v>20</v>
      </c>
      <c r="AD59" s="18"/>
      <c r="AE59" s="17"/>
      <c r="AF59" s="23">
        <f t="shared" si="10"/>
        <v>15</v>
      </c>
      <c r="AG59" s="16">
        <v>45</v>
      </c>
      <c r="AH59" s="23">
        <f t="shared" si="5"/>
        <v>80</v>
      </c>
      <c r="AI59" s="14">
        <f t="shared" si="6"/>
        <v>0.93</v>
      </c>
      <c r="AJ59" s="13"/>
      <c r="AK59" s="12">
        <v>0.01</v>
      </c>
      <c r="AL59" s="11">
        <f t="shared" si="7"/>
        <v>1.01</v>
      </c>
      <c r="AM59" s="10">
        <f t="shared" si="8"/>
        <v>6913280000</v>
      </c>
      <c r="AN59" s="9"/>
      <c r="AO59" s="8"/>
      <c r="AP59" s="8"/>
      <c r="AQ59" s="8"/>
      <c r="AR59" s="8"/>
      <c r="AS59" s="7"/>
      <c r="AT59" s="6">
        <f t="shared" si="9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0"/>
        <v>1</v>
      </c>
      <c r="O60" s="44">
        <v>15</v>
      </c>
      <c r="P60" s="24">
        <v>15</v>
      </c>
      <c r="Q60" s="24"/>
      <c r="R60" s="42"/>
      <c r="S60" s="42"/>
      <c r="T60" s="20">
        <f t="shared" si="1"/>
        <v>15</v>
      </c>
      <c r="U60" s="19">
        <f t="shared" si="11"/>
        <v>15</v>
      </c>
      <c r="V60" s="48"/>
      <c r="W60" s="48"/>
      <c r="X60" s="48"/>
      <c r="Y60" s="48"/>
      <c r="Z60" s="21"/>
      <c r="AA60" s="20">
        <f t="shared" si="3"/>
        <v>0</v>
      </c>
      <c r="AB60" s="19">
        <f t="shared" si="4"/>
        <v>0</v>
      </c>
      <c r="AC60" s="16">
        <v>20</v>
      </c>
      <c r="AD60" s="18"/>
      <c r="AE60" s="17"/>
      <c r="AF60" s="23">
        <f t="shared" si="10"/>
        <v>15</v>
      </c>
      <c r="AG60" s="16">
        <v>45</v>
      </c>
      <c r="AH60" s="23">
        <f t="shared" si="5"/>
        <v>80</v>
      </c>
      <c r="AI60" s="14">
        <f t="shared" si="6"/>
        <v>0.93</v>
      </c>
      <c r="AJ60" s="13"/>
      <c r="AK60" s="12">
        <v>0.01</v>
      </c>
      <c r="AL60" s="11">
        <f t="shared" si="7"/>
        <v>1.01</v>
      </c>
      <c r="AM60" s="10">
        <f t="shared" si="8"/>
        <v>6913280000</v>
      </c>
      <c r="AN60" s="9"/>
      <c r="AO60" s="8"/>
      <c r="AP60" s="8"/>
      <c r="AQ60" s="8"/>
      <c r="AR60" s="8"/>
      <c r="AS60" s="7"/>
      <c r="AT60" s="6">
        <f t="shared" si="9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0"/>
        <v>1</v>
      </c>
      <c r="O61" s="25">
        <v>15</v>
      </c>
      <c r="P61" s="23">
        <v>15</v>
      </c>
      <c r="Q61" s="24"/>
      <c r="R61" s="24"/>
      <c r="S61" s="23"/>
      <c r="T61" s="20">
        <f t="shared" si="1"/>
        <v>15</v>
      </c>
      <c r="U61" s="19">
        <f t="shared" si="11"/>
        <v>15</v>
      </c>
      <c r="V61" s="22"/>
      <c r="W61" s="22"/>
      <c r="X61" s="22"/>
      <c r="Y61" s="22"/>
      <c r="Z61" s="21"/>
      <c r="AA61" s="20">
        <f t="shared" si="3"/>
        <v>0</v>
      </c>
      <c r="AB61" s="19">
        <f t="shared" si="4"/>
        <v>0</v>
      </c>
      <c r="AC61" s="16">
        <v>20</v>
      </c>
      <c r="AD61" s="18"/>
      <c r="AE61" s="17"/>
      <c r="AF61" s="23">
        <f t="shared" si="10"/>
        <v>15</v>
      </c>
      <c r="AG61" s="16">
        <v>45</v>
      </c>
      <c r="AH61" s="23">
        <f t="shared" si="5"/>
        <v>80</v>
      </c>
      <c r="AI61" s="14">
        <f t="shared" si="6"/>
        <v>0.93</v>
      </c>
      <c r="AJ61" s="13"/>
      <c r="AK61" s="12">
        <v>0.01</v>
      </c>
      <c r="AL61" s="11">
        <f t="shared" si="7"/>
        <v>1.01</v>
      </c>
      <c r="AM61" s="10">
        <f t="shared" si="8"/>
        <v>6913280000</v>
      </c>
      <c r="AN61" s="9"/>
      <c r="AO61" s="8"/>
      <c r="AP61" s="8"/>
      <c r="AQ61" s="8"/>
      <c r="AR61" s="8"/>
      <c r="AS61" s="7"/>
      <c r="AT61" s="6">
        <f t="shared" si="9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0"/>
        <v>1</v>
      </c>
      <c r="O62" s="44">
        <v>15</v>
      </c>
      <c r="P62" s="43">
        <v>15</v>
      </c>
      <c r="Q62" s="42"/>
      <c r="R62" s="42"/>
      <c r="S62" s="42"/>
      <c r="T62" s="20">
        <f t="shared" si="1"/>
        <v>15</v>
      </c>
      <c r="U62" s="19">
        <f t="shared" si="11"/>
        <v>15</v>
      </c>
      <c r="V62" s="22"/>
      <c r="W62" s="22"/>
      <c r="X62" s="22"/>
      <c r="Y62" s="54"/>
      <c r="Z62" s="21"/>
      <c r="AA62" s="20">
        <f t="shared" si="3"/>
        <v>0</v>
      </c>
      <c r="AB62" s="19">
        <f t="shared" si="4"/>
        <v>0</v>
      </c>
      <c r="AC62" s="16">
        <v>20</v>
      </c>
      <c r="AD62" s="18"/>
      <c r="AE62" s="17"/>
      <c r="AF62" s="23">
        <f t="shared" si="10"/>
        <v>15</v>
      </c>
      <c r="AG62" s="16">
        <v>45</v>
      </c>
      <c r="AH62" s="23">
        <f t="shared" si="5"/>
        <v>80</v>
      </c>
      <c r="AI62" s="14">
        <f t="shared" si="6"/>
        <v>0.93</v>
      </c>
      <c r="AJ62" s="13"/>
      <c r="AK62" s="12">
        <v>0.01</v>
      </c>
      <c r="AL62" s="11">
        <f t="shared" si="7"/>
        <v>1.01</v>
      </c>
      <c r="AM62" s="10">
        <f t="shared" si="8"/>
        <v>6913280000</v>
      </c>
      <c r="AN62" s="9"/>
      <c r="AO62" s="8"/>
      <c r="AP62" s="8"/>
      <c r="AQ62" s="8"/>
      <c r="AR62" s="8"/>
      <c r="AS62" s="7"/>
      <c r="AT62" s="6">
        <f t="shared" si="9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0"/>
        <v>1</v>
      </c>
      <c r="O63" s="44">
        <v>15</v>
      </c>
      <c r="P63" s="43">
        <v>15</v>
      </c>
      <c r="Q63" s="42"/>
      <c r="R63" s="42"/>
      <c r="S63" s="42"/>
      <c r="T63" s="20">
        <f t="shared" si="1"/>
        <v>15</v>
      </c>
      <c r="U63" s="19">
        <f t="shared" si="11"/>
        <v>15</v>
      </c>
      <c r="V63" s="52"/>
      <c r="W63" s="48"/>
      <c r="X63" s="41"/>
      <c r="Y63" s="41"/>
      <c r="Z63" s="21"/>
      <c r="AA63" s="20">
        <f t="shared" si="3"/>
        <v>0</v>
      </c>
      <c r="AB63" s="19">
        <f t="shared" si="4"/>
        <v>0</v>
      </c>
      <c r="AC63" s="16">
        <v>20</v>
      </c>
      <c r="AD63" s="18"/>
      <c r="AE63" s="17"/>
      <c r="AF63" s="23">
        <f t="shared" si="10"/>
        <v>15</v>
      </c>
      <c r="AG63" s="16">
        <v>45</v>
      </c>
      <c r="AH63" s="23">
        <f t="shared" si="5"/>
        <v>80</v>
      </c>
      <c r="AI63" s="14">
        <f t="shared" si="6"/>
        <v>0.93</v>
      </c>
      <c r="AJ63" s="13"/>
      <c r="AK63" s="12">
        <v>0.01</v>
      </c>
      <c r="AL63" s="11">
        <f t="shared" si="7"/>
        <v>1.01</v>
      </c>
      <c r="AM63" s="10">
        <f t="shared" si="8"/>
        <v>6913280000</v>
      </c>
      <c r="AN63" s="9"/>
      <c r="AO63" s="8"/>
      <c r="AP63" s="8"/>
      <c r="AQ63" s="8"/>
      <c r="AR63" s="8"/>
      <c r="AS63" s="7"/>
      <c r="AT63" s="6">
        <f t="shared" si="9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0"/>
        <v>1</v>
      </c>
      <c r="O64" s="44">
        <v>15</v>
      </c>
      <c r="P64" s="43">
        <v>15</v>
      </c>
      <c r="Q64" s="42"/>
      <c r="R64" s="42"/>
      <c r="S64" s="42"/>
      <c r="T64" s="20">
        <f t="shared" si="1"/>
        <v>15</v>
      </c>
      <c r="U64" s="19">
        <f t="shared" si="11"/>
        <v>15</v>
      </c>
      <c r="V64" s="52"/>
      <c r="W64" s="41"/>
      <c r="X64" s="48"/>
      <c r="Y64" s="48"/>
      <c r="Z64" s="21"/>
      <c r="AA64" s="20">
        <f t="shared" si="3"/>
        <v>0</v>
      </c>
      <c r="AB64" s="19">
        <f t="shared" si="4"/>
        <v>0</v>
      </c>
      <c r="AC64" s="16">
        <v>20</v>
      </c>
      <c r="AD64" s="18"/>
      <c r="AE64" s="17"/>
      <c r="AF64" s="23">
        <f t="shared" si="10"/>
        <v>15</v>
      </c>
      <c r="AG64" s="16">
        <v>45</v>
      </c>
      <c r="AH64" s="23">
        <f t="shared" si="5"/>
        <v>80</v>
      </c>
      <c r="AI64" s="14">
        <f t="shared" si="6"/>
        <v>0.93</v>
      </c>
      <c r="AJ64" s="13"/>
      <c r="AK64" s="12">
        <v>0.01</v>
      </c>
      <c r="AL64" s="11">
        <f t="shared" si="7"/>
        <v>1.01</v>
      </c>
      <c r="AM64" s="10">
        <f t="shared" si="8"/>
        <v>6913280000</v>
      </c>
      <c r="AN64" s="9"/>
      <c r="AO64" s="8"/>
      <c r="AP64" s="8"/>
      <c r="AQ64" s="8"/>
      <c r="AR64" s="8"/>
      <c r="AS64" s="7"/>
      <c r="AT64" s="6">
        <f t="shared" si="9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0"/>
        <v>1</v>
      </c>
      <c r="O65" s="44">
        <v>15</v>
      </c>
      <c r="P65" s="43">
        <v>15</v>
      </c>
      <c r="Q65" s="42"/>
      <c r="R65" s="42"/>
      <c r="S65" s="42"/>
      <c r="T65" s="20">
        <f t="shared" si="1"/>
        <v>15</v>
      </c>
      <c r="U65" s="19">
        <f t="shared" si="11"/>
        <v>15</v>
      </c>
      <c r="V65" s="22"/>
      <c r="W65" s="48"/>
      <c r="X65" s="41"/>
      <c r="Y65" s="48"/>
      <c r="Z65" s="21"/>
      <c r="AA65" s="20">
        <f t="shared" si="3"/>
        <v>0</v>
      </c>
      <c r="AB65" s="19">
        <f t="shared" si="4"/>
        <v>0</v>
      </c>
      <c r="AC65" s="16">
        <v>20</v>
      </c>
      <c r="AD65" s="18"/>
      <c r="AE65" s="17"/>
      <c r="AF65" s="23">
        <f t="shared" si="10"/>
        <v>15</v>
      </c>
      <c r="AG65" s="16">
        <v>45</v>
      </c>
      <c r="AH65" s="23">
        <f t="shared" si="5"/>
        <v>80</v>
      </c>
      <c r="AI65" s="14">
        <f t="shared" si="6"/>
        <v>0.93</v>
      </c>
      <c r="AJ65" s="13"/>
      <c r="AK65" s="12">
        <v>0.01</v>
      </c>
      <c r="AL65" s="11">
        <f t="shared" si="7"/>
        <v>1.01</v>
      </c>
      <c r="AM65" s="10">
        <f t="shared" si="8"/>
        <v>6913280000</v>
      </c>
      <c r="AN65" s="9"/>
      <c r="AO65" s="8"/>
      <c r="AP65" s="8"/>
      <c r="AQ65" s="8"/>
      <c r="AR65" s="8"/>
      <c r="AS65" s="7"/>
      <c r="AT65" s="6">
        <f t="shared" si="9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0"/>
        <v>1</v>
      </c>
      <c r="O66" s="44">
        <v>15</v>
      </c>
      <c r="P66" s="43">
        <v>15</v>
      </c>
      <c r="Q66" s="42"/>
      <c r="R66" s="42"/>
      <c r="S66" s="42"/>
      <c r="T66" s="20">
        <f t="shared" si="1"/>
        <v>15</v>
      </c>
      <c r="U66" s="19">
        <f t="shared" si="11"/>
        <v>15</v>
      </c>
      <c r="V66" s="22"/>
      <c r="W66" s="41"/>
      <c r="X66" s="22"/>
      <c r="Y66" s="48"/>
      <c r="Z66" s="21"/>
      <c r="AA66" s="20">
        <f t="shared" si="3"/>
        <v>0</v>
      </c>
      <c r="AB66" s="19">
        <f t="shared" si="4"/>
        <v>0</v>
      </c>
      <c r="AC66" s="16">
        <v>20</v>
      </c>
      <c r="AD66" s="18"/>
      <c r="AE66" s="17"/>
      <c r="AF66" s="23">
        <f t="shared" si="10"/>
        <v>15</v>
      </c>
      <c r="AG66" s="16">
        <v>45</v>
      </c>
      <c r="AH66" s="23">
        <f t="shared" si="5"/>
        <v>80</v>
      </c>
      <c r="AI66" s="14">
        <f t="shared" si="6"/>
        <v>0.93</v>
      </c>
      <c r="AJ66" s="13"/>
      <c r="AK66" s="12">
        <v>0.01</v>
      </c>
      <c r="AL66" s="11">
        <f t="shared" si="7"/>
        <v>1.01</v>
      </c>
      <c r="AM66" s="10">
        <f t="shared" si="8"/>
        <v>6913280000</v>
      </c>
      <c r="AN66" s="9"/>
      <c r="AO66" s="8"/>
      <c r="AP66" s="8"/>
      <c r="AQ66" s="8"/>
      <c r="AR66" s="8"/>
      <c r="AS66" s="7"/>
      <c r="AT66" s="6">
        <f t="shared" si="9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0"/>
        <v>1</v>
      </c>
      <c r="O67" s="25">
        <v>15</v>
      </c>
      <c r="P67" s="23">
        <v>15</v>
      </c>
      <c r="Q67" s="24"/>
      <c r="R67" s="24"/>
      <c r="S67" s="23"/>
      <c r="T67" s="20">
        <f t="shared" si="1"/>
        <v>15</v>
      </c>
      <c r="U67" s="19">
        <f t="shared" si="11"/>
        <v>15</v>
      </c>
      <c r="V67" s="22"/>
      <c r="W67" s="22"/>
      <c r="X67" s="22"/>
      <c r="Y67" s="22"/>
      <c r="Z67" s="21"/>
      <c r="AA67" s="20">
        <f t="shared" si="3"/>
        <v>0</v>
      </c>
      <c r="AB67" s="19">
        <f t="shared" si="4"/>
        <v>0</v>
      </c>
      <c r="AC67" s="16">
        <v>20</v>
      </c>
      <c r="AD67" s="18"/>
      <c r="AE67" s="17"/>
      <c r="AF67" s="23">
        <f t="shared" si="10"/>
        <v>15</v>
      </c>
      <c r="AG67" s="16">
        <v>45</v>
      </c>
      <c r="AH67" s="23">
        <f t="shared" si="5"/>
        <v>80</v>
      </c>
      <c r="AI67" s="14">
        <f t="shared" si="6"/>
        <v>0.93</v>
      </c>
      <c r="AJ67" s="13"/>
      <c r="AK67" s="12">
        <v>0.01</v>
      </c>
      <c r="AL67" s="11">
        <f t="shared" si="7"/>
        <v>1.01</v>
      </c>
      <c r="AM67" s="10">
        <f t="shared" si="8"/>
        <v>6913280000</v>
      </c>
      <c r="AN67" s="9"/>
      <c r="AO67" s="8"/>
      <c r="AP67" s="8"/>
      <c r="AQ67" s="8"/>
      <c r="AR67" s="8"/>
      <c r="AS67" s="7"/>
      <c r="AT67" s="6">
        <f t="shared" si="9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0"/>
        <v>1</v>
      </c>
      <c r="O68" s="44">
        <v>15</v>
      </c>
      <c r="P68" s="43">
        <v>15</v>
      </c>
      <c r="Q68" s="42"/>
      <c r="R68" s="42"/>
      <c r="S68" s="42"/>
      <c r="T68" s="20">
        <f t="shared" si="1"/>
        <v>15</v>
      </c>
      <c r="U68" s="19">
        <f t="shared" si="11"/>
        <v>15</v>
      </c>
      <c r="V68" s="22"/>
      <c r="W68" s="41"/>
      <c r="X68" s="41"/>
      <c r="Y68" s="40"/>
      <c r="Z68" s="21"/>
      <c r="AA68" s="20">
        <f t="shared" si="3"/>
        <v>0</v>
      </c>
      <c r="AB68" s="19">
        <f t="shared" si="4"/>
        <v>0</v>
      </c>
      <c r="AC68" s="16">
        <v>20</v>
      </c>
      <c r="AD68" s="18"/>
      <c r="AE68" s="17"/>
      <c r="AF68" s="23">
        <f t="shared" si="10"/>
        <v>15</v>
      </c>
      <c r="AG68" s="16">
        <v>45</v>
      </c>
      <c r="AH68" s="23">
        <f t="shared" si="5"/>
        <v>80</v>
      </c>
      <c r="AI68" s="14">
        <f t="shared" si="6"/>
        <v>0.93</v>
      </c>
      <c r="AJ68" s="13"/>
      <c r="AK68" s="12">
        <v>0.01</v>
      </c>
      <c r="AL68" s="11">
        <f t="shared" si="7"/>
        <v>1.01</v>
      </c>
      <c r="AM68" s="10">
        <f t="shared" si="8"/>
        <v>6913280000</v>
      </c>
      <c r="AN68" s="9"/>
      <c r="AO68" s="8"/>
      <c r="AP68" s="8"/>
      <c r="AQ68" s="8"/>
      <c r="AR68" s="8"/>
      <c r="AS68" s="7"/>
      <c r="AT68" s="6">
        <f t="shared" si="9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32" si="12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32" si="13">ROUND(((O69*I69)+(P69*J69)+(Q69*K69)+(R69*L69)+(S69*M69)),2)</f>
        <v>15</v>
      </c>
      <c r="U69" s="19">
        <f t="shared" si="11"/>
        <v>15</v>
      </c>
      <c r="V69" s="22"/>
      <c r="W69" s="22"/>
      <c r="X69" s="22"/>
      <c r="Y69" s="22"/>
      <c r="Z69" s="21"/>
      <c r="AA69" s="20">
        <f t="shared" ref="AA69:AA132" si="14">ROUND((((V69*I69)+(W69*J69)+(X69*K69)+(Y69*L69)+(Z69*M69))/$I$2*15),2)</f>
        <v>0</v>
      </c>
      <c r="AB69" s="19">
        <f t="shared" ref="AB69:AB132" si="15">IF(AA69&gt;=15,15,AA69)</f>
        <v>0</v>
      </c>
      <c r="AC69" s="16">
        <v>20</v>
      </c>
      <c r="AD69" s="18"/>
      <c r="AE69" s="17"/>
      <c r="AF69" s="23">
        <f t="shared" si="10"/>
        <v>15</v>
      </c>
      <c r="AG69" s="16">
        <v>45</v>
      </c>
      <c r="AH69" s="23">
        <f t="shared" ref="AH69:AH132" si="16">AC69+AF69+AG69+AE69</f>
        <v>80</v>
      </c>
      <c r="AI69" s="14">
        <f t="shared" ref="AI69:AI132" si="17">-((50-((176+(45+(30-AF69)))))/200)</f>
        <v>0.93</v>
      </c>
      <c r="AJ69" s="13"/>
      <c r="AK69" s="12">
        <v>0.01</v>
      </c>
      <c r="AL69" s="11">
        <f t="shared" ref="AL69:AL132" si="18">100%+AK69</f>
        <v>1.01</v>
      </c>
      <c r="AM69" s="10">
        <f t="shared" ref="AM69:AM132" si="19">ROUNDUP($D$2*AI69*AL69,-3)</f>
        <v>6913280000</v>
      </c>
      <c r="AN69" s="9"/>
      <c r="AO69" s="8"/>
      <c r="AP69" s="8"/>
      <c r="AQ69" s="8"/>
      <c r="AR69" s="8"/>
      <c r="AS69" s="7"/>
      <c r="AT69" s="6">
        <f t="shared" ref="AT69:AT132" si="20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12"/>
        <v>1</v>
      </c>
      <c r="O70" s="25">
        <v>15</v>
      </c>
      <c r="P70" s="23">
        <v>15</v>
      </c>
      <c r="Q70" s="24"/>
      <c r="R70" s="24"/>
      <c r="S70" s="23"/>
      <c r="T70" s="20">
        <f t="shared" si="13"/>
        <v>15</v>
      </c>
      <c r="U70" s="19">
        <f t="shared" si="11"/>
        <v>15</v>
      </c>
      <c r="V70" s="22"/>
      <c r="W70" s="22"/>
      <c r="X70" s="22"/>
      <c r="Y70" s="22"/>
      <c r="Z70" s="21"/>
      <c r="AA70" s="20">
        <f t="shared" si="14"/>
        <v>0</v>
      </c>
      <c r="AB70" s="19">
        <f t="shared" si="15"/>
        <v>0</v>
      </c>
      <c r="AC70" s="16">
        <v>20</v>
      </c>
      <c r="AD70" s="18"/>
      <c r="AE70" s="17"/>
      <c r="AF70" s="23">
        <f t="shared" si="10"/>
        <v>15</v>
      </c>
      <c r="AG70" s="16">
        <v>45</v>
      </c>
      <c r="AH70" s="23">
        <f t="shared" si="16"/>
        <v>80</v>
      </c>
      <c r="AI70" s="14">
        <f t="shared" si="17"/>
        <v>0.93</v>
      </c>
      <c r="AJ70" s="13"/>
      <c r="AK70" s="12">
        <v>0.01</v>
      </c>
      <c r="AL70" s="11">
        <f t="shared" si="18"/>
        <v>1.01</v>
      </c>
      <c r="AM70" s="10">
        <f t="shared" si="19"/>
        <v>6913280000</v>
      </c>
      <c r="AN70" s="9"/>
      <c r="AO70" s="8"/>
      <c r="AP70" s="8"/>
      <c r="AQ70" s="8"/>
      <c r="AR70" s="8"/>
      <c r="AS70" s="7"/>
      <c r="AT70" s="6">
        <f t="shared" si="20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12"/>
        <v>1</v>
      </c>
      <c r="O71" s="25">
        <v>15</v>
      </c>
      <c r="P71" s="23">
        <v>15</v>
      </c>
      <c r="Q71" s="24"/>
      <c r="R71" s="24"/>
      <c r="S71" s="23"/>
      <c r="T71" s="20">
        <f t="shared" si="13"/>
        <v>15</v>
      </c>
      <c r="U71" s="19">
        <f t="shared" si="11"/>
        <v>15</v>
      </c>
      <c r="V71" s="22"/>
      <c r="W71" s="22"/>
      <c r="X71" s="22"/>
      <c r="Y71" s="22"/>
      <c r="Z71" s="21"/>
      <c r="AA71" s="20">
        <f t="shared" si="14"/>
        <v>0</v>
      </c>
      <c r="AB71" s="19">
        <f t="shared" si="15"/>
        <v>0</v>
      </c>
      <c r="AC71" s="16">
        <v>20</v>
      </c>
      <c r="AD71" s="18"/>
      <c r="AE71" s="17"/>
      <c r="AF71" s="23">
        <f t="shared" ref="AF71:AF134" si="21">IF((U71+AB71+AD71)&gt;=30,30,(U71+AB71+AD71))</f>
        <v>15</v>
      </c>
      <c r="AG71" s="16">
        <v>45</v>
      </c>
      <c r="AH71" s="23">
        <f t="shared" si="16"/>
        <v>80</v>
      </c>
      <c r="AI71" s="14">
        <f t="shared" si="17"/>
        <v>0.93</v>
      </c>
      <c r="AJ71" s="13"/>
      <c r="AK71" s="12">
        <v>0.01</v>
      </c>
      <c r="AL71" s="11">
        <f t="shared" si="18"/>
        <v>1.01</v>
      </c>
      <c r="AM71" s="10">
        <f t="shared" si="19"/>
        <v>6913280000</v>
      </c>
      <c r="AN71" s="9"/>
      <c r="AO71" s="8"/>
      <c r="AP71" s="8"/>
      <c r="AQ71" s="8"/>
      <c r="AR71" s="8"/>
      <c r="AS71" s="7"/>
      <c r="AT71" s="6">
        <f t="shared" si="20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12"/>
        <v>1</v>
      </c>
      <c r="O72" s="25">
        <v>15</v>
      </c>
      <c r="P72" s="23">
        <v>15</v>
      </c>
      <c r="Q72" s="24"/>
      <c r="R72" s="24"/>
      <c r="S72" s="23"/>
      <c r="T72" s="20">
        <f t="shared" si="13"/>
        <v>15</v>
      </c>
      <c r="U72" s="19">
        <f t="shared" si="11"/>
        <v>15</v>
      </c>
      <c r="V72" s="22"/>
      <c r="W72" s="22"/>
      <c r="X72" s="22"/>
      <c r="Y72" s="22"/>
      <c r="Z72" s="21"/>
      <c r="AA72" s="20">
        <f t="shared" si="14"/>
        <v>0</v>
      </c>
      <c r="AB72" s="19">
        <f t="shared" si="15"/>
        <v>0</v>
      </c>
      <c r="AC72" s="16">
        <v>20</v>
      </c>
      <c r="AD72" s="18"/>
      <c r="AE72" s="17"/>
      <c r="AF72" s="23">
        <f t="shared" si="21"/>
        <v>15</v>
      </c>
      <c r="AG72" s="16">
        <v>45</v>
      </c>
      <c r="AH72" s="23">
        <f t="shared" si="16"/>
        <v>80</v>
      </c>
      <c r="AI72" s="14">
        <f t="shared" si="17"/>
        <v>0.93</v>
      </c>
      <c r="AJ72" s="13"/>
      <c r="AK72" s="12">
        <v>0.01</v>
      </c>
      <c r="AL72" s="11">
        <f t="shared" si="18"/>
        <v>1.01</v>
      </c>
      <c r="AM72" s="10">
        <f t="shared" si="19"/>
        <v>6913280000</v>
      </c>
      <c r="AN72" s="9"/>
      <c r="AO72" s="8"/>
      <c r="AP72" s="8"/>
      <c r="AQ72" s="8"/>
      <c r="AR72" s="8"/>
      <c r="AS72" s="7"/>
      <c r="AT72" s="6">
        <f t="shared" si="20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12"/>
        <v>1</v>
      </c>
      <c r="O73" s="25">
        <v>15</v>
      </c>
      <c r="P73" s="23">
        <v>15</v>
      </c>
      <c r="Q73" s="24"/>
      <c r="R73" s="24"/>
      <c r="S73" s="23"/>
      <c r="T73" s="20">
        <f t="shared" si="13"/>
        <v>15</v>
      </c>
      <c r="U73" s="19">
        <f t="shared" si="11"/>
        <v>15</v>
      </c>
      <c r="V73" s="22"/>
      <c r="W73" s="22"/>
      <c r="X73" s="22"/>
      <c r="Y73" s="22"/>
      <c r="Z73" s="21"/>
      <c r="AA73" s="20">
        <f t="shared" si="14"/>
        <v>0</v>
      </c>
      <c r="AB73" s="19">
        <f t="shared" si="15"/>
        <v>0</v>
      </c>
      <c r="AC73" s="16">
        <v>20</v>
      </c>
      <c r="AD73" s="18"/>
      <c r="AE73" s="17"/>
      <c r="AF73" s="23">
        <f t="shared" si="21"/>
        <v>15</v>
      </c>
      <c r="AG73" s="16">
        <v>45</v>
      </c>
      <c r="AH73" s="23">
        <f t="shared" si="16"/>
        <v>80</v>
      </c>
      <c r="AI73" s="14">
        <f t="shared" si="17"/>
        <v>0.93</v>
      </c>
      <c r="AJ73" s="13"/>
      <c r="AK73" s="12">
        <v>0.01</v>
      </c>
      <c r="AL73" s="11">
        <f t="shared" si="18"/>
        <v>1.01</v>
      </c>
      <c r="AM73" s="10">
        <f t="shared" si="19"/>
        <v>6913280000</v>
      </c>
      <c r="AN73" s="9"/>
      <c r="AO73" s="8"/>
      <c r="AP73" s="8"/>
      <c r="AQ73" s="8"/>
      <c r="AR73" s="8"/>
      <c r="AS73" s="7"/>
      <c r="AT73" s="6">
        <f t="shared" si="20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12"/>
        <v>1</v>
      </c>
      <c r="O74" s="25">
        <v>15</v>
      </c>
      <c r="P74" s="23">
        <v>15</v>
      </c>
      <c r="Q74" s="24"/>
      <c r="R74" s="24"/>
      <c r="S74" s="23"/>
      <c r="T74" s="20">
        <f t="shared" si="13"/>
        <v>15</v>
      </c>
      <c r="U74" s="19">
        <f t="shared" si="11"/>
        <v>15</v>
      </c>
      <c r="V74" s="22"/>
      <c r="W74" s="22"/>
      <c r="X74" s="22"/>
      <c r="Y74" s="22"/>
      <c r="Z74" s="21"/>
      <c r="AA74" s="20">
        <f t="shared" si="14"/>
        <v>0</v>
      </c>
      <c r="AB74" s="19">
        <f t="shared" si="15"/>
        <v>0</v>
      </c>
      <c r="AC74" s="16">
        <v>20</v>
      </c>
      <c r="AD74" s="18"/>
      <c r="AE74" s="17"/>
      <c r="AF74" s="23">
        <f t="shared" si="21"/>
        <v>15</v>
      </c>
      <c r="AG74" s="16">
        <v>45</v>
      </c>
      <c r="AH74" s="23">
        <f t="shared" si="16"/>
        <v>80</v>
      </c>
      <c r="AI74" s="14">
        <f t="shared" si="17"/>
        <v>0.93</v>
      </c>
      <c r="AJ74" s="13"/>
      <c r="AK74" s="12">
        <v>0.01</v>
      </c>
      <c r="AL74" s="11">
        <f t="shared" si="18"/>
        <v>1.01</v>
      </c>
      <c r="AM74" s="10">
        <f t="shared" si="19"/>
        <v>6913280000</v>
      </c>
      <c r="AN74" s="9"/>
      <c r="AO74" s="8"/>
      <c r="AP74" s="8"/>
      <c r="AQ74" s="8"/>
      <c r="AR74" s="8"/>
      <c r="AS74" s="7"/>
      <c r="AT74" s="6">
        <f t="shared" si="20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12"/>
        <v>1</v>
      </c>
      <c r="O75" s="25">
        <v>15</v>
      </c>
      <c r="P75" s="23">
        <v>15</v>
      </c>
      <c r="Q75" s="24"/>
      <c r="R75" s="24"/>
      <c r="S75" s="23"/>
      <c r="T75" s="20">
        <f t="shared" si="13"/>
        <v>15</v>
      </c>
      <c r="U75" s="19">
        <f t="shared" si="11"/>
        <v>15</v>
      </c>
      <c r="V75" s="22"/>
      <c r="W75" s="22"/>
      <c r="X75" s="22"/>
      <c r="Y75" s="22"/>
      <c r="Z75" s="21"/>
      <c r="AA75" s="20">
        <f t="shared" si="14"/>
        <v>0</v>
      </c>
      <c r="AB75" s="19">
        <f t="shared" si="15"/>
        <v>0</v>
      </c>
      <c r="AC75" s="16">
        <v>20</v>
      </c>
      <c r="AD75" s="18"/>
      <c r="AE75" s="17"/>
      <c r="AF75" s="23">
        <f t="shared" si="21"/>
        <v>15</v>
      </c>
      <c r="AG75" s="16">
        <v>45</v>
      </c>
      <c r="AH75" s="23">
        <f t="shared" si="16"/>
        <v>80</v>
      </c>
      <c r="AI75" s="14">
        <f t="shared" si="17"/>
        <v>0.93</v>
      </c>
      <c r="AJ75" s="13"/>
      <c r="AK75" s="12">
        <v>0.01</v>
      </c>
      <c r="AL75" s="11">
        <f t="shared" si="18"/>
        <v>1.01</v>
      </c>
      <c r="AM75" s="10">
        <f t="shared" si="19"/>
        <v>6913280000</v>
      </c>
      <c r="AN75" s="9"/>
      <c r="AO75" s="8"/>
      <c r="AP75" s="8"/>
      <c r="AQ75" s="8"/>
      <c r="AR75" s="8"/>
      <c r="AS75" s="7"/>
      <c r="AT75" s="6">
        <f t="shared" si="20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12"/>
        <v>1</v>
      </c>
      <c r="O76" s="25">
        <v>15</v>
      </c>
      <c r="P76" s="23">
        <v>15</v>
      </c>
      <c r="Q76" s="24"/>
      <c r="R76" s="24"/>
      <c r="S76" s="23"/>
      <c r="T76" s="20">
        <f t="shared" si="13"/>
        <v>15</v>
      </c>
      <c r="U76" s="19">
        <f t="shared" si="11"/>
        <v>15</v>
      </c>
      <c r="V76" s="22"/>
      <c r="W76" s="22"/>
      <c r="X76" s="22"/>
      <c r="Y76" s="22"/>
      <c r="Z76" s="21"/>
      <c r="AA76" s="20">
        <f t="shared" si="14"/>
        <v>0</v>
      </c>
      <c r="AB76" s="19">
        <f t="shared" si="15"/>
        <v>0</v>
      </c>
      <c r="AC76" s="16">
        <v>20</v>
      </c>
      <c r="AD76" s="18"/>
      <c r="AE76" s="17"/>
      <c r="AF76" s="23">
        <f t="shared" si="21"/>
        <v>15</v>
      </c>
      <c r="AG76" s="16">
        <v>45</v>
      </c>
      <c r="AH76" s="23">
        <f t="shared" si="16"/>
        <v>80</v>
      </c>
      <c r="AI76" s="14">
        <f t="shared" si="17"/>
        <v>0.93</v>
      </c>
      <c r="AJ76" s="13"/>
      <c r="AK76" s="12">
        <v>0.01</v>
      </c>
      <c r="AL76" s="11">
        <f t="shared" si="18"/>
        <v>1.01</v>
      </c>
      <c r="AM76" s="10">
        <f t="shared" si="19"/>
        <v>6913280000</v>
      </c>
      <c r="AN76" s="9"/>
      <c r="AO76" s="8"/>
      <c r="AP76" s="8"/>
      <c r="AQ76" s="8"/>
      <c r="AR76" s="8"/>
      <c r="AS76" s="7"/>
      <c r="AT76" s="6">
        <f t="shared" si="20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12"/>
        <v>1</v>
      </c>
      <c r="O77" s="25">
        <v>15</v>
      </c>
      <c r="P77" s="23">
        <v>15</v>
      </c>
      <c r="Q77" s="24"/>
      <c r="R77" s="24"/>
      <c r="S77" s="23"/>
      <c r="T77" s="20">
        <f t="shared" si="13"/>
        <v>15</v>
      </c>
      <c r="U77" s="19">
        <f t="shared" si="11"/>
        <v>15</v>
      </c>
      <c r="V77" s="22"/>
      <c r="W77" s="22"/>
      <c r="X77" s="22"/>
      <c r="Y77" s="22"/>
      <c r="Z77" s="21"/>
      <c r="AA77" s="20">
        <f t="shared" si="14"/>
        <v>0</v>
      </c>
      <c r="AB77" s="19">
        <f t="shared" si="15"/>
        <v>0</v>
      </c>
      <c r="AC77" s="16">
        <v>20</v>
      </c>
      <c r="AD77" s="18"/>
      <c r="AE77" s="17"/>
      <c r="AF77" s="23">
        <f t="shared" si="21"/>
        <v>15</v>
      </c>
      <c r="AG77" s="16">
        <v>45</v>
      </c>
      <c r="AH77" s="23">
        <f t="shared" si="16"/>
        <v>80</v>
      </c>
      <c r="AI77" s="14">
        <f t="shared" si="17"/>
        <v>0.93</v>
      </c>
      <c r="AJ77" s="13"/>
      <c r="AK77" s="12">
        <v>0.01</v>
      </c>
      <c r="AL77" s="11">
        <f t="shared" si="18"/>
        <v>1.01</v>
      </c>
      <c r="AM77" s="10">
        <f t="shared" si="19"/>
        <v>6913280000</v>
      </c>
      <c r="AN77" s="9"/>
      <c r="AO77" s="8"/>
      <c r="AP77" s="8"/>
      <c r="AQ77" s="8"/>
      <c r="AR77" s="8"/>
      <c r="AS77" s="7"/>
      <c r="AT77" s="6">
        <f t="shared" si="20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12"/>
        <v>1</v>
      </c>
      <c r="O78" s="25">
        <v>15</v>
      </c>
      <c r="P78" s="23">
        <v>15</v>
      </c>
      <c r="Q78" s="24"/>
      <c r="R78" s="24"/>
      <c r="S78" s="23"/>
      <c r="T78" s="20">
        <f t="shared" si="13"/>
        <v>15</v>
      </c>
      <c r="U78" s="19">
        <f t="shared" si="11"/>
        <v>15</v>
      </c>
      <c r="V78" s="22"/>
      <c r="W78" s="22"/>
      <c r="X78" s="22"/>
      <c r="Y78" s="22"/>
      <c r="Z78" s="21"/>
      <c r="AA78" s="20">
        <f t="shared" si="14"/>
        <v>0</v>
      </c>
      <c r="AB78" s="19">
        <f t="shared" si="15"/>
        <v>0</v>
      </c>
      <c r="AC78" s="16">
        <v>20</v>
      </c>
      <c r="AD78" s="18"/>
      <c r="AE78" s="17"/>
      <c r="AF78" s="23">
        <f t="shared" si="21"/>
        <v>15</v>
      </c>
      <c r="AG78" s="16">
        <v>45</v>
      </c>
      <c r="AH78" s="23">
        <f t="shared" si="16"/>
        <v>80</v>
      </c>
      <c r="AI78" s="14">
        <f t="shared" si="17"/>
        <v>0.93</v>
      </c>
      <c r="AJ78" s="13"/>
      <c r="AK78" s="12">
        <v>0.01</v>
      </c>
      <c r="AL78" s="11">
        <f t="shared" si="18"/>
        <v>1.01</v>
      </c>
      <c r="AM78" s="10">
        <f t="shared" si="19"/>
        <v>6913280000</v>
      </c>
      <c r="AN78" s="9"/>
      <c r="AO78" s="8"/>
      <c r="AP78" s="8"/>
      <c r="AQ78" s="8"/>
      <c r="AR78" s="8"/>
      <c r="AS78" s="7"/>
      <c r="AT78" s="6">
        <f t="shared" si="20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12"/>
        <v>1</v>
      </c>
      <c r="O79" s="25">
        <v>15</v>
      </c>
      <c r="P79" s="23">
        <v>15</v>
      </c>
      <c r="Q79" s="24"/>
      <c r="R79" s="24"/>
      <c r="S79" s="23"/>
      <c r="T79" s="20">
        <f t="shared" si="13"/>
        <v>15</v>
      </c>
      <c r="U79" s="19">
        <f t="shared" si="11"/>
        <v>15</v>
      </c>
      <c r="V79" s="22"/>
      <c r="W79" s="22"/>
      <c r="X79" s="22"/>
      <c r="Y79" s="22"/>
      <c r="Z79" s="21"/>
      <c r="AA79" s="20">
        <f t="shared" si="14"/>
        <v>0</v>
      </c>
      <c r="AB79" s="19">
        <f t="shared" si="15"/>
        <v>0</v>
      </c>
      <c r="AC79" s="16">
        <v>20</v>
      </c>
      <c r="AD79" s="18"/>
      <c r="AE79" s="17"/>
      <c r="AF79" s="23">
        <f t="shared" si="21"/>
        <v>15</v>
      </c>
      <c r="AG79" s="16">
        <v>45</v>
      </c>
      <c r="AH79" s="23">
        <f t="shared" si="16"/>
        <v>80</v>
      </c>
      <c r="AI79" s="14">
        <f t="shared" si="17"/>
        <v>0.93</v>
      </c>
      <c r="AJ79" s="13"/>
      <c r="AK79" s="12">
        <v>0.01</v>
      </c>
      <c r="AL79" s="11">
        <f t="shared" si="18"/>
        <v>1.01</v>
      </c>
      <c r="AM79" s="10">
        <f t="shared" si="19"/>
        <v>6913280000</v>
      </c>
      <c r="AN79" s="9"/>
      <c r="AO79" s="8"/>
      <c r="AP79" s="8"/>
      <c r="AQ79" s="8"/>
      <c r="AR79" s="8"/>
      <c r="AS79" s="7"/>
      <c r="AT79" s="6">
        <f t="shared" si="20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12"/>
        <v>1</v>
      </c>
      <c r="O80" s="25">
        <v>15</v>
      </c>
      <c r="P80" s="23">
        <v>15</v>
      </c>
      <c r="Q80" s="24"/>
      <c r="R80" s="24"/>
      <c r="S80" s="23"/>
      <c r="T80" s="20">
        <f t="shared" si="13"/>
        <v>15</v>
      </c>
      <c r="U80" s="19">
        <f t="shared" si="11"/>
        <v>15</v>
      </c>
      <c r="V80" s="22"/>
      <c r="W80" s="22"/>
      <c r="X80" s="22"/>
      <c r="Y80" s="22"/>
      <c r="Z80" s="21"/>
      <c r="AA80" s="20">
        <f t="shared" si="14"/>
        <v>0</v>
      </c>
      <c r="AB80" s="19">
        <f t="shared" si="15"/>
        <v>0</v>
      </c>
      <c r="AC80" s="16">
        <v>20</v>
      </c>
      <c r="AD80" s="18"/>
      <c r="AE80" s="17"/>
      <c r="AF80" s="23">
        <f t="shared" si="21"/>
        <v>15</v>
      </c>
      <c r="AG80" s="16">
        <v>45</v>
      </c>
      <c r="AH80" s="23">
        <f t="shared" si="16"/>
        <v>80</v>
      </c>
      <c r="AI80" s="14">
        <f t="shared" si="17"/>
        <v>0.93</v>
      </c>
      <c r="AJ80" s="13"/>
      <c r="AK80" s="12">
        <v>0.01</v>
      </c>
      <c r="AL80" s="11">
        <f t="shared" si="18"/>
        <v>1.01</v>
      </c>
      <c r="AM80" s="10">
        <f t="shared" si="19"/>
        <v>6913280000</v>
      </c>
      <c r="AN80" s="9"/>
      <c r="AO80" s="8"/>
      <c r="AP80" s="8"/>
      <c r="AQ80" s="8"/>
      <c r="AR80" s="8"/>
      <c r="AS80" s="7"/>
      <c r="AT80" s="6">
        <f t="shared" si="20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12"/>
        <v>1</v>
      </c>
      <c r="O81" s="25">
        <v>15</v>
      </c>
      <c r="P81" s="23">
        <v>15</v>
      </c>
      <c r="Q81" s="24"/>
      <c r="R81" s="24"/>
      <c r="S81" s="23"/>
      <c r="T81" s="20">
        <f t="shared" si="13"/>
        <v>15</v>
      </c>
      <c r="U81" s="19">
        <f t="shared" si="11"/>
        <v>15</v>
      </c>
      <c r="V81" s="22"/>
      <c r="W81" s="22"/>
      <c r="X81" s="22"/>
      <c r="Y81" s="22"/>
      <c r="Z81" s="21"/>
      <c r="AA81" s="20">
        <f t="shared" si="14"/>
        <v>0</v>
      </c>
      <c r="AB81" s="19">
        <f t="shared" si="15"/>
        <v>0</v>
      </c>
      <c r="AC81" s="16">
        <v>20</v>
      </c>
      <c r="AD81" s="18"/>
      <c r="AE81" s="17"/>
      <c r="AF81" s="23">
        <f t="shared" si="21"/>
        <v>15</v>
      </c>
      <c r="AG81" s="16">
        <v>45</v>
      </c>
      <c r="AH81" s="23">
        <f t="shared" si="16"/>
        <v>80</v>
      </c>
      <c r="AI81" s="14">
        <f t="shared" si="17"/>
        <v>0.93</v>
      </c>
      <c r="AJ81" s="13"/>
      <c r="AK81" s="12">
        <v>0.01</v>
      </c>
      <c r="AL81" s="11">
        <f t="shared" si="18"/>
        <v>1.01</v>
      </c>
      <c r="AM81" s="10">
        <f t="shared" si="19"/>
        <v>6913280000</v>
      </c>
      <c r="AN81" s="9"/>
      <c r="AO81" s="8"/>
      <c r="AP81" s="8"/>
      <c r="AQ81" s="8"/>
      <c r="AR81" s="8"/>
      <c r="AS81" s="7"/>
      <c r="AT81" s="6">
        <f t="shared" si="20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12"/>
        <v>1</v>
      </c>
      <c r="O82" s="25">
        <v>15</v>
      </c>
      <c r="P82" s="23">
        <v>15</v>
      </c>
      <c r="Q82" s="24"/>
      <c r="R82" s="24"/>
      <c r="S82" s="23"/>
      <c r="T82" s="20">
        <f t="shared" si="13"/>
        <v>15</v>
      </c>
      <c r="U82" s="19">
        <f t="shared" si="11"/>
        <v>15</v>
      </c>
      <c r="V82" s="22"/>
      <c r="W82" s="22"/>
      <c r="X82" s="22"/>
      <c r="Y82" s="22"/>
      <c r="Z82" s="21"/>
      <c r="AA82" s="20">
        <f t="shared" si="14"/>
        <v>0</v>
      </c>
      <c r="AB82" s="19">
        <f t="shared" si="15"/>
        <v>0</v>
      </c>
      <c r="AC82" s="16">
        <v>20</v>
      </c>
      <c r="AD82" s="18"/>
      <c r="AE82" s="17"/>
      <c r="AF82" s="23">
        <f t="shared" si="21"/>
        <v>15</v>
      </c>
      <c r="AG82" s="16">
        <v>45</v>
      </c>
      <c r="AH82" s="23">
        <f t="shared" si="16"/>
        <v>80</v>
      </c>
      <c r="AI82" s="14">
        <f t="shared" si="17"/>
        <v>0.93</v>
      </c>
      <c r="AJ82" s="13"/>
      <c r="AK82" s="12">
        <v>0.01</v>
      </c>
      <c r="AL82" s="11">
        <f t="shared" si="18"/>
        <v>1.01</v>
      </c>
      <c r="AM82" s="10">
        <f t="shared" si="19"/>
        <v>6913280000</v>
      </c>
      <c r="AN82" s="9"/>
      <c r="AO82" s="8"/>
      <c r="AP82" s="8"/>
      <c r="AQ82" s="8"/>
      <c r="AR82" s="8"/>
      <c r="AS82" s="7"/>
      <c r="AT82" s="6">
        <f t="shared" si="20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12"/>
        <v>1</v>
      </c>
      <c r="O83" s="25">
        <v>15</v>
      </c>
      <c r="P83" s="23">
        <v>15</v>
      </c>
      <c r="Q83" s="24"/>
      <c r="R83" s="24"/>
      <c r="S83" s="23"/>
      <c r="T83" s="20">
        <f t="shared" si="13"/>
        <v>15</v>
      </c>
      <c r="U83" s="19">
        <f t="shared" si="11"/>
        <v>15</v>
      </c>
      <c r="V83" s="22"/>
      <c r="W83" s="22"/>
      <c r="X83" s="22"/>
      <c r="Y83" s="22"/>
      <c r="Z83" s="21"/>
      <c r="AA83" s="20">
        <f t="shared" si="14"/>
        <v>0</v>
      </c>
      <c r="AB83" s="19">
        <f t="shared" si="15"/>
        <v>0</v>
      </c>
      <c r="AC83" s="16">
        <v>20</v>
      </c>
      <c r="AD83" s="18"/>
      <c r="AE83" s="17"/>
      <c r="AF83" s="23">
        <f t="shared" si="21"/>
        <v>15</v>
      </c>
      <c r="AG83" s="16">
        <v>45</v>
      </c>
      <c r="AH83" s="23">
        <f t="shared" si="16"/>
        <v>80</v>
      </c>
      <c r="AI83" s="14">
        <f t="shared" si="17"/>
        <v>0.93</v>
      </c>
      <c r="AJ83" s="13"/>
      <c r="AK83" s="12">
        <v>0.01</v>
      </c>
      <c r="AL83" s="11">
        <f t="shared" si="18"/>
        <v>1.01</v>
      </c>
      <c r="AM83" s="10">
        <f t="shared" si="19"/>
        <v>6913280000</v>
      </c>
      <c r="AN83" s="9"/>
      <c r="AO83" s="8"/>
      <c r="AP83" s="8"/>
      <c r="AQ83" s="8"/>
      <c r="AR83" s="8"/>
      <c r="AS83" s="7"/>
      <c r="AT83" s="6">
        <f t="shared" si="20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12"/>
        <v>1</v>
      </c>
      <c r="O84" s="25">
        <v>15</v>
      </c>
      <c r="P84" s="23">
        <v>15</v>
      </c>
      <c r="Q84" s="24"/>
      <c r="R84" s="24"/>
      <c r="S84" s="23"/>
      <c r="T84" s="20">
        <f t="shared" si="13"/>
        <v>15</v>
      </c>
      <c r="U84" s="19">
        <f t="shared" si="11"/>
        <v>15</v>
      </c>
      <c r="V84" s="22"/>
      <c r="W84" s="22"/>
      <c r="X84" s="22"/>
      <c r="Y84" s="22"/>
      <c r="Z84" s="21"/>
      <c r="AA84" s="20">
        <f t="shared" si="14"/>
        <v>0</v>
      </c>
      <c r="AB84" s="19">
        <f t="shared" si="15"/>
        <v>0</v>
      </c>
      <c r="AC84" s="16">
        <v>20</v>
      </c>
      <c r="AD84" s="18"/>
      <c r="AE84" s="17"/>
      <c r="AF84" s="23">
        <f t="shared" si="21"/>
        <v>15</v>
      </c>
      <c r="AG84" s="16">
        <v>45</v>
      </c>
      <c r="AH84" s="23">
        <f t="shared" si="16"/>
        <v>80</v>
      </c>
      <c r="AI84" s="14">
        <f t="shared" si="17"/>
        <v>0.93</v>
      </c>
      <c r="AJ84" s="13"/>
      <c r="AK84" s="12">
        <v>0.01</v>
      </c>
      <c r="AL84" s="11">
        <f t="shared" si="18"/>
        <v>1.01</v>
      </c>
      <c r="AM84" s="10">
        <f t="shared" si="19"/>
        <v>6913280000</v>
      </c>
      <c r="AN84" s="9"/>
      <c r="AO84" s="8"/>
      <c r="AP84" s="8"/>
      <c r="AQ84" s="8"/>
      <c r="AR84" s="8"/>
      <c r="AS84" s="7"/>
      <c r="AT84" s="6">
        <f t="shared" si="20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12"/>
        <v>1</v>
      </c>
      <c r="O85" s="25">
        <v>15</v>
      </c>
      <c r="P85" s="23">
        <v>15</v>
      </c>
      <c r="Q85" s="24"/>
      <c r="R85" s="24"/>
      <c r="S85" s="23"/>
      <c r="T85" s="20">
        <f t="shared" si="13"/>
        <v>15</v>
      </c>
      <c r="U85" s="19">
        <f t="shared" si="11"/>
        <v>15</v>
      </c>
      <c r="V85" s="22"/>
      <c r="W85" s="22"/>
      <c r="X85" s="22"/>
      <c r="Y85" s="22"/>
      <c r="Z85" s="21"/>
      <c r="AA85" s="20">
        <f t="shared" si="14"/>
        <v>0</v>
      </c>
      <c r="AB85" s="19">
        <f t="shared" si="15"/>
        <v>0</v>
      </c>
      <c r="AC85" s="16">
        <v>20</v>
      </c>
      <c r="AD85" s="18"/>
      <c r="AE85" s="17"/>
      <c r="AF85" s="23">
        <f t="shared" si="21"/>
        <v>15</v>
      </c>
      <c r="AG85" s="16">
        <v>45</v>
      </c>
      <c r="AH85" s="23">
        <f t="shared" si="16"/>
        <v>80</v>
      </c>
      <c r="AI85" s="14">
        <f t="shared" si="17"/>
        <v>0.93</v>
      </c>
      <c r="AJ85" s="13"/>
      <c r="AK85" s="12">
        <v>0.01</v>
      </c>
      <c r="AL85" s="11">
        <f t="shared" si="18"/>
        <v>1.01</v>
      </c>
      <c r="AM85" s="10">
        <f t="shared" si="19"/>
        <v>6913280000</v>
      </c>
      <c r="AN85" s="9"/>
      <c r="AO85" s="8"/>
      <c r="AP85" s="8"/>
      <c r="AQ85" s="8"/>
      <c r="AR85" s="8"/>
      <c r="AS85" s="7"/>
      <c r="AT85" s="6">
        <f t="shared" si="20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12"/>
        <v>1</v>
      </c>
      <c r="O86" s="25">
        <v>15</v>
      </c>
      <c r="P86" s="23">
        <v>15</v>
      </c>
      <c r="Q86" s="24"/>
      <c r="R86" s="24"/>
      <c r="S86" s="23"/>
      <c r="T86" s="20">
        <f t="shared" si="13"/>
        <v>15</v>
      </c>
      <c r="U86" s="19">
        <f t="shared" si="11"/>
        <v>15</v>
      </c>
      <c r="V86" s="22"/>
      <c r="W86" s="22"/>
      <c r="X86" s="22"/>
      <c r="Y86" s="22"/>
      <c r="Z86" s="21"/>
      <c r="AA86" s="20">
        <f t="shared" si="14"/>
        <v>0</v>
      </c>
      <c r="AB86" s="19">
        <f t="shared" si="15"/>
        <v>0</v>
      </c>
      <c r="AC86" s="16">
        <v>20</v>
      </c>
      <c r="AD86" s="18"/>
      <c r="AE86" s="17"/>
      <c r="AF86" s="23">
        <f t="shared" si="21"/>
        <v>15</v>
      </c>
      <c r="AG86" s="16">
        <v>45</v>
      </c>
      <c r="AH86" s="23">
        <f t="shared" si="16"/>
        <v>80</v>
      </c>
      <c r="AI86" s="14">
        <f t="shared" si="17"/>
        <v>0.93</v>
      </c>
      <c r="AJ86" s="13"/>
      <c r="AK86" s="12">
        <v>0.01</v>
      </c>
      <c r="AL86" s="11">
        <f t="shared" si="18"/>
        <v>1.01</v>
      </c>
      <c r="AM86" s="10">
        <f t="shared" si="19"/>
        <v>6913280000</v>
      </c>
      <c r="AN86" s="9"/>
      <c r="AO86" s="8"/>
      <c r="AP86" s="8"/>
      <c r="AQ86" s="8"/>
      <c r="AR86" s="8"/>
      <c r="AS86" s="7"/>
      <c r="AT86" s="6">
        <f t="shared" si="20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12"/>
        <v>1</v>
      </c>
      <c r="O87" s="25">
        <v>15</v>
      </c>
      <c r="P87" s="23">
        <v>15</v>
      </c>
      <c r="Q87" s="24"/>
      <c r="R87" s="24"/>
      <c r="S87" s="23"/>
      <c r="T87" s="20">
        <f t="shared" si="13"/>
        <v>15</v>
      </c>
      <c r="U87" s="19">
        <f t="shared" si="11"/>
        <v>15</v>
      </c>
      <c r="V87" s="22"/>
      <c r="W87" s="22"/>
      <c r="X87" s="22"/>
      <c r="Y87" s="22"/>
      <c r="Z87" s="21"/>
      <c r="AA87" s="20">
        <f t="shared" si="14"/>
        <v>0</v>
      </c>
      <c r="AB87" s="19">
        <f t="shared" si="15"/>
        <v>0</v>
      </c>
      <c r="AC87" s="16">
        <v>20</v>
      </c>
      <c r="AD87" s="18"/>
      <c r="AE87" s="17"/>
      <c r="AF87" s="23">
        <f t="shared" si="21"/>
        <v>15</v>
      </c>
      <c r="AG87" s="16">
        <v>45</v>
      </c>
      <c r="AH87" s="23">
        <f t="shared" si="16"/>
        <v>80</v>
      </c>
      <c r="AI87" s="14">
        <f t="shared" si="17"/>
        <v>0.93</v>
      </c>
      <c r="AJ87" s="13"/>
      <c r="AK87" s="12">
        <v>0.01</v>
      </c>
      <c r="AL87" s="11">
        <f t="shared" si="18"/>
        <v>1.01</v>
      </c>
      <c r="AM87" s="10">
        <f t="shared" si="19"/>
        <v>6913280000</v>
      </c>
      <c r="AN87" s="9"/>
      <c r="AO87" s="8"/>
      <c r="AP87" s="8"/>
      <c r="AQ87" s="8"/>
      <c r="AR87" s="8"/>
      <c r="AS87" s="7"/>
      <c r="AT87" s="6">
        <f t="shared" si="20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12"/>
        <v>1</v>
      </c>
      <c r="O88" s="25">
        <v>15</v>
      </c>
      <c r="P88" s="23">
        <v>15</v>
      </c>
      <c r="Q88" s="24"/>
      <c r="R88" s="24"/>
      <c r="S88" s="23"/>
      <c r="T88" s="20">
        <f t="shared" si="13"/>
        <v>15</v>
      </c>
      <c r="U88" s="19">
        <f t="shared" si="11"/>
        <v>15</v>
      </c>
      <c r="V88" s="22"/>
      <c r="W88" s="22"/>
      <c r="X88" s="22"/>
      <c r="Y88" s="22"/>
      <c r="Z88" s="21"/>
      <c r="AA88" s="20">
        <f t="shared" si="14"/>
        <v>0</v>
      </c>
      <c r="AB88" s="19">
        <f t="shared" si="15"/>
        <v>0</v>
      </c>
      <c r="AC88" s="16">
        <v>20</v>
      </c>
      <c r="AD88" s="18"/>
      <c r="AE88" s="17"/>
      <c r="AF88" s="23">
        <f t="shared" si="21"/>
        <v>15</v>
      </c>
      <c r="AG88" s="16">
        <v>45</v>
      </c>
      <c r="AH88" s="23">
        <f t="shared" si="16"/>
        <v>80</v>
      </c>
      <c r="AI88" s="14">
        <f t="shared" si="17"/>
        <v>0.93</v>
      </c>
      <c r="AJ88" s="13"/>
      <c r="AK88" s="12">
        <v>0.01</v>
      </c>
      <c r="AL88" s="11">
        <f t="shared" si="18"/>
        <v>1.01</v>
      </c>
      <c r="AM88" s="10">
        <f t="shared" si="19"/>
        <v>6913280000</v>
      </c>
      <c r="AN88" s="9"/>
      <c r="AO88" s="8"/>
      <c r="AP88" s="8"/>
      <c r="AQ88" s="8"/>
      <c r="AR88" s="8"/>
      <c r="AS88" s="7"/>
      <c r="AT88" s="6">
        <f t="shared" si="20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12"/>
        <v>1</v>
      </c>
      <c r="O89" s="25">
        <v>15</v>
      </c>
      <c r="P89" s="23">
        <v>15</v>
      </c>
      <c r="Q89" s="24"/>
      <c r="R89" s="24"/>
      <c r="S89" s="23"/>
      <c r="T89" s="20">
        <f t="shared" si="13"/>
        <v>15</v>
      </c>
      <c r="U89" s="19">
        <f t="shared" si="11"/>
        <v>15</v>
      </c>
      <c r="V89" s="22"/>
      <c r="W89" s="22"/>
      <c r="X89" s="22"/>
      <c r="Y89" s="22"/>
      <c r="Z89" s="21"/>
      <c r="AA89" s="20">
        <f t="shared" si="14"/>
        <v>0</v>
      </c>
      <c r="AB89" s="19">
        <f t="shared" si="15"/>
        <v>0</v>
      </c>
      <c r="AC89" s="16">
        <v>20</v>
      </c>
      <c r="AD89" s="18"/>
      <c r="AE89" s="17"/>
      <c r="AF89" s="23">
        <f t="shared" si="21"/>
        <v>15</v>
      </c>
      <c r="AG89" s="16">
        <v>45</v>
      </c>
      <c r="AH89" s="23">
        <f t="shared" si="16"/>
        <v>80</v>
      </c>
      <c r="AI89" s="14">
        <f t="shared" si="17"/>
        <v>0.93</v>
      </c>
      <c r="AJ89" s="13"/>
      <c r="AK89" s="12">
        <v>0.01</v>
      </c>
      <c r="AL89" s="11">
        <f t="shared" si="18"/>
        <v>1.01</v>
      </c>
      <c r="AM89" s="10">
        <f t="shared" si="19"/>
        <v>6913280000</v>
      </c>
      <c r="AN89" s="9"/>
      <c r="AO89" s="8"/>
      <c r="AP89" s="8"/>
      <c r="AQ89" s="8"/>
      <c r="AR89" s="8"/>
      <c r="AS89" s="7"/>
      <c r="AT89" s="6">
        <f t="shared" si="20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12"/>
        <v>1</v>
      </c>
      <c r="O90" s="25">
        <v>15</v>
      </c>
      <c r="P90" s="23">
        <v>15</v>
      </c>
      <c r="Q90" s="24"/>
      <c r="R90" s="24"/>
      <c r="S90" s="23"/>
      <c r="T90" s="20">
        <f t="shared" si="13"/>
        <v>15</v>
      </c>
      <c r="U90" s="19">
        <f t="shared" si="11"/>
        <v>15</v>
      </c>
      <c r="V90" s="22"/>
      <c r="W90" s="22"/>
      <c r="X90" s="22"/>
      <c r="Y90" s="22"/>
      <c r="Z90" s="21"/>
      <c r="AA90" s="20">
        <f t="shared" si="14"/>
        <v>0</v>
      </c>
      <c r="AB90" s="19">
        <f t="shared" si="15"/>
        <v>0</v>
      </c>
      <c r="AC90" s="16">
        <v>20</v>
      </c>
      <c r="AD90" s="18"/>
      <c r="AE90" s="17"/>
      <c r="AF90" s="23">
        <f t="shared" si="21"/>
        <v>15</v>
      </c>
      <c r="AG90" s="16">
        <v>45</v>
      </c>
      <c r="AH90" s="23">
        <f t="shared" si="16"/>
        <v>80</v>
      </c>
      <c r="AI90" s="14">
        <f t="shared" si="17"/>
        <v>0.93</v>
      </c>
      <c r="AJ90" s="13"/>
      <c r="AK90" s="12">
        <v>0.01</v>
      </c>
      <c r="AL90" s="11">
        <f t="shared" si="18"/>
        <v>1.01</v>
      </c>
      <c r="AM90" s="10">
        <f t="shared" si="19"/>
        <v>6913280000</v>
      </c>
      <c r="AN90" s="9"/>
      <c r="AO90" s="8"/>
      <c r="AP90" s="8"/>
      <c r="AQ90" s="8"/>
      <c r="AR90" s="8"/>
      <c r="AS90" s="7"/>
      <c r="AT90" s="6">
        <f t="shared" si="20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12"/>
        <v>1</v>
      </c>
      <c r="O91" s="25">
        <v>15</v>
      </c>
      <c r="P91" s="23">
        <v>15</v>
      </c>
      <c r="Q91" s="24"/>
      <c r="R91" s="24"/>
      <c r="S91" s="23"/>
      <c r="T91" s="20">
        <f t="shared" si="13"/>
        <v>15</v>
      </c>
      <c r="U91" s="19">
        <f t="shared" si="11"/>
        <v>15</v>
      </c>
      <c r="V91" s="22"/>
      <c r="W91" s="22"/>
      <c r="X91" s="22"/>
      <c r="Y91" s="22"/>
      <c r="Z91" s="21"/>
      <c r="AA91" s="20">
        <f t="shared" si="14"/>
        <v>0</v>
      </c>
      <c r="AB91" s="19">
        <f t="shared" si="15"/>
        <v>0</v>
      </c>
      <c r="AC91" s="16">
        <v>20</v>
      </c>
      <c r="AD91" s="18"/>
      <c r="AE91" s="17"/>
      <c r="AF91" s="23">
        <f t="shared" si="21"/>
        <v>15</v>
      </c>
      <c r="AG91" s="16">
        <v>45</v>
      </c>
      <c r="AH91" s="23">
        <f t="shared" si="16"/>
        <v>80</v>
      </c>
      <c r="AI91" s="14">
        <f t="shared" si="17"/>
        <v>0.93</v>
      </c>
      <c r="AJ91" s="13"/>
      <c r="AK91" s="12">
        <v>0.01</v>
      </c>
      <c r="AL91" s="11">
        <f t="shared" si="18"/>
        <v>1.01</v>
      </c>
      <c r="AM91" s="10">
        <f t="shared" si="19"/>
        <v>6913280000</v>
      </c>
      <c r="AN91" s="9"/>
      <c r="AO91" s="8"/>
      <c r="AP91" s="8"/>
      <c r="AQ91" s="8"/>
      <c r="AR91" s="8"/>
      <c r="AS91" s="7"/>
      <c r="AT91" s="6">
        <f t="shared" si="20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12"/>
        <v>1</v>
      </c>
      <c r="O92" s="25">
        <v>15</v>
      </c>
      <c r="P92" s="23">
        <v>15</v>
      </c>
      <c r="Q92" s="24"/>
      <c r="R92" s="24"/>
      <c r="S92" s="23"/>
      <c r="T92" s="20">
        <f t="shared" si="13"/>
        <v>15</v>
      </c>
      <c r="U92" s="19">
        <f t="shared" si="11"/>
        <v>15</v>
      </c>
      <c r="V92" s="22"/>
      <c r="W92" s="22"/>
      <c r="X92" s="22"/>
      <c r="Y92" s="22"/>
      <c r="Z92" s="21"/>
      <c r="AA92" s="20">
        <f t="shared" si="14"/>
        <v>0</v>
      </c>
      <c r="AB92" s="19">
        <f t="shared" si="15"/>
        <v>0</v>
      </c>
      <c r="AC92" s="16">
        <v>20</v>
      </c>
      <c r="AD92" s="18"/>
      <c r="AE92" s="17"/>
      <c r="AF92" s="23">
        <f t="shared" si="21"/>
        <v>15</v>
      </c>
      <c r="AG92" s="16">
        <v>45</v>
      </c>
      <c r="AH92" s="23">
        <f t="shared" si="16"/>
        <v>80</v>
      </c>
      <c r="AI92" s="14">
        <f t="shared" si="17"/>
        <v>0.93</v>
      </c>
      <c r="AJ92" s="13"/>
      <c r="AK92" s="12">
        <v>0.01</v>
      </c>
      <c r="AL92" s="11">
        <f t="shared" si="18"/>
        <v>1.01</v>
      </c>
      <c r="AM92" s="10">
        <f t="shared" si="19"/>
        <v>6913280000</v>
      </c>
      <c r="AN92" s="9"/>
      <c r="AO92" s="8"/>
      <c r="AP92" s="8"/>
      <c r="AQ92" s="8"/>
      <c r="AR92" s="8"/>
      <c r="AS92" s="7"/>
      <c r="AT92" s="6">
        <f t="shared" si="20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12"/>
        <v>1</v>
      </c>
      <c r="O93" s="25">
        <v>15</v>
      </c>
      <c r="P93" s="23">
        <v>15</v>
      </c>
      <c r="Q93" s="24"/>
      <c r="R93" s="24"/>
      <c r="S93" s="23"/>
      <c r="T93" s="20">
        <f t="shared" si="13"/>
        <v>15</v>
      </c>
      <c r="U93" s="19">
        <f t="shared" si="11"/>
        <v>15</v>
      </c>
      <c r="V93" s="22"/>
      <c r="W93" s="22"/>
      <c r="X93" s="22"/>
      <c r="Y93" s="22"/>
      <c r="Z93" s="21"/>
      <c r="AA93" s="20">
        <f t="shared" si="14"/>
        <v>0</v>
      </c>
      <c r="AB93" s="19">
        <f t="shared" si="15"/>
        <v>0</v>
      </c>
      <c r="AC93" s="16">
        <v>20</v>
      </c>
      <c r="AD93" s="18"/>
      <c r="AE93" s="17"/>
      <c r="AF93" s="23">
        <f t="shared" si="21"/>
        <v>15</v>
      </c>
      <c r="AG93" s="16">
        <v>45</v>
      </c>
      <c r="AH93" s="23">
        <f t="shared" si="16"/>
        <v>80</v>
      </c>
      <c r="AI93" s="14">
        <f t="shared" si="17"/>
        <v>0.93</v>
      </c>
      <c r="AJ93" s="13"/>
      <c r="AK93" s="12">
        <v>0.01</v>
      </c>
      <c r="AL93" s="11">
        <f t="shared" si="18"/>
        <v>1.01</v>
      </c>
      <c r="AM93" s="10">
        <f t="shared" si="19"/>
        <v>6913280000</v>
      </c>
      <c r="AN93" s="9"/>
      <c r="AO93" s="8"/>
      <c r="AP93" s="8"/>
      <c r="AQ93" s="8"/>
      <c r="AR93" s="8"/>
      <c r="AS93" s="7"/>
      <c r="AT93" s="6">
        <f t="shared" si="20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12"/>
        <v>1</v>
      </c>
      <c r="O94" s="25">
        <v>15</v>
      </c>
      <c r="P94" s="23">
        <v>15</v>
      </c>
      <c r="Q94" s="24"/>
      <c r="R94" s="24"/>
      <c r="S94" s="23"/>
      <c r="T94" s="20">
        <f t="shared" si="13"/>
        <v>15</v>
      </c>
      <c r="U94" s="19">
        <f t="shared" si="11"/>
        <v>15</v>
      </c>
      <c r="V94" s="22"/>
      <c r="W94" s="22"/>
      <c r="X94" s="22"/>
      <c r="Y94" s="22"/>
      <c r="Z94" s="21"/>
      <c r="AA94" s="20">
        <f t="shared" si="14"/>
        <v>0</v>
      </c>
      <c r="AB94" s="19">
        <f t="shared" si="15"/>
        <v>0</v>
      </c>
      <c r="AC94" s="16">
        <v>20</v>
      </c>
      <c r="AD94" s="18"/>
      <c r="AE94" s="17"/>
      <c r="AF94" s="23">
        <f t="shared" si="21"/>
        <v>15</v>
      </c>
      <c r="AG94" s="16">
        <v>45</v>
      </c>
      <c r="AH94" s="23">
        <f t="shared" si="16"/>
        <v>80</v>
      </c>
      <c r="AI94" s="14">
        <f t="shared" si="17"/>
        <v>0.93</v>
      </c>
      <c r="AJ94" s="13"/>
      <c r="AK94" s="12">
        <v>0.01</v>
      </c>
      <c r="AL94" s="11">
        <f t="shared" si="18"/>
        <v>1.01</v>
      </c>
      <c r="AM94" s="10">
        <f t="shared" si="19"/>
        <v>6913280000</v>
      </c>
      <c r="AN94" s="9"/>
      <c r="AO94" s="8"/>
      <c r="AP94" s="8"/>
      <c r="AQ94" s="8"/>
      <c r="AR94" s="8"/>
      <c r="AS94" s="7"/>
      <c r="AT94" s="6">
        <f t="shared" si="20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12"/>
        <v>1</v>
      </c>
      <c r="O95" s="25">
        <v>15</v>
      </c>
      <c r="P95" s="23">
        <v>15</v>
      </c>
      <c r="Q95" s="24"/>
      <c r="R95" s="24"/>
      <c r="S95" s="23"/>
      <c r="T95" s="20">
        <f t="shared" si="13"/>
        <v>15</v>
      </c>
      <c r="U95" s="19">
        <f t="shared" si="11"/>
        <v>15</v>
      </c>
      <c r="V95" s="22"/>
      <c r="W95" s="22"/>
      <c r="X95" s="22"/>
      <c r="Y95" s="22"/>
      <c r="Z95" s="21"/>
      <c r="AA95" s="20">
        <f t="shared" si="14"/>
        <v>0</v>
      </c>
      <c r="AB95" s="19">
        <f t="shared" si="15"/>
        <v>0</v>
      </c>
      <c r="AC95" s="16">
        <v>20</v>
      </c>
      <c r="AD95" s="18"/>
      <c r="AE95" s="17"/>
      <c r="AF95" s="23">
        <f t="shared" si="21"/>
        <v>15</v>
      </c>
      <c r="AG95" s="16">
        <v>45</v>
      </c>
      <c r="AH95" s="23">
        <f t="shared" si="16"/>
        <v>80</v>
      </c>
      <c r="AI95" s="14">
        <f t="shared" si="17"/>
        <v>0.93</v>
      </c>
      <c r="AJ95" s="13"/>
      <c r="AK95" s="12">
        <v>0.01</v>
      </c>
      <c r="AL95" s="11">
        <f t="shared" si="18"/>
        <v>1.01</v>
      </c>
      <c r="AM95" s="10">
        <f t="shared" si="19"/>
        <v>6913280000</v>
      </c>
      <c r="AN95" s="9"/>
      <c r="AO95" s="8"/>
      <c r="AP95" s="8"/>
      <c r="AQ95" s="8"/>
      <c r="AR95" s="8"/>
      <c r="AS95" s="7"/>
      <c r="AT95" s="6">
        <f t="shared" si="20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12"/>
        <v>1</v>
      </c>
      <c r="O96" s="25">
        <v>15</v>
      </c>
      <c r="P96" s="23">
        <v>15</v>
      </c>
      <c r="Q96" s="24"/>
      <c r="R96" s="24"/>
      <c r="S96" s="23"/>
      <c r="T96" s="20">
        <f t="shared" si="13"/>
        <v>15</v>
      </c>
      <c r="U96" s="19">
        <f t="shared" si="11"/>
        <v>15</v>
      </c>
      <c r="V96" s="22"/>
      <c r="W96" s="22"/>
      <c r="X96" s="22"/>
      <c r="Y96" s="22"/>
      <c r="Z96" s="21"/>
      <c r="AA96" s="20">
        <f t="shared" si="14"/>
        <v>0</v>
      </c>
      <c r="AB96" s="19">
        <f t="shared" si="15"/>
        <v>0</v>
      </c>
      <c r="AC96" s="16">
        <v>20</v>
      </c>
      <c r="AD96" s="18"/>
      <c r="AE96" s="17"/>
      <c r="AF96" s="23">
        <f t="shared" si="21"/>
        <v>15</v>
      </c>
      <c r="AG96" s="16">
        <v>45</v>
      </c>
      <c r="AH96" s="23">
        <f t="shared" si="16"/>
        <v>80</v>
      </c>
      <c r="AI96" s="14">
        <f t="shared" si="17"/>
        <v>0.93</v>
      </c>
      <c r="AJ96" s="13"/>
      <c r="AK96" s="12">
        <v>0.01</v>
      </c>
      <c r="AL96" s="11">
        <f t="shared" si="18"/>
        <v>1.01</v>
      </c>
      <c r="AM96" s="10">
        <f t="shared" si="19"/>
        <v>6913280000</v>
      </c>
      <c r="AN96" s="9"/>
      <c r="AO96" s="8"/>
      <c r="AP96" s="8"/>
      <c r="AQ96" s="8"/>
      <c r="AR96" s="8"/>
      <c r="AS96" s="7"/>
      <c r="AT96" s="6">
        <f t="shared" si="20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12"/>
        <v>1</v>
      </c>
      <c r="O97" s="25">
        <v>15</v>
      </c>
      <c r="P97" s="23">
        <v>15</v>
      </c>
      <c r="Q97" s="24"/>
      <c r="R97" s="24"/>
      <c r="S97" s="23"/>
      <c r="T97" s="20">
        <f t="shared" si="13"/>
        <v>15</v>
      </c>
      <c r="U97" s="19">
        <f t="shared" si="11"/>
        <v>15</v>
      </c>
      <c r="V97" s="22"/>
      <c r="W97" s="22"/>
      <c r="X97" s="22"/>
      <c r="Y97" s="22"/>
      <c r="Z97" s="21"/>
      <c r="AA97" s="20">
        <f t="shared" si="14"/>
        <v>0</v>
      </c>
      <c r="AB97" s="19">
        <f t="shared" si="15"/>
        <v>0</v>
      </c>
      <c r="AC97" s="16">
        <v>20</v>
      </c>
      <c r="AD97" s="18"/>
      <c r="AE97" s="17"/>
      <c r="AF97" s="23">
        <f t="shared" si="21"/>
        <v>15</v>
      </c>
      <c r="AG97" s="16">
        <v>45</v>
      </c>
      <c r="AH97" s="23">
        <f t="shared" si="16"/>
        <v>80</v>
      </c>
      <c r="AI97" s="14">
        <f t="shared" si="17"/>
        <v>0.93</v>
      </c>
      <c r="AJ97" s="13"/>
      <c r="AK97" s="12">
        <v>0.01</v>
      </c>
      <c r="AL97" s="11">
        <f t="shared" si="18"/>
        <v>1.01</v>
      </c>
      <c r="AM97" s="10">
        <f t="shared" si="19"/>
        <v>6913280000</v>
      </c>
      <c r="AN97" s="9"/>
      <c r="AO97" s="8"/>
      <c r="AP97" s="8"/>
      <c r="AQ97" s="8"/>
      <c r="AR97" s="8"/>
      <c r="AS97" s="7"/>
      <c r="AT97" s="6">
        <f t="shared" si="20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12"/>
        <v>1</v>
      </c>
      <c r="O98" s="25">
        <v>15</v>
      </c>
      <c r="P98" s="23">
        <v>15</v>
      </c>
      <c r="Q98" s="24"/>
      <c r="R98" s="24"/>
      <c r="S98" s="23"/>
      <c r="T98" s="20">
        <f t="shared" si="13"/>
        <v>15</v>
      </c>
      <c r="U98" s="19">
        <f t="shared" si="11"/>
        <v>15</v>
      </c>
      <c r="V98" s="22"/>
      <c r="W98" s="22"/>
      <c r="X98" s="22"/>
      <c r="Y98" s="22"/>
      <c r="Z98" s="21"/>
      <c r="AA98" s="20">
        <f t="shared" si="14"/>
        <v>0</v>
      </c>
      <c r="AB98" s="19">
        <f t="shared" si="15"/>
        <v>0</v>
      </c>
      <c r="AC98" s="16">
        <v>20</v>
      </c>
      <c r="AD98" s="18"/>
      <c r="AE98" s="17"/>
      <c r="AF98" s="23">
        <f t="shared" si="21"/>
        <v>15</v>
      </c>
      <c r="AG98" s="16">
        <v>45</v>
      </c>
      <c r="AH98" s="23">
        <f t="shared" si="16"/>
        <v>80</v>
      </c>
      <c r="AI98" s="14">
        <f t="shared" si="17"/>
        <v>0.93</v>
      </c>
      <c r="AJ98" s="13"/>
      <c r="AK98" s="12">
        <v>0.01</v>
      </c>
      <c r="AL98" s="11">
        <f t="shared" si="18"/>
        <v>1.01</v>
      </c>
      <c r="AM98" s="10">
        <f t="shared" si="19"/>
        <v>6913280000</v>
      </c>
      <c r="AN98" s="9"/>
      <c r="AO98" s="8"/>
      <c r="AP98" s="8"/>
      <c r="AQ98" s="8"/>
      <c r="AR98" s="8"/>
      <c r="AS98" s="7"/>
      <c r="AT98" s="6">
        <f t="shared" si="20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12"/>
        <v>1</v>
      </c>
      <c r="O99" s="25">
        <v>15</v>
      </c>
      <c r="P99" s="23">
        <v>15</v>
      </c>
      <c r="Q99" s="24"/>
      <c r="R99" s="24"/>
      <c r="S99" s="23"/>
      <c r="T99" s="20">
        <f t="shared" si="13"/>
        <v>15</v>
      </c>
      <c r="U99" s="19">
        <f t="shared" si="11"/>
        <v>15</v>
      </c>
      <c r="V99" s="22"/>
      <c r="W99" s="22"/>
      <c r="X99" s="22"/>
      <c r="Y99" s="22"/>
      <c r="Z99" s="21"/>
      <c r="AA99" s="20">
        <f t="shared" si="14"/>
        <v>0</v>
      </c>
      <c r="AB99" s="19">
        <f t="shared" si="15"/>
        <v>0</v>
      </c>
      <c r="AC99" s="16">
        <v>20</v>
      </c>
      <c r="AD99" s="18"/>
      <c r="AE99" s="17"/>
      <c r="AF99" s="23">
        <f t="shared" si="21"/>
        <v>15</v>
      </c>
      <c r="AG99" s="16">
        <v>45</v>
      </c>
      <c r="AH99" s="23">
        <f t="shared" si="16"/>
        <v>80</v>
      </c>
      <c r="AI99" s="14">
        <f t="shared" si="17"/>
        <v>0.93</v>
      </c>
      <c r="AJ99" s="13"/>
      <c r="AK99" s="12">
        <v>0.01</v>
      </c>
      <c r="AL99" s="11">
        <f t="shared" si="18"/>
        <v>1.01</v>
      </c>
      <c r="AM99" s="10">
        <f t="shared" si="19"/>
        <v>6913280000</v>
      </c>
      <c r="AN99" s="9"/>
      <c r="AO99" s="8"/>
      <c r="AP99" s="8"/>
      <c r="AQ99" s="8"/>
      <c r="AR99" s="8"/>
      <c r="AS99" s="7"/>
      <c r="AT99" s="6">
        <f t="shared" si="20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12"/>
        <v>1</v>
      </c>
      <c r="O100" s="25">
        <v>15</v>
      </c>
      <c r="P100" s="23">
        <v>15</v>
      </c>
      <c r="Q100" s="24"/>
      <c r="R100" s="24"/>
      <c r="S100" s="23"/>
      <c r="T100" s="20">
        <f t="shared" si="13"/>
        <v>15</v>
      </c>
      <c r="U100" s="19">
        <f t="shared" si="11"/>
        <v>15</v>
      </c>
      <c r="V100" s="22"/>
      <c r="W100" s="22"/>
      <c r="X100" s="22"/>
      <c r="Y100" s="22"/>
      <c r="Z100" s="21"/>
      <c r="AA100" s="20">
        <f t="shared" si="14"/>
        <v>0</v>
      </c>
      <c r="AB100" s="19">
        <f t="shared" si="15"/>
        <v>0</v>
      </c>
      <c r="AC100" s="16">
        <v>20</v>
      </c>
      <c r="AD100" s="18"/>
      <c r="AE100" s="17"/>
      <c r="AF100" s="23">
        <f t="shared" si="21"/>
        <v>15</v>
      </c>
      <c r="AG100" s="16">
        <v>45</v>
      </c>
      <c r="AH100" s="23">
        <f t="shared" si="16"/>
        <v>80</v>
      </c>
      <c r="AI100" s="14">
        <f t="shared" si="17"/>
        <v>0.93</v>
      </c>
      <c r="AJ100" s="13"/>
      <c r="AK100" s="12">
        <v>0.01</v>
      </c>
      <c r="AL100" s="11">
        <f t="shared" si="18"/>
        <v>1.01</v>
      </c>
      <c r="AM100" s="10">
        <f t="shared" si="19"/>
        <v>6913280000</v>
      </c>
      <c r="AN100" s="9"/>
      <c r="AO100" s="8"/>
      <c r="AP100" s="8"/>
      <c r="AQ100" s="8"/>
      <c r="AR100" s="8"/>
      <c r="AS100" s="7"/>
      <c r="AT100" s="6">
        <f t="shared" si="20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si="12"/>
        <v>1</v>
      </c>
      <c r="O101" s="25">
        <v>15</v>
      </c>
      <c r="P101" s="23">
        <v>15</v>
      </c>
      <c r="Q101" s="24"/>
      <c r="R101" s="24"/>
      <c r="S101" s="23"/>
      <c r="T101" s="20">
        <f t="shared" si="13"/>
        <v>15</v>
      </c>
      <c r="U101" s="19">
        <f t="shared" si="11"/>
        <v>15</v>
      </c>
      <c r="V101" s="22"/>
      <c r="W101" s="22"/>
      <c r="X101" s="22"/>
      <c r="Y101" s="22"/>
      <c r="Z101" s="21"/>
      <c r="AA101" s="20">
        <f t="shared" si="14"/>
        <v>0</v>
      </c>
      <c r="AB101" s="19">
        <f t="shared" si="15"/>
        <v>0</v>
      </c>
      <c r="AC101" s="16">
        <v>20</v>
      </c>
      <c r="AD101" s="18"/>
      <c r="AE101" s="17"/>
      <c r="AF101" s="23">
        <f t="shared" si="21"/>
        <v>15</v>
      </c>
      <c r="AG101" s="16">
        <v>45</v>
      </c>
      <c r="AH101" s="23">
        <f t="shared" si="16"/>
        <v>80</v>
      </c>
      <c r="AI101" s="14">
        <f t="shared" si="17"/>
        <v>0.93</v>
      </c>
      <c r="AJ101" s="13"/>
      <c r="AK101" s="12">
        <v>0.01</v>
      </c>
      <c r="AL101" s="11">
        <f t="shared" si="18"/>
        <v>1.01</v>
      </c>
      <c r="AM101" s="10">
        <f t="shared" si="19"/>
        <v>6913280000</v>
      </c>
      <c r="AN101" s="9"/>
      <c r="AO101" s="8"/>
      <c r="AP101" s="8"/>
      <c r="AQ101" s="8"/>
      <c r="AR101" s="8"/>
      <c r="AS101" s="7"/>
      <c r="AT101" s="6">
        <f t="shared" si="20"/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12"/>
        <v>1</v>
      </c>
      <c r="O102" s="25">
        <v>15</v>
      </c>
      <c r="P102" s="23">
        <v>15</v>
      </c>
      <c r="Q102" s="24"/>
      <c r="R102" s="24"/>
      <c r="S102" s="23"/>
      <c r="T102" s="20">
        <f t="shared" si="13"/>
        <v>15</v>
      </c>
      <c r="U102" s="19">
        <f t="shared" si="11"/>
        <v>15</v>
      </c>
      <c r="V102" s="22"/>
      <c r="W102" s="22"/>
      <c r="X102" s="22"/>
      <c r="Y102" s="22"/>
      <c r="Z102" s="21"/>
      <c r="AA102" s="20">
        <f t="shared" si="14"/>
        <v>0</v>
      </c>
      <c r="AB102" s="19">
        <f t="shared" si="15"/>
        <v>0</v>
      </c>
      <c r="AC102" s="16">
        <v>20</v>
      </c>
      <c r="AD102" s="18"/>
      <c r="AE102" s="17"/>
      <c r="AF102" s="23">
        <f t="shared" si="21"/>
        <v>15</v>
      </c>
      <c r="AG102" s="16">
        <v>45</v>
      </c>
      <c r="AH102" s="23">
        <f t="shared" si="16"/>
        <v>80</v>
      </c>
      <c r="AI102" s="14">
        <f t="shared" si="17"/>
        <v>0.93</v>
      </c>
      <c r="AJ102" s="13"/>
      <c r="AK102" s="12">
        <v>0.01</v>
      </c>
      <c r="AL102" s="11">
        <f t="shared" si="18"/>
        <v>1.01</v>
      </c>
      <c r="AM102" s="10">
        <f t="shared" si="19"/>
        <v>6913280000</v>
      </c>
      <c r="AN102" s="9"/>
      <c r="AO102" s="8"/>
      <c r="AP102" s="8"/>
      <c r="AQ102" s="8"/>
      <c r="AR102" s="8"/>
      <c r="AS102" s="7"/>
      <c r="AT102" s="6">
        <f t="shared" si="20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12"/>
        <v>1</v>
      </c>
      <c r="O103" s="25">
        <v>15</v>
      </c>
      <c r="P103" s="23">
        <v>15</v>
      </c>
      <c r="Q103" s="24"/>
      <c r="R103" s="24"/>
      <c r="S103" s="23"/>
      <c r="T103" s="20">
        <f t="shared" si="13"/>
        <v>15</v>
      </c>
      <c r="U103" s="19">
        <f t="shared" si="11"/>
        <v>15</v>
      </c>
      <c r="V103" s="22"/>
      <c r="W103" s="22"/>
      <c r="X103" s="22"/>
      <c r="Y103" s="22"/>
      <c r="Z103" s="21"/>
      <c r="AA103" s="20">
        <f t="shared" si="14"/>
        <v>0</v>
      </c>
      <c r="AB103" s="19">
        <f t="shared" si="15"/>
        <v>0</v>
      </c>
      <c r="AC103" s="16">
        <v>20</v>
      </c>
      <c r="AD103" s="18"/>
      <c r="AE103" s="17"/>
      <c r="AF103" s="23">
        <f t="shared" si="21"/>
        <v>15</v>
      </c>
      <c r="AG103" s="16">
        <v>45</v>
      </c>
      <c r="AH103" s="23">
        <f t="shared" si="16"/>
        <v>80</v>
      </c>
      <c r="AI103" s="14">
        <f t="shared" si="17"/>
        <v>0.93</v>
      </c>
      <c r="AJ103" s="13"/>
      <c r="AK103" s="12">
        <v>0.01</v>
      </c>
      <c r="AL103" s="11">
        <f t="shared" si="18"/>
        <v>1.01</v>
      </c>
      <c r="AM103" s="10">
        <f t="shared" si="19"/>
        <v>6913280000</v>
      </c>
      <c r="AN103" s="9"/>
      <c r="AO103" s="8"/>
      <c r="AP103" s="8"/>
      <c r="AQ103" s="8"/>
      <c r="AR103" s="8"/>
      <c r="AS103" s="7"/>
      <c r="AT103" s="6">
        <f t="shared" si="20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12"/>
        <v>1</v>
      </c>
      <c r="O104" s="25">
        <v>15</v>
      </c>
      <c r="P104" s="23">
        <v>15</v>
      </c>
      <c r="Q104" s="24"/>
      <c r="R104" s="24"/>
      <c r="S104" s="23"/>
      <c r="T104" s="20">
        <f t="shared" si="13"/>
        <v>15</v>
      </c>
      <c r="U104" s="19">
        <f t="shared" si="11"/>
        <v>15</v>
      </c>
      <c r="V104" s="22"/>
      <c r="W104" s="22"/>
      <c r="X104" s="22"/>
      <c r="Y104" s="22"/>
      <c r="Z104" s="21"/>
      <c r="AA104" s="20">
        <f t="shared" si="14"/>
        <v>0</v>
      </c>
      <c r="AB104" s="19">
        <f t="shared" si="15"/>
        <v>0</v>
      </c>
      <c r="AC104" s="16">
        <v>20</v>
      </c>
      <c r="AD104" s="18"/>
      <c r="AE104" s="17"/>
      <c r="AF104" s="23">
        <f t="shared" si="21"/>
        <v>15</v>
      </c>
      <c r="AG104" s="16">
        <v>45</v>
      </c>
      <c r="AH104" s="23">
        <f t="shared" si="16"/>
        <v>80</v>
      </c>
      <c r="AI104" s="14">
        <f t="shared" si="17"/>
        <v>0.93</v>
      </c>
      <c r="AJ104" s="13"/>
      <c r="AK104" s="12">
        <v>0.01</v>
      </c>
      <c r="AL104" s="11">
        <f t="shared" si="18"/>
        <v>1.01</v>
      </c>
      <c r="AM104" s="10">
        <f t="shared" si="19"/>
        <v>6913280000</v>
      </c>
      <c r="AN104" s="9"/>
      <c r="AO104" s="8"/>
      <c r="AP104" s="8"/>
      <c r="AQ104" s="8"/>
      <c r="AR104" s="8"/>
      <c r="AS104" s="7"/>
      <c r="AT104" s="6">
        <f t="shared" si="20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12"/>
        <v>1</v>
      </c>
      <c r="O105" s="25">
        <v>15</v>
      </c>
      <c r="P105" s="23">
        <v>15</v>
      </c>
      <c r="Q105" s="24"/>
      <c r="R105" s="24"/>
      <c r="S105" s="23"/>
      <c r="T105" s="20">
        <f t="shared" si="13"/>
        <v>15</v>
      </c>
      <c r="U105" s="19">
        <f t="shared" si="11"/>
        <v>15</v>
      </c>
      <c r="V105" s="22"/>
      <c r="W105" s="22"/>
      <c r="X105" s="22"/>
      <c r="Y105" s="22"/>
      <c r="Z105" s="21"/>
      <c r="AA105" s="20">
        <f t="shared" si="14"/>
        <v>0</v>
      </c>
      <c r="AB105" s="19">
        <f t="shared" si="15"/>
        <v>0</v>
      </c>
      <c r="AC105" s="16">
        <v>20</v>
      </c>
      <c r="AD105" s="18"/>
      <c r="AE105" s="17"/>
      <c r="AF105" s="23">
        <f t="shared" si="21"/>
        <v>15</v>
      </c>
      <c r="AG105" s="16">
        <v>45</v>
      </c>
      <c r="AH105" s="23">
        <f t="shared" si="16"/>
        <v>80</v>
      </c>
      <c r="AI105" s="14">
        <f t="shared" si="17"/>
        <v>0.93</v>
      </c>
      <c r="AJ105" s="13"/>
      <c r="AK105" s="12">
        <v>0.01</v>
      </c>
      <c r="AL105" s="11">
        <f t="shared" si="18"/>
        <v>1.01</v>
      </c>
      <c r="AM105" s="10">
        <f t="shared" si="19"/>
        <v>6913280000</v>
      </c>
      <c r="AN105" s="9"/>
      <c r="AO105" s="8"/>
      <c r="AP105" s="8"/>
      <c r="AQ105" s="8"/>
      <c r="AR105" s="8"/>
      <c r="AS105" s="7"/>
      <c r="AT105" s="6">
        <f t="shared" si="20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12"/>
        <v>1</v>
      </c>
      <c r="O106" s="25">
        <v>15</v>
      </c>
      <c r="P106" s="23">
        <v>15</v>
      </c>
      <c r="Q106" s="24"/>
      <c r="R106" s="24"/>
      <c r="S106" s="23"/>
      <c r="T106" s="20">
        <f t="shared" si="13"/>
        <v>15</v>
      </c>
      <c r="U106" s="19">
        <f t="shared" si="11"/>
        <v>15</v>
      </c>
      <c r="V106" s="22"/>
      <c r="W106" s="22"/>
      <c r="X106" s="22"/>
      <c r="Y106" s="22"/>
      <c r="Z106" s="21"/>
      <c r="AA106" s="20">
        <f t="shared" si="14"/>
        <v>0</v>
      </c>
      <c r="AB106" s="19">
        <f t="shared" si="15"/>
        <v>0</v>
      </c>
      <c r="AC106" s="16">
        <v>20</v>
      </c>
      <c r="AD106" s="18"/>
      <c r="AE106" s="17"/>
      <c r="AF106" s="23">
        <f t="shared" si="21"/>
        <v>15</v>
      </c>
      <c r="AG106" s="16">
        <v>45</v>
      </c>
      <c r="AH106" s="23">
        <f t="shared" si="16"/>
        <v>80</v>
      </c>
      <c r="AI106" s="14">
        <f t="shared" si="17"/>
        <v>0.93</v>
      </c>
      <c r="AJ106" s="13"/>
      <c r="AK106" s="12">
        <v>0.01</v>
      </c>
      <c r="AL106" s="11">
        <f t="shared" si="18"/>
        <v>1.01</v>
      </c>
      <c r="AM106" s="10">
        <f t="shared" si="19"/>
        <v>6913280000</v>
      </c>
      <c r="AN106" s="9"/>
      <c r="AO106" s="8"/>
      <c r="AP106" s="8"/>
      <c r="AQ106" s="8"/>
      <c r="AR106" s="8"/>
      <c r="AS106" s="7"/>
      <c r="AT106" s="6">
        <f t="shared" si="20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12"/>
        <v>1</v>
      </c>
      <c r="O107" s="25">
        <v>15</v>
      </c>
      <c r="P107" s="23">
        <v>15</v>
      </c>
      <c r="Q107" s="24"/>
      <c r="R107" s="24"/>
      <c r="S107" s="23"/>
      <c r="T107" s="20">
        <f t="shared" si="13"/>
        <v>15</v>
      </c>
      <c r="U107" s="19">
        <f t="shared" ref="U107:U140" si="22">IF(T107&gt;=15,15,T107)</f>
        <v>15</v>
      </c>
      <c r="V107" s="22"/>
      <c r="W107" s="22"/>
      <c r="X107" s="22"/>
      <c r="Y107" s="22"/>
      <c r="Z107" s="21"/>
      <c r="AA107" s="20">
        <f t="shared" si="14"/>
        <v>0</v>
      </c>
      <c r="AB107" s="19">
        <f t="shared" si="15"/>
        <v>0</v>
      </c>
      <c r="AC107" s="16">
        <v>20</v>
      </c>
      <c r="AD107" s="18"/>
      <c r="AE107" s="17"/>
      <c r="AF107" s="23">
        <f t="shared" si="21"/>
        <v>15</v>
      </c>
      <c r="AG107" s="16">
        <v>45</v>
      </c>
      <c r="AH107" s="23">
        <f t="shared" si="16"/>
        <v>80</v>
      </c>
      <c r="AI107" s="14">
        <f t="shared" si="17"/>
        <v>0.93</v>
      </c>
      <c r="AJ107" s="13"/>
      <c r="AK107" s="12">
        <v>0.01</v>
      </c>
      <c r="AL107" s="11">
        <f t="shared" si="18"/>
        <v>1.01</v>
      </c>
      <c r="AM107" s="10">
        <f t="shared" si="19"/>
        <v>6913280000</v>
      </c>
      <c r="AN107" s="9"/>
      <c r="AO107" s="8"/>
      <c r="AP107" s="8"/>
      <c r="AQ107" s="8"/>
      <c r="AR107" s="8"/>
      <c r="AS107" s="7"/>
      <c r="AT107" s="6">
        <f t="shared" si="20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12"/>
        <v>1</v>
      </c>
      <c r="O108" s="25">
        <v>15</v>
      </c>
      <c r="P108" s="23">
        <v>15</v>
      </c>
      <c r="Q108" s="24"/>
      <c r="R108" s="24"/>
      <c r="S108" s="23"/>
      <c r="T108" s="20">
        <f t="shared" si="13"/>
        <v>15</v>
      </c>
      <c r="U108" s="19">
        <f t="shared" si="22"/>
        <v>15</v>
      </c>
      <c r="V108" s="22"/>
      <c r="W108" s="22"/>
      <c r="X108" s="22"/>
      <c r="Y108" s="22"/>
      <c r="Z108" s="21"/>
      <c r="AA108" s="20">
        <f t="shared" si="14"/>
        <v>0</v>
      </c>
      <c r="AB108" s="19">
        <f t="shared" si="15"/>
        <v>0</v>
      </c>
      <c r="AC108" s="16">
        <v>20</v>
      </c>
      <c r="AD108" s="18"/>
      <c r="AE108" s="17"/>
      <c r="AF108" s="23">
        <f t="shared" si="21"/>
        <v>15</v>
      </c>
      <c r="AG108" s="16">
        <v>45</v>
      </c>
      <c r="AH108" s="23">
        <f t="shared" si="16"/>
        <v>80</v>
      </c>
      <c r="AI108" s="14">
        <f t="shared" si="17"/>
        <v>0.93</v>
      </c>
      <c r="AJ108" s="13"/>
      <c r="AK108" s="12">
        <v>0.01</v>
      </c>
      <c r="AL108" s="11">
        <f t="shared" si="18"/>
        <v>1.01</v>
      </c>
      <c r="AM108" s="10">
        <f t="shared" si="19"/>
        <v>6913280000</v>
      </c>
      <c r="AN108" s="9"/>
      <c r="AO108" s="8"/>
      <c r="AP108" s="8"/>
      <c r="AQ108" s="8"/>
      <c r="AR108" s="8"/>
      <c r="AS108" s="7"/>
      <c r="AT108" s="6">
        <f t="shared" si="20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12"/>
        <v>1</v>
      </c>
      <c r="O109" s="25">
        <v>15</v>
      </c>
      <c r="P109" s="23">
        <v>15</v>
      </c>
      <c r="Q109" s="24"/>
      <c r="R109" s="24"/>
      <c r="S109" s="23"/>
      <c r="T109" s="20">
        <f t="shared" si="13"/>
        <v>15</v>
      </c>
      <c r="U109" s="19">
        <f t="shared" si="22"/>
        <v>15</v>
      </c>
      <c r="V109" s="22"/>
      <c r="W109" s="22"/>
      <c r="X109" s="22"/>
      <c r="Y109" s="22"/>
      <c r="Z109" s="21"/>
      <c r="AA109" s="20">
        <f t="shared" si="14"/>
        <v>0</v>
      </c>
      <c r="AB109" s="19">
        <f t="shared" si="15"/>
        <v>0</v>
      </c>
      <c r="AC109" s="16">
        <v>20</v>
      </c>
      <c r="AD109" s="18"/>
      <c r="AE109" s="17"/>
      <c r="AF109" s="23">
        <f t="shared" si="21"/>
        <v>15</v>
      </c>
      <c r="AG109" s="16">
        <v>45</v>
      </c>
      <c r="AH109" s="23">
        <f t="shared" si="16"/>
        <v>80</v>
      </c>
      <c r="AI109" s="14">
        <f t="shared" si="17"/>
        <v>0.93</v>
      </c>
      <c r="AJ109" s="13"/>
      <c r="AK109" s="12">
        <v>0.01</v>
      </c>
      <c r="AL109" s="11">
        <f t="shared" si="18"/>
        <v>1.01</v>
      </c>
      <c r="AM109" s="10">
        <f t="shared" si="19"/>
        <v>6913280000</v>
      </c>
      <c r="AN109" s="9"/>
      <c r="AO109" s="8"/>
      <c r="AP109" s="8"/>
      <c r="AQ109" s="8"/>
      <c r="AR109" s="8"/>
      <c r="AS109" s="7"/>
      <c r="AT109" s="6">
        <f t="shared" si="20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12"/>
        <v>1</v>
      </c>
      <c r="O110" s="25">
        <v>15</v>
      </c>
      <c r="P110" s="23">
        <v>15</v>
      </c>
      <c r="Q110" s="24"/>
      <c r="R110" s="24"/>
      <c r="S110" s="23"/>
      <c r="T110" s="20">
        <f t="shared" si="13"/>
        <v>15</v>
      </c>
      <c r="U110" s="19">
        <f t="shared" si="22"/>
        <v>15</v>
      </c>
      <c r="V110" s="22"/>
      <c r="W110" s="22"/>
      <c r="X110" s="22"/>
      <c r="Y110" s="22"/>
      <c r="Z110" s="21"/>
      <c r="AA110" s="20">
        <f t="shared" si="14"/>
        <v>0</v>
      </c>
      <c r="AB110" s="19">
        <f t="shared" si="15"/>
        <v>0</v>
      </c>
      <c r="AC110" s="16">
        <v>20</v>
      </c>
      <c r="AD110" s="18"/>
      <c r="AE110" s="17"/>
      <c r="AF110" s="23">
        <f t="shared" si="21"/>
        <v>15</v>
      </c>
      <c r="AG110" s="16">
        <v>45</v>
      </c>
      <c r="AH110" s="23">
        <f t="shared" si="16"/>
        <v>80</v>
      </c>
      <c r="AI110" s="14">
        <f t="shared" si="17"/>
        <v>0.93</v>
      </c>
      <c r="AJ110" s="13"/>
      <c r="AK110" s="12">
        <v>0.01</v>
      </c>
      <c r="AL110" s="11">
        <f t="shared" si="18"/>
        <v>1.01</v>
      </c>
      <c r="AM110" s="10">
        <f t="shared" si="19"/>
        <v>6913280000</v>
      </c>
      <c r="AN110" s="9"/>
      <c r="AO110" s="8"/>
      <c r="AP110" s="8"/>
      <c r="AQ110" s="8"/>
      <c r="AR110" s="8"/>
      <c r="AS110" s="7"/>
      <c r="AT110" s="6">
        <f t="shared" si="20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12"/>
        <v>1</v>
      </c>
      <c r="O111" s="25">
        <v>15</v>
      </c>
      <c r="P111" s="23">
        <v>15</v>
      </c>
      <c r="Q111" s="24"/>
      <c r="R111" s="24"/>
      <c r="S111" s="23"/>
      <c r="T111" s="20">
        <f t="shared" si="13"/>
        <v>15</v>
      </c>
      <c r="U111" s="19">
        <f t="shared" si="22"/>
        <v>15</v>
      </c>
      <c r="V111" s="22"/>
      <c r="W111" s="22"/>
      <c r="X111" s="22"/>
      <c r="Y111" s="22"/>
      <c r="Z111" s="21"/>
      <c r="AA111" s="20">
        <f t="shared" si="14"/>
        <v>0</v>
      </c>
      <c r="AB111" s="19">
        <f t="shared" si="15"/>
        <v>0</v>
      </c>
      <c r="AC111" s="16">
        <v>20</v>
      </c>
      <c r="AD111" s="18"/>
      <c r="AE111" s="17"/>
      <c r="AF111" s="23">
        <f t="shared" si="21"/>
        <v>15</v>
      </c>
      <c r="AG111" s="16">
        <v>45</v>
      </c>
      <c r="AH111" s="23">
        <f t="shared" si="16"/>
        <v>80</v>
      </c>
      <c r="AI111" s="14">
        <f t="shared" si="17"/>
        <v>0.93</v>
      </c>
      <c r="AJ111" s="13"/>
      <c r="AK111" s="12">
        <v>0.01</v>
      </c>
      <c r="AL111" s="11">
        <f t="shared" si="18"/>
        <v>1.01</v>
      </c>
      <c r="AM111" s="10">
        <f t="shared" si="19"/>
        <v>6913280000</v>
      </c>
      <c r="AN111" s="9"/>
      <c r="AO111" s="8"/>
      <c r="AP111" s="8"/>
      <c r="AQ111" s="8"/>
      <c r="AR111" s="8"/>
      <c r="AS111" s="7"/>
      <c r="AT111" s="6">
        <f t="shared" si="20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12"/>
        <v>1</v>
      </c>
      <c r="O112" s="25">
        <v>15</v>
      </c>
      <c r="P112" s="23">
        <v>15</v>
      </c>
      <c r="Q112" s="24"/>
      <c r="R112" s="24"/>
      <c r="S112" s="23"/>
      <c r="T112" s="20">
        <f t="shared" si="13"/>
        <v>15</v>
      </c>
      <c r="U112" s="19">
        <f t="shared" si="22"/>
        <v>15</v>
      </c>
      <c r="V112" s="22"/>
      <c r="W112" s="22"/>
      <c r="X112" s="22"/>
      <c r="Y112" s="22"/>
      <c r="Z112" s="21"/>
      <c r="AA112" s="20">
        <f t="shared" si="14"/>
        <v>0</v>
      </c>
      <c r="AB112" s="19">
        <f t="shared" si="15"/>
        <v>0</v>
      </c>
      <c r="AC112" s="16">
        <v>20</v>
      </c>
      <c r="AD112" s="18"/>
      <c r="AE112" s="17"/>
      <c r="AF112" s="23">
        <f t="shared" si="21"/>
        <v>15</v>
      </c>
      <c r="AG112" s="16">
        <v>45</v>
      </c>
      <c r="AH112" s="23">
        <f t="shared" si="16"/>
        <v>80</v>
      </c>
      <c r="AI112" s="14">
        <f t="shared" si="17"/>
        <v>0.93</v>
      </c>
      <c r="AJ112" s="13"/>
      <c r="AK112" s="12">
        <v>0.01</v>
      </c>
      <c r="AL112" s="11">
        <f t="shared" si="18"/>
        <v>1.01</v>
      </c>
      <c r="AM112" s="10">
        <f t="shared" si="19"/>
        <v>6913280000</v>
      </c>
      <c r="AN112" s="9"/>
      <c r="AO112" s="8"/>
      <c r="AP112" s="8"/>
      <c r="AQ112" s="8"/>
      <c r="AR112" s="8"/>
      <c r="AS112" s="7"/>
      <c r="AT112" s="6">
        <f t="shared" si="20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12"/>
        <v>1</v>
      </c>
      <c r="O113" s="25">
        <v>15</v>
      </c>
      <c r="P113" s="23">
        <v>15</v>
      </c>
      <c r="Q113" s="24"/>
      <c r="R113" s="24"/>
      <c r="S113" s="23"/>
      <c r="T113" s="20">
        <f t="shared" si="13"/>
        <v>15</v>
      </c>
      <c r="U113" s="19">
        <f t="shared" si="22"/>
        <v>15</v>
      </c>
      <c r="V113" s="22"/>
      <c r="W113" s="22"/>
      <c r="X113" s="22"/>
      <c r="Y113" s="22"/>
      <c r="Z113" s="21"/>
      <c r="AA113" s="20">
        <f t="shared" si="14"/>
        <v>0</v>
      </c>
      <c r="AB113" s="19">
        <f t="shared" si="15"/>
        <v>0</v>
      </c>
      <c r="AC113" s="16">
        <v>20</v>
      </c>
      <c r="AD113" s="18"/>
      <c r="AE113" s="17"/>
      <c r="AF113" s="23">
        <f t="shared" si="21"/>
        <v>15</v>
      </c>
      <c r="AG113" s="16">
        <v>45</v>
      </c>
      <c r="AH113" s="23">
        <f t="shared" si="16"/>
        <v>80</v>
      </c>
      <c r="AI113" s="14">
        <f t="shared" si="17"/>
        <v>0.93</v>
      </c>
      <c r="AJ113" s="13"/>
      <c r="AK113" s="12">
        <v>0.01</v>
      </c>
      <c r="AL113" s="11">
        <f t="shared" si="18"/>
        <v>1.01</v>
      </c>
      <c r="AM113" s="10">
        <f t="shared" si="19"/>
        <v>6913280000</v>
      </c>
      <c r="AN113" s="9"/>
      <c r="AO113" s="8"/>
      <c r="AP113" s="8"/>
      <c r="AQ113" s="8"/>
      <c r="AR113" s="8"/>
      <c r="AS113" s="7"/>
      <c r="AT113" s="6">
        <f t="shared" si="20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12"/>
        <v>1</v>
      </c>
      <c r="O114" s="25">
        <v>15</v>
      </c>
      <c r="P114" s="23">
        <v>15</v>
      </c>
      <c r="Q114" s="24"/>
      <c r="R114" s="24"/>
      <c r="S114" s="23"/>
      <c r="T114" s="20">
        <f t="shared" si="13"/>
        <v>15</v>
      </c>
      <c r="U114" s="19">
        <f t="shared" si="22"/>
        <v>15</v>
      </c>
      <c r="V114" s="22"/>
      <c r="W114" s="22"/>
      <c r="X114" s="22"/>
      <c r="Y114" s="22"/>
      <c r="Z114" s="21"/>
      <c r="AA114" s="20">
        <f t="shared" si="14"/>
        <v>0</v>
      </c>
      <c r="AB114" s="19">
        <f t="shared" si="15"/>
        <v>0</v>
      </c>
      <c r="AC114" s="16">
        <v>20</v>
      </c>
      <c r="AD114" s="18"/>
      <c r="AE114" s="17"/>
      <c r="AF114" s="23">
        <f t="shared" si="21"/>
        <v>15</v>
      </c>
      <c r="AG114" s="16">
        <v>45</v>
      </c>
      <c r="AH114" s="23">
        <f t="shared" si="16"/>
        <v>80</v>
      </c>
      <c r="AI114" s="14">
        <f t="shared" si="17"/>
        <v>0.93</v>
      </c>
      <c r="AJ114" s="13"/>
      <c r="AK114" s="12">
        <v>0.01</v>
      </c>
      <c r="AL114" s="11">
        <f t="shared" si="18"/>
        <v>1.01</v>
      </c>
      <c r="AM114" s="10">
        <f t="shared" si="19"/>
        <v>6913280000</v>
      </c>
      <c r="AN114" s="9"/>
      <c r="AO114" s="8"/>
      <c r="AP114" s="8"/>
      <c r="AQ114" s="8"/>
      <c r="AR114" s="8"/>
      <c r="AS114" s="7"/>
      <c r="AT114" s="6">
        <f t="shared" si="20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12"/>
        <v>1</v>
      </c>
      <c r="O115" s="25">
        <v>15</v>
      </c>
      <c r="P115" s="23">
        <v>15</v>
      </c>
      <c r="Q115" s="24"/>
      <c r="R115" s="24"/>
      <c r="S115" s="23"/>
      <c r="T115" s="20">
        <f t="shared" si="13"/>
        <v>15</v>
      </c>
      <c r="U115" s="19">
        <f t="shared" si="22"/>
        <v>15</v>
      </c>
      <c r="V115" s="22"/>
      <c r="W115" s="22"/>
      <c r="X115" s="22"/>
      <c r="Y115" s="22"/>
      <c r="Z115" s="21"/>
      <c r="AA115" s="20">
        <f t="shared" si="14"/>
        <v>0</v>
      </c>
      <c r="AB115" s="19">
        <f t="shared" si="15"/>
        <v>0</v>
      </c>
      <c r="AC115" s="16">
        <v>20</v>
      </c>
      <c r="AD115" s="18"/>
      <c r="AE115" s="17"/>
      <c r="AF115" s="23">
        <f t="shared" si="21"/>
        <v>15</v>
      </c>
      <c r="AG115" s="16">
        <v>45</v>
      </c>
      <c r="AH115" s="23">
        <f t="shared" si="16"/>
        <v>80</v>
      </c>
      <c r="AI115" s="14">
        <f t="shared" si="17"/>
        <v>0.93</v>
      </c>
      <c r="AJ115" s="13"/>
      <c r="AK115" s="12">
        <v>0.01</v>
      </c>
      <c r="AL115" s="11">
        <f t="shared" si="18"/>
        <v>1.01</v>
      </c>
      <c r="AM115" s="10">
        <f t="shared" si="19"/>
        <v>6913280000</v>
      </c>
      <c r="AN115" s="9"/>
      <c r="AO115" s="8"/>
      <c r="AP115" s="8"/>
      <c r="AQ115" s="8"/>
      <c r="AR115" s="8"/>
      <c r="AS115" s="7"/>
      <c r="AT115" s="6">
        <f t="shared" si="20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12"/>
        <v>1</v>
      </c>
      <c r="O116" s="25">
        <v>15</v>
      </c>
      <c r="P116" s="23">
        <v>15</v>
      </c>
      <c r="Q116" s="24"/>
      <c r="R116" s="24"/>
      <c r="S116" s="23"/>
      <c r="T116" s="20">
        <f t="shared" si="13"/>
        <v>15</v>
      </c>
      <c r="U116" s="19">
        <f t="shared" si="22"/>
        <v>15</v>
      </c>
      <c r="V116" s="22"/>
      <c r="W116" s="22"/>
      <c r="X116" s="22"/>
      <c r="Y116" s="22"/>
      <c r="Z116" s="21"/>
      <c r="AA116" s="20">
        <f t="shared" si="14"/>
        <v>0</v>
      </c>
      <c r="AB116" s="19">
        <f t="shared" si="15"/>
        <v>0</v>
      </c>
      <c r="AC116" s="16">
        <v>20</v>
      </c>
      <c r="AD116" s="18"/>
      <c r="AE116" s="17"/>
      <c r="AF116" s="23">
        <f t="shared" si="21"/>
        <v>15</v>
      </c>
      <c r="AG116" s="16">
        <v>45</v>
      </c>
      <c r="AH116" s="23">
        <f t="shared" si="16"/>
        <v>80</v>
      </c>
      <c r="AI116" s="14">
        <f t="shared" si="17"/>
        <v>0.93</v>
      </c>
      <c r="AJ116" s="13"/>
      <c r="AK116" s="12">
        <v>0.01</v>
      </c>
      <c r="AL116" s="11">
        <f t="shared" si="18"/>
        <v>1.01</v>
      </c>
      <c r="AM116" s="10">
        <f t="shared" si="19"/>
        <v>6913280000</v>
      </c>
      <c r="AN116" s="9"/>
      <c r="AO116" s="8"/>
      <c r="AP116" s="8"/>
      <c r="AQ116" s="8"/>
      <c r="AR116" s="8"/>
      <c r="AS116" s="7"/>
      <c r="AT116" s="6">
        <f t="shared" si="20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12"/>
        <v>1</v>
      </c>
      <c r="O117" s="25">
        <v>15</v>
      </c>
      <c r="P117" s="23">
        <v>15</v>
      </c>
      <c r="Q117" s="24"/>
      <c r="R117" s="24"/>
      <c r="S117" s="23"/>
      <c r="T117" s="20">
        <f t="shared" si="13"/>
        <v>15</v>
      </c>
      <c r="U117" s="19">
        <f t="shared" si="22"/>
        <v>15</v>
      </c>
      <c r="V117" s="22"/>
      <c r="W117" s="22"/>
      <c r="X117" s="22"/>
      <c r="Y117" s="22"/>
      <c r="Z117" s="21"/>
      <c r="AA117" s="20">
        <f t="shared" si="14"/>
        <v>0</v>
      </c>
      <c r="AB117" s="19">
        <f t="shared" si="15"/>
        <v>0</v>
      </c>
      <c r="AC117" s="16">
        <v>20</v>
      </c>
      <c r="AD117" s="18"/>
      <c r="AE117" s="17"/>
      <c r="AF117" s="23">
        <f t="shared" si="21"/>
        <v>15</v>
      </c>
      <c r="AG117" s="16">
        <v>45</v>
      </c>
      <c r="AH117" s="23">
        <f t="shared" si="16"/>
        <v>80</v>
      </c>
      <c r="AI117" s="14">
        <f t="shared" si="17"/>
        <v>0.93</v>
      </c>
      <c r="AJ117" s="13"/>
      <c r="AK117" s="12">
        <v>0.01</v>
      </c>
      <c r="AL117" s="11">
        <f t="shared" si="18"/>
        <v>1.01</v>
      </c>
      <c r="AM117" s="10">
        <f t="shared" si="19"/>
        <v>6913280000</v>
      </c>
      <c r="AN117" s="9"/>
      <c r="AO117" s="8"/>
      <c r="AP117" s="8"/>
      <c r="AQ117" s="8"/>
      <c r="AR117" s="8"/>
      <c r="AS117" s="7"/>
      <c r="AT117" s="6">
        <f t="shared" si="20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12"/>
        <v>1</v>
      </c>
      <c r="O118" s="25">
        <v>15</v>
      </c>
      <c r="P118" s="23">
        <v>15</v>
      </c>
      <c r="Q118" s="24"/>
      <c r="R118" s="24"/>
      <c r="S118" s="23"/>
      <c r="T118" s="20">
        <f t="shared" si="13"/>
        <v>15</v>
      </c>
      <c r="U118" s="19">
        <f t="shared" si="22"/>
        <v>15</v>
      </c>
      <c r="V118" s="22"/>
      <c r="W118" s="22"/>
      <c r="X118" s="22"/>
      <c r="Y118" s="22"/>
      <c r="Z118" s="21"/>
      <c r="AA118" s="20">
        <f t="shared" si="14"/>
        <v>0</v>
      </c>
      <c r="AB118" s="19">
        <f t="shared" si="15"/>
        <v>0</v>
      </c>
      <c r="AC118" s="16">
        <v>20</v>
      </c>
      <c r="AD118" s="18"/>
      <c r="AE118" s="17"/>
      <c r="AF118" s="23">
        <f t="shared" si="21"/>
        <v>15</v>
      </c>
      <c r="AG118" s="16">
        <v>45</v>
      </c>
      <c r="AH118" s="23">
        <f t="shared" si="16"/>
        <v>80</v>
      </c>
      <c r="AI118" s="14">
        <f t="shared" si="17"/>
        <v>0.93</v>
      </c>
      <c r="AJ118" s="13"/>
      <c r="AK118" s="12">
        <v>0.01</v>
      </c>
      <c r="AL118" s="11">
        <f t="shared" si="18"/>
        <v>1.01</v>
      </c>
      <c r="AM118" s="10">
        <f t="shared" si="19"/>
        <v>6913280000</v>
      </c>
      <c r="AN118" s="9"/>
      <c r="AO118" s="8"/>
      <c r="AP118" s="8"/>
      <c r="AQ118" s="8"/>
      <c r="AR118" s="8"/>
      <c r="AS118" s="7"/>
      <c r="AT118" s="6">
        <f t="shared" si="20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12"/>
        <v>1</v>
      </c>
      <c r="O119" s="25">
        <v>15</v>
      </c>
      <c r="P119" s="23">
        <v>15</v>
      </c>
      <c r="Q119" s="24"/>
      <c r="R119" s="24"/>
      <c r="S119" s="23"/>
      <c r="T119" s="20">
        <f t="shared" si="13"/>
        <v>15</v>
      </c>
      <c r="U119" s="19">
        <f t="shared" si="22"/>
        <v>15</v>
      </c>
      <c r="V119" s="22"/>
      <c r="W119" s="22"/>
      <c r="X119" s="22"/>
      <c r="Y119" s="22"/>
      <c r="Z119" s="21"/>
      <c r="AA119" s="20">
        <f t="shared" si="14"/>
        <v>0</v>
      </c>
      <c r="AB119" s="19">
        <f t="shared" si="15"/>
        <v>0</v>
      </c>
      <c r="AC119" s="16">
        <v>20</v>
      </c>
      <c r="AD119" s="18"/>
      <c r="AE119" s="17"/>
      <c r="AF119" s="23">
        <f t="shared" si="21"/>
        <v>15</v>
      </c>
      <c r="AG119" s="16">
        <v>45</v>
      </c>
      <c r="AH119" s="23">
        <f t="shared" si="16"/>
        <v>80</v>
      </c>
      <c r="AI119" s="14">
        <f t="shared" si="17"/>
        <v>0.93</v>
      </c>
      <c r="AJ119" s="13"/>
      <c r="AK119" s="12">
        <v>0.01</v>
      </c>
      <c r="AL119" s="11">
        <f t="shared" si="18"/>
        <v>1.01</v>
      </c>
      <c r="AM119" s="10">
        <f t="shared" si="19"/>
        <v>6913280000</v>
      </c>
      <c r="AN119" s="9"/>
      <c r="AO119" s="8"/>
      <c r="AP119" s="8"/>
      <c r="AQ119" s="8"/>
      <c r="AR119" s="8"/>
      <c r="AS119" s="7"/>
      <c r="AT119" s="6">
        <f t="shared" si="20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12"/>
        <v>1</v>
      </c>
      <c r="O120" s="25">
        <v>15</v>
      </c>
      <c r="P120" s="23">
        <v>15</v>
      </c>
      <c r="Q120" s="24"/>
      <c r="R120" s="24"/>
      <c r="S120" s="23"/>
      <c r="T120" s="20">
        <f t="shared" si="13"/>
        <v>15</v>
      </c>
      <c r="U120" s="19">
        <f t="shared" si="22"/>
        <v>15</v>
      </c>
      <c r="V120" s="22"/>
      <c r="W120" s="22"/>
      <c r="X120" s="22"/>
      <c r="Y120" s="22"/>
      <c r="Z120" s="21"/>
      <c r="AA120" s="20">
        <f t="shared" si="14"/>
        <v>0</v>
      </c>
      <c r="AB120" s="19">
        <f t="shared" si="15"/>
        <v>0</v>
      </c>
      <c r="AC120" s="16">
        <v>20</v>
      </c>
      <c r="AD120" s="18"/>
      <c r="AE120" s="17"/>
      <c r="AF120" s="23">
        <f t="shared" si="21"/>
        <v>15</v>
      </c>
      <c r="AG120" s="16">
        <v>45</v>
      </c>
      <c r="AH120" s="23">
        <f t="shared" si="16"/>
        <v>80</v>
      </c>
      <c r="AI120" s="14">
        <f t="shared" si="17"/>
        <v>0.93</v>
      </c>
      <c r="AJ120" s="13"/>
      <c r="AK120" s="12">
        <v>0.01</v>
      </c>
      <c r="AL120" s="11">
        <f t="shared" si="18"/>
        <v>1.01</v>
      </c>
      <c r="AM120" s="10">
        <f t="shared" si="19"/>
        <v>6913280000</v>
      </c>
      <c r="AN120" s="9"/>
      <c r="AO120" s="8"/>
      <c r="AP120" s="8"/>
      <c r="AQ120" s="8"/>
      <c r="AR120" s="8"/>
      <c r="AS120" s="7"/>
      <c r="AT120" s="6">
        <f t="shared" si="20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12"/>
        <v>1</v>
      </c>
      <c r="O121" s="25">
        <v>15</v>
      </c>
      <c r="P121" s="23">
        <v>15</v>
      </c>
      <c r="Q121" s="24"/>
      <c r="R121" s="24"/>
      <c r="S121" s="23"/>
      <c r="T121" s="20">
        <f t="shared" si="13"/>
        <v>15</v>
      </c>
      <c r="U121" s="19">
        <f t="shared" si="22"/>
        <v>15</v>
      </c>
      <c r="V121" s="22"/>
      <c r="W121" s="22"/>
      <c r="X121" s="22"/>
      <c r="Y121" s="22"/>
      <c r="Z121" s="21"/>
      <c r="AA121" s="20">
        <f t="shared" si="14"/>
        <v>0</v>
      </c>
      <c r="AB121" s="19">
        <f t="shared" si="15"/>
        <v>0</v>
      </c>
      <c r="AC121" s="16">
        <v>20</v>
      </c>
      <c r="AD121" s="18"/>
      <c r="AE121" s="17"/>
      <c r="AF121" s="23">
        <f t="shared" si="21"/>
        <v>15</v>
      </c>
      <c r="AG121" s="16">
        <v>45</v>
      </c>
      <c r="AH121" s="23">
        <f t="shared" si="16"/>
        <v>80</v>
      </c>
      <c r="AI121" s="14">
        <f t="shared" si="17"/>
        <v>0.93</v>
      </c>
      <c r="AJ121" s="13"/>
      <c r="AK121" s="12">
        <v>0.01</v>
      </c>
      <c r="AL121" s="11">
        <f t="shared" si="18"/>
        <v>1.01</v>
      </c>
      <c r="AM121" s="10">
        <f t="shared" si="19"/>
        <v>6913280000</v>
      </c>
      <c r="AN121" s="9"/>
      <c r="AO121" s="8"/>
      <c r="AP121" s="8"/>
      <c r="AQ121" s="8"/>
      <c r="AR121" s="8"/>
      <c r="AS121" s="7"/>
      <c r="AT121" s="6">
        <f t="shared" si="20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12"/>
        <v>1</v>
      </c>
      <c r="O122" s="25">
        <v>15</v>
      </c>
      <c r="P122" s="23">
        <v>15</v>
      </c>
      <c r="Q122" s="24"/>
      <c r="R122" s="24"/>
      <c r="S122" s="23"/>
      <c r="T122" s="20">
        <f t="shared" si="13"/>
        <v>15</v>
      </c>
      <c r="U122" s="19">
        <f t="shared" si="22"/>
        <v>15</v>
      </c>
      <c r="V122" s="22"/>
      <c r="W122" s="22"/>
      <c r="X122" s="22"/>
      <c r="Y122" s="22"/>
      <c r="Z122" s="21"/>
      <c r="AA122" s="20">
        <f t="shared" si="14"/>
        <v>0</v>
      </c>
      <c r="AB122" s="19">
        <f t="shared" si="15"/>
        <v>0</v>
      </c>
      <c r="AC122" s="16">
        <v>20</v>
      </c>
      <c r="AD122" s="18"/>
      <c r="AE122" s="17"/>
      <c r="AF122" s="23">
        <f t="shared" si="21"/>
        <v>15</v>
      </c>
      <c r="AG122" s="16">
        <v>45</v>
      </c>
      <c r="AH122" s="23">
        <f t="shared" si="16"/>
        <v>80</v>
      </c>
      <c r="AI122" s="14">
        <f t="shared" si="17"/>
        <v>0.93</v>
      </c>
      <c r="AJ122" s="13"/>
      <c r="AK122" s="12">
        <v>0.01</v>
      </c>
      <c r="AL122" s="11">
        <f t="shared" si="18"/>
        <v>1.01</v>
      </c>
      <c r="AM122" s="10">
        <f t="shared" si="19"/>
        <v>6913280000</v>
      </c>
      <c r="AN122" s="9"/>
      <c r="AO122" s="8"/>
      <c r="AP122" s="8"/>
      <c r="AQ122" s="8"/>
      <c r="AR122" s="8"/>
      <c r="AS122" s="7"/>
      <c r="AT122" s="6">
        <f t="shared" si="20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12"/>
        <v>1</v>
      </c>
      <c r="O123" s="25">
        <v>15</v>
      </c>
      <c r="P123" s="23">
        <v>15</v>
      </c>
      <c r="Q123" s="24"/>
      <c r="R123" s="24"/>
      <c r="S123" s="23"/>
      <c r="T123" s="20">
        <f t="shared" si="13"/>
        <v>15</v>
      </c>
      <c r="U123" s="19">
        <f t="shared" si="22"/>
        <v>15</v>
      </c>
      <c r="V123" s="22"/>
      <c r="W123" s="22"/>
      <c r="X123" s="22"/>
      <c r="Y123" s="22"/>
      <c r="Z123" s="21"/>
      <c r="AA123" s="20">
        <f t="shared" si="14"/>
        <v>0</v>
      </c>
      <c r="AB123" s="19">
        <f t="shared" si="15"/>
        <v>0</v>
      </c>
      <c r="AC123" s="16">
        <v>20</v>
      </c>
      <c r="AD123" s="18"/>
      <c r="AE123" s="17"/>
      <c r="AF123" s="23">
        <f t="shared" si="21"/>
        <v>15</v>
      </c>
      <c r="AG123" s="16">
        <v>45</v>
      </c>
      <c r="AH123" s="23">
        <f t="shared" si="16"/>
        <v>80</v>
      </c>
      <c r="AI123" s="14">
        <f t="shared" si="17"/>
        <v>0.93</v>
      </c>
      <c r="AJ123" s="13"/>
      <c r="AK123" s="12">
        <v>0.01</v>
      </c>
      <c r="AL123" s="11">
        <f t="shared" si="18"/>
        <v>1.01</v>
      </c>
      <c r="AM123" s="10">
        <f t="shared" si="19"/>
        <v>6913280000</v>
      </c>
      <c r="AN123" s="9"/>
      <c r="AO123" s="8"/>
      <c r="AP123" s="8"/>
      <c r="AQ123" s="8"/>
      <c r="AR123" s="8"/>
      <c r="AS123" s="7"/>
      <c r="AT123" s="6">
        <f t="shared" si="20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12"/>
        <v>1</v>
      </c>
      <c r="O124" s="25">
        <v>15</v>
      </c>
      <c r="P124" s="23">
        <v>15</v>
      </c>
      <c r="Q124" s="24"/>
      <c r="R124" s="24"/>
      <c r="S124" s="23"/>
      <c r="T124" s="20">
        <f t="shared" si="13"/>
        <v>15</v>
      </c>
      <c r="U124" s="19">
        <f t="shared" si="22"/>
        <v>15</v>
      </c>
      <c r="V124" s="22"/>
      <c r="W124" s="22"/>
      <c r="X124" s="22"/>
      <c r="Y124" s="22"/>
      <c r="Z124" s="21"/>
      <c r="AA124" s="20">
        <f t="shared" si="14"/>
        <v>0</v>
      </c>
      <c r="AB124" s="19">
        <f t="shared" si="15"/>
        <v>0</v>
      </c>
      <c r="AC124" s="16">
        <v>20</v>
      </c>
      <c r="AD124" s="18"/>
      <c r="AE124" s="17"/>
      <c r="AF124" s="23">
        <f t="shared" si="21"/>
        <v>15</v>
      </c>
      <c r="AG124" s="16">
        <v>45</v>
      </c>
      <c r="AH124" s="23">
        <f t="shared" si="16"/>
        <v>80</v>
      </c>
      <c r="AI124" s="14">
        <f t="shared" si="17"/>
        <v>0.93</v>
      </c>
      <c r="AJ124" s="13"/>
      <c r="AK124" s="12">
        <v>0.01</v>
      </c>
      <c r="AL124" s="11">
        <f t="shared" si="18"/>
        <v>1.01</v>
      </c>
      <c r="AM124" s="10">
        <f t="shared" si="19"/>
        <v>6913280000</v>
      </c>
      <c r="AN124" s="9"/>
      <c r="AO124" s="8"/>
      <c r="AP124" s="8"/>
      <c r="AQ124" s="8"/>
      <c r="AR124" s="8"/>
      <c r="AS124" s="7"/>
      <c r="AT124" s="6">
        <f t="shared" si="20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12"/>
        <v>1</v>
      </c>
      <c r="O125" s="25">
        <v>15</v>
      </c>
      <c r="P125" s="23">
        <v>15</v>
      </c>
      <c r="Q125" s="24"/>
      <c r="R125" s="24"/>
      <c r="S125" s="23"/>
      <c r="T125" s="20">
        <f t="shared" si="13"/>
        <v>15</v>
      </c>
      <c r="U125" s="19">
        <f t="shared" si="22"/>
        <v>15</v>
      </c>
      <c r="V125" s="22"/>
      <c r="W125" s="22"/>
      <c r="X125" s="22"/>
      <c r="Y125" s="22"/>
      <c r="Z125" s="21"/>
      <c r="AA125" s="20">
        <f t="shared" si="14"/>
        <v>0</v>
      </c>
      <c r="AB125" s="19">
        <f t="shared" si="15"/>
        <v>0</v>
      </c>
      <c r="AC125" s="16">
        <v>20</v>
      </c>
      <c r="AD125" s="18"/>
      <c r="AE125" s="17"/>
      <c r="AF125" s="23">
        <f t="shared" si="21"/>
        <v>15</v>
      </c>
      <c r="AG125" s="16">
        <v>45</v>
      </c>
      <c r="AH125" s="23">
        <f t="shared" si="16"/>
        <v>80</v>
      </c>
      <c r="AI125" s="14">
        <f t="shared" si="17"/>
        <v>0.93</v>
      </c>
      <c r="AJ125" s="13"/>
      <c r="AK125" s="12">
        <v>0.01</v>
      </c>
      <c r="AL125" s="11">
        <f t="shared" si="18"/>
        <v>1.01</v>
      </c>
      <c r="AM125" s="10">
        <f t="shared" si="19"/>
        <v>6913280000</v>
      </c>
      <c r="AN125" s="9"/>
      <c r="AO125" s="8"/>
      <c r="AP125" s="8"/>
      <c r="AQ125" s="8"/>
      <c r="AR125" s="8"/>
      <c r="AS125" s="7"/>
      <c r="AT125" s="6">
        <f t="shared" si="20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12"/>
        <v>1</v>
      </c>
      <c r="O126" s="25">
        <v>15</v>
      </c>
      <c r="P126" s="23">
        <v>15</v>
      </c>
      <c r="Q126" s="24"/>
      <c r="R126" s="24"/>
      <c r="S126" s="23"/>
      <c r="T126" s="20">
        <f t="shared" si="13"/>
        <v>15</v>
      </c>
      <c r="U126" s="19">
        <f t="shared" si="22"/>
        <v>15</v>
      </c>
      <c r="V126" s="22"/>
      <c r="W126" s="22"/>
      <c r="X126" s="22"/>
      <c r="Y126" s="22"/>
      <c r="Z126" s="21"/>
      <c r="AA126" s="20">
        <f t="shared" si="14"/>
        <v>0</v>
      </c>
      <c r="AB126" s="19">
        <f t="shared" si="15"/>
        <v>0</v>
      </c>
      <c r="AC126" s="16">
        <v>20</v>
      </c>
      <c r="AD126" s="18"/>
      <c r="AE126" s="17"/>
      <c r="AF126" s="23">
        <f t="shared" si="21"/>
        <v>15</v>
      </c>
      <c r="AG126" s="16">
        <v>45</v>
      </c>
      <c r="AH126" s="23">
        <f t="shared" si="16"/>
        <v>80</v>
      </c>
      <c r="AI126" s="14">
        <f t="shared" si="17"/>
        <v>0.93</v>
      </c>
      <c r="AJ126" s="13"/>
      <c r="AK126" s="12">
        <v>0.01</v>
      </c>
      <c r="AL126" s="11">
        <f t="shared" si="18"/>
        <v>1.01</v>
      </c>
      <c r="AM126" s="10">
        <f t="shared" si="19"/>
        <v>6913280000</v>
      </c>
      <c r="AN126" s="9"/>
      <c r="AO126" s="8"/>
      <c r="AP126" s="8"/>
      <c r="AQ126" s="8"/>
      <c r="AR126" s="8"/>
      <c r="AS126" s="7"/>
      <c r="AT126" s="6">
        <f t="shared" si="20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12"/>
        <v>1</v>
      </c>
      <c r="O127" s="25">
        <v>15</v>
      </c>
      <c r="P127" s="23">
        <v>15</v>
      </c>
      <c r="Q127" s="24"/>
      <c r="R127" s="24"/>
      <c r="S127" s="23"/>
      <c r="T127" s="20">
        <f t="shared" si="13"/>
        <v>15</v>
      </c>
      <c r="U127" s="19">
        <f t="shared" si="22"/>
        <v>15</v>
      </c>
      <c r="V127" s="22"/>
      <c r="W127" s="22"/>
      <c r="X127" s="22"/>
      <c r="Y127" s="22"/>
      <c r="Z127" s="21"/>
      <c r="AA127" s="20">
        <f t="shared" si="14"/>
        <v>0</v>
      </c>
      <c r="AB127" s="19">
        <f t="shared" si="15"/>
        <v>0</v>
      </c>
      <c r="AC127" s="16">
        <v>20</v>
      </c>
      <c r="AD127" s="18"/>
      <c r="AE127" s="17"/>
      <c r="AF127" s="23">
        <f t="shared" si="21"/>
        <v>15</v>
      </c>
      <c r="AG127" s="16">
        <v>45</v>
      </c>
      <c r="AH127" s="23">
        <f t="shared" si="16"/>
        <v>80</v>
      </c>
      <c r="AI127" s="14">
        <f t="shared" si="17"/>
        <v>0.93</v>
      </c>
      <c r="AJ127" s="13"/>
      <c r="AK127" s="12">
        <v>0.01</v>
      </c>
      <c r="AL127" s="11">
        <f t="shared" si="18"/>
        <v>1.01</v>
      </c>
      <c r="AM127" s="10">
        <f t="shared" si="19"/>
        <v>6913280000</v>
      </c>
      <c r="AN127" s="9"/>
      <c r="AO127" s="8"/>
      <c r="AP127" s="8"/>
      <c r="AQ127" s="8"/>
      <c r="AR127" s="8"/>
      <c r="AS127" s="7"/>
      <c r="AT127" s="6">
        <f t="shared" si="20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12"/>
        <v>1</v>
      </c>
      <c r="O128" s="25">
        <v>15</v>
      </c>
      <c r="P128" s="23">
        <v>15</v>
      </c>
      <c r="Q128" s="24"/>
      <c r="R128" s="24"/>
      <c r="S128" s="23"/>
      <c r="T128" s="20">
        <f t="shared" si="13"/>
        <v>15</v>
      </c>
      <c r="U128" s="19">
        <f t="shared" si="22"/>
        <v>15</v>
      </c>
      <c r="V128" s="22"/>
      <c r="W128" s="22"/>
      <c r="X128" s="22"/>
      <c r="Y128" s="22"/>
      <c r="Z128" s="21"/>
      <c r="AA128" s="20">
        <f t="shared" si="14"/>
        <v>0</v>
      </c>
      <c r="AB128" s="19">
        <f t="shared" si="15"/>
        <v>0</v>
      </c>
      <c r="AC128" s="16">
        <v>20</v>
      </c>
      <c r="AD128" s="18"/>
      <c r="AE128" s="17"/>
      <c r="AF128" s="23">
        <f t="shared" si="21"/>
        <v>15</v>
      </c>
      <c r="AG128" s="16">
        <v>45</v>
      </c>
      <c r="AH128" s="23">
        <f t="shared" si="16"/>
        <v>80</v>
      </c>
      <c r="AI128" s="14">
        <f t="shared" si="17"/>
        <v>0.93</v>
      </c>
      <c r="AJ128" s="13"/>
      <c r="AK128" s="12">
        <v>0.01</v>
      </c>
      <c r="AL128" s="11">
        <f t="shared" si="18"/>
        <v>1.01</v>
      </c>
      <c r="AM128" s="10">
        <f t="shared" si="19"/>
        <v>6913280000</v>
      </c>
      <c r="AN128" s="9"/>
      <c r="AO128" s="8"/>
      <c r="AP128" s="8"/>
      <c r="AQ128" s="8"/>
      <c r="AR128" s="8"/>
      <c r="AS128" s="7"/>
      <c r="AT128" s="6">
        <f t="shared" si="20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12"/>
        <v>1</v>
      </c>
      <c r="O129" s="25">
        <v>15</v>
      </c>
      <c r="P129" s="23">
        <v>15</v>
      </c>
      <c r="Q129" s="24"/>
      <c r="R129" s="24"/>
      <c r="S129" s="23"/>
      <c r="T129" s="20">
        <f t="shared" si="13"/>
        <v>15</v>
      </c>
      <c r="U129" s="19">
        <f t="shared" si="22"/>
        <v>15</v>
      </c>
      <c r="V129" s="22"/>
      <c r="W129" s="22"/>
      <c r="X129" s="22"/>
      <c r="Y129" s="22"/>
      <c r="Z129" s="21"/>
      <c r="AA129" s="20">
        <f t="shared" si="14"/>
        <v>0</v>
      </c>
      <c r="AB129" s="19">
        <f t="shared" si="15"/>
        <v>0</v>
      </c>
      <c r="AC129" s="16">
        <v>20</v>
      </c>
      <c r="AD129" s="18"/>
      <c r="AE129" s="17"/>
      <c r="AF129" s="23">
        <f t="shared" si="21"/>
        <v>15</v>
      </c>
      <c r="AG129" s="16">
        <v>45</v>
      </c>
      <c r="AH129" s="23">
        <f t="shared" si="16"/>
        <v>80</v>
      </c>
      <c r="AI129" s="14">
        <f t="shared" si="17"/>
        <v>0.93</v>
      </c>
      <c r="AJ129" s="13"/>
      <c r="AK129" s="12">
        <v>0.01</v>
      </c>
      <c r="AL129" s="11">
        <f t="shared" si="18"/>
        <v>1.01</v>
      </c>
      <c r="AM129" s="10">
        <f t="shared" si="19"/>
        <v>6913280000</v>
      </c>
      <c r="AN129" s="9"/>
      <c r="AO129" s="8"/>
      <c r="AP129" s="8"/>
      <c r="AQ129" s="8"/>
      <c r="AR129" s="8"/>
      <c r="AS129" s="7"/>
      <c r="AT129" s="6">
        <f t="shared" si="20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12"/>
        <v>1</v>
      </c>
      <c r="O130" s="25">
        <v>15</v>
      </c>
      <c r="P130" s="23">
        <v>15</v>
      </c>
      <c r="Q130" s="24"/>
      <c r="R130" s="24"/>
      <c r="S130" s="23"/>
      <c r="T130" s="20">
        <f t="shared" si="13"/>
        <v>15</v>
      </c>
      <c r="U130" s="19">
        <f t="shared" si="22"/>
        <v>15</v>
      </c>
      <c r="V130" s="22"/>
      <c r="W130" s="22"/>
      <c r="X130" s="22"/>
      <c r="Y130" s="22"/>
      <c r="Z130" s="21"/>
      <c r="AA130" s="20">
        <f t="shared" si="14"/>
        <v>0</v>
      </c>
      <c r="AB130" s="19">
        <f t="shared" si="15"/>
        <v>0</v>
      </c>
      <c r="AC130" s="16">
        <v>20</v>
      </c>
      <c r="AD130" s="18"/>
      <c r="AE130" s="17"/>
      <c r="AF130" s="23">
        <f t="shared" si="21"/>
        <v>15</v>
      </c>
      <c r="AG130" s="16">
        <v>45</v>
      </c>
      <c r="AH130" s="23">
        <f t="shared" si="16"/>
        <v>80</v>
      </c>
      <c r="AI130" s="14">
        <f t="shared" si="17"/>
        <v>0.93</v>
      </c>
      <c r="AJ130" s="13"/>
      <c r="AK130" s="12">
        <v>0.01</v>
      </c>
      <c r="AL130" s="11">
        <f t="shared" si="18"/>
        <v>1.01</v>
      </c>
      <c r="AM130" s="10">
        <f t="shared" si="19"/>
        <v>6913280000</v>
      </c>
      <c r="AN130" s="9"/>
      <c r="AO130" s="8"/>
      <c r="AP130" s="8"/>
      <c r="AQ130" s="8"/>
      <c r="AR130" s="8"/>
      <c r="AS130" s="7"/>
      <c r="AT130" s="6">
        <f t="shared" si="20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12"/>
        <v>1</v>
      </c>
      <c r="O131" s="25">
        <v>15</v>
      </c>
      <c r="P131" s="23">
        <v>15</v>
      </c>
      <c r="Q131" s="24"/>
      <c r="R131" s="24"/>
      <c r="S131" s="23"/>
      <c r="T131" s="20">
        <f t="shared" si="13"/>
        <v>15</v>
      </c>
      <c r="U131" s="19">
        <f t="shared" si="22"/>
        <v>15</v>
      </c>
      <c r="V131" s="22"/>
      <c r="W131" s="22"/>
      <c r="X131" s="22"/>
      <c r="Y131" s="22"/>
      <c r="Z131" s="21"/>
      <c r="AA131" s="20">
        <f t="shared" si="14"/>
        <v>0</v>
      </c>
      <c r="AB131" s="19">
        <f t="shared" si="15"/>
        <v>0</v>
      </c>
      <c r="AC131" s="16">
        <v>20</v>
      </c>
      <c r="AD131" s="18"/>
      <c r="AE131" s="17"/>
      <c r="AF131" s="23">
        <f t="shared" si="21"/>
        <v>15</v>
      </c>
      <c r="AG131" s="16">
        <v>45</v>
      </c>
      <c r="AH131" s="23">
        <f t="shared" si="16"/>
        <v>80</v>
      </c>
      <c r="AI131" s="14">
        <f t="shared" si="17"/>
        <v>0.93</v>
      </c>
      <c r="AJ131" s="13"/>
      <c r="AK131" s="12">
        <v>0.01</v>
      </c>
      <c r="AL131" s="11">
        <f t="shared" si="18"/>
        <v>1.01</v>
      </c>
      <c r="AM131" s="10">
        <f t="shared" si="19"/>
        <v>6913280000</v>
      </c>
      <c r="AN131" s="9"/>
      <c r="AO131" s="8"/>
      <c r="AP131" s="8"/>
      <c r="AQ131" s="8"/>
      <c r="AR131" s="8"/>
      <c r="AS131" s="7"/>
      <c r="AT131" s="6">
        <f t="shared" si="20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12"/>
        <v>1</v>
      </c>
      <c r="O132" s="25">
        <v>15</v>
      </c>
      <c r="P132" s="23">
        <v>15</v>
      </c>
      <c r="Q132" s="24"/>
      <c r="R132" s="24"/>
      <c r="S132" s="23"/>
      <c r="T132" s="20">
        <f t="shared" si="13"/>
        <v>15</v>
      </c>
      <c r="U132" s="19">
        <f t="shared" si="22"/>
        <v>15</v>
      </c>
      <c r="V132" s="22"/>
      <c r="W132" s="22"/>
      <c r="X132" s="22"/>
      <c r="Y132" s="22"/>
      <c r="Z132" s="21"/>
      <c r="AA132" s="20">
        <f t="shared" si="14"/>
        <v>0</v>
      </c>
      <c r="AB132" s="19">
        <f t="shared" si="15"/>
        <v>0</v>
      </c>
      <c r="AC132" s="16">
        <v>20</v>
      </c>
      <c r="AD132" s="18"/>
      <c r="AE132" s="17"/>
      <c r="AF132" s="23">
        <f t="shared" si="21"/>
        <v>15</v>
      </c>
      <c r="AG132" s="16">
        <v>45</v>
      </c>
      <c r="AH132" s="23">
        <f t="shared" si="16"/>
        <v>80</v>
      </c>
      <c r="AI132" s="14">
        <f t="shared" si="17"/>
        <v>0.93</v>
      </c>
      <c r="AJ132" s="13"/>
      <c r="AK132" s="12">
        <v>0.01</v>
      </c>
      <c r="AL132" s="11">
        <f t="shared" si="18"/>
        <v>1.01</v>
      </c>
      <c r="AM132" s="10">
        <f t="shared" si="19"/>
        <v>6913280000</v>
      </c>
      <c r="AN132" s="9"/>
      <c r="AO132" s="8"/>
      <c r="AP132" s="8"/>
      <c r="AQ132" s="8"/>
      <c r="AR132" s="8"/>
      <c r="AS132" s="7"/>
      <c r="AT132" s="6">
        <f t="shared" si="20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23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24">ROUND(((O133*I133)+(P133*J133)+(Q133*K133)+(R133*L133)+(S133*M133)),2)</f>
        <v>15</v>
      </c>
      <c r="U133" s="19">
        <f t="shared" si="22"/>
        <v>15</v>
      </c>
      <c r="V133" s="22"/>
      <c r="W133" s="22"/>
      <c r="X133" s="22"/>
      <c r="Y133" s="22"/>
      <c r="Z133" s="21"/>
      <c r="AA133" s="20">
        <f t="shared" ref="AA133:AA140" si="25">ROUND((((V133*I133)+(W133*J133)+(X133*K133)+(Y133*L133)+(Z133*M133))/$I$2*15),2)</f>
        <v>0</v>
      </c>
      <c r="AB133" s="19">
        <f t="shared" ref="AB133:AB140" si="26">IF(AA133&gt;=15,15,AA133)</f>
        <v>0</v>
      </c>
      <c r="AC133" s="16">
        <v>20</v>
      </c>
      <c r="AD133" s="18"/>
      <c r="AE133" s="17"/>
      <c r="AF133" s="23">
        <f t="shared" si="21"/>
        <v>15</v>
      </c>
      <c r="AG133" s="16">
        <v>45</v>
      </c>
      <c r="AH133" s="23">
        <f t="shared" ref="AH133:AH140" si="27">AC133+AF133+AG133+AE133</f>
        <v>80</v>
      </c>
      <c r="AI133" s="14">
        <f t="shared" ref="AI133:AI140" si="28">-((50-((176+(45+(30-AF133)))))/200)</f>
        <v>0.93</v>
      </c>
      <c r="AJ133" s="13"/>
      <c r="AK133" s="12">
        <v>0.01</v>
      </c>
      <c r="AL133" s="11">
        <f t="shared" ref="AL133:AL140" si="29">100%+AK133</f>
        <v>1.01</v>
      </c>
      <c r="AM133" s="10">
        <f t="shared" ref="AM133:AM140" si="30">ROUNDUP($D$2*AI133*AL133,-3)</f>
        <v>6913280000</v>
      </c>
      <c r="AN133" s="9"/>
      <c r="AO133" s="8"/>
      <c r="AP133" s="8"/>
      <c r="AQ133" s="8"/>
      <c r="AR133" s="8"/>
      <c r="AS133" s="7"/>
      <c r="AT133" s="6">
        <f t="shared" ref="AT133:AT140" si="31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23"/>
        <v>1</v>
      </c>
      <c r="O134" s="25">
        <v>15</v>
      </c>
      <c r="P134" s="23">
        <v>15</v>
      </c>
      <c r="Q134" s="24"/>
      <c r="R134" s="24"/>
      <c r="S134" s="23"/>
      <c r="T134" s="20">
        <f t="shared" si="24"/>
        <v>15</v>
      </c>
      <c r="U134" s="19">
        <f t="shared" si="22"/>
        <v>15</v>
      </c>
      <c r="V134" s="22"/>
      <c r="W134" s="22"/>
      <c r="X134" s="22"/>
      <c r="Y134" s="22"/>
      <c r="Z134" s="21"/>
      <c r="AA134" s="20">
        <f t="shared" si="25"/>
        <v>0</v>
      </c>
      <c r="AB134" s="19">
        <f t="shared" si="26"/>
        <v>0</v>
      </c>
      <c r="AC134" s="16">
        <v>20</v>
      </c>
      <c r="AD134" s="18"/>
      <c r="AE134" s="17"/>
      <c r="AF134" s="23">
        <f t="shared" si="21"/>
        <v>15</v>
      </c>
      <c r="AG134" s="16">
        <v>45</v>
      </c>
      <c r="AH134" s="23">
        <f t="shared" si="27"/>
        <v>80</v>
      </c>
      <c r="AI134" s="14">
        <f t="shared" si="28"/>
        <v>0.93</v>
      </c>
      <c r="AJ134" s="13"/>
      <c r="AK134" s="12">
        <v>0.01</v>
      </c>
      <c r="AL134" s="11">
        <f t="shared" si="29"/>
        <v>1.01</v>
      </c>
      <c r="AM134" s="10">
        <f t="shared" si="30"/>
        <v>6913280000</v>
      </c>
      <c r="AN134" s="9"/>
      <c r="AO134" s="8"/>
      <c r="AP134" s="8"/>
      <c r="AQ134" s="8"/>
      <c r="AR134" s="8"/>
      <c r="AS134" s="7"/>
      <c r="AT134" s="6">
        <f t="shared" si="31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23"/>
        <v>1</v>
      </c>
      <c r="O135" s="25">
        <v>15</v>
      </c>
      <c r="P135" s="23">
        <v>15</v>
      </c>
      <c r="Q135" s="24"/>
      <c r="R135" s="24"/>
      <c r="S135" s="23"/>
      <c r="T135" s="20">
        <f t="shared" si="24"/>
        <v>15</v>
      </c>
      <c r="U135" s="19">
        <f t="shared" si="22"/>
        <v>15</v>
      </c>
      <c r="V135" s="22"/>
      <c r="W135" s="22"/>
      <c r="X135" s="22"/>
      <c r="Y135" s="22"/>
      <c r="Z135" s="21"/>
      <c r="AA135" s="20">
        <f t="shared" si="25"/>
        <v>0</v>
      </c>
      <c r="AB135" s="19">
        <f t="shared" si="26"/>
        <v>0</v>
      </c>
      <c r="AC135" s="16">
        <v>20</v>
      </c>
      <c r="AD135" s="18"/>
      <c r="AE135" s="17"/>
      <c r="AF135" s="23">
        <f t="shared" ref="AF135:AF140" si="32">IF((U135+AB135+AD135)&gt;=30,30,(U135+AB135+AD135))</f>
        <v>15</v>
      </c>
      <c r="AG135" s="16">
        <v>45</v>
      </c>
      <c r="AH135" s="23">
        <f t="shared" si="27"/>
        <v>80</v>
      </c>
      <c r="AI135" s="14">
        <f t="shared" si="28"/>
        <v>0.93</v>
      </c>
      <c r="AJ135" s="13"/>
      <c r="AK135" s="12">
        <v>0.01</v>
      </c>
      <c r="AL135" s="11">
        <f t="shared" si="29"/>
        <v>1.01</v>
      </c>
      <c r="AM135" s="10">
        <f t="shared" si="30"/>
        <v>6913280000</v>
      </c>
      <c r="AN135" s="9"/>
      <c r="AO135" s="8"/>
      <c r="AP135" s="8"/>
      <c r="AQ135" s="8"/>
      <c r="AR135" s="8"/>
      <c r="AS135" s="7"/>
      <c r="AT135" s="6">
        <f t="shared" si="31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23"/>
        <v>1</v>
      </c>
      <c r="O136" s="25">
        <v>15</v>
      </c>
      <c r="P136" s="23">
        <v>15</v>
      </c>
      <c r="Q136" s="24"/>
      <c r="R136" s="24"/>
      <c r="S136" s="23"/>
      <c r="T136" s="20">
        <f t="shared" si="24"/>
        <v>15</v>
      </c>
      <c r="U136" s="19">
        <f t="shared" si="22"/>
        <v>15</v>
      </c>
      <c r="V136" s="22"/>
      <c r="W136" s="22"/>
      <c r="X136" s="22"/>
      <c r="Y136" s="22"/>
      <c r="Z136" s="21"/>
      <c r="AA136" s="20">
        <f t="shared" si="25"/>
        <v>0</v>
      </c>
      <c r="AB136" s="19">
        <f t="shared" si="26"/>
        <v>0</v>
      </c>
      <c r="AC136" s="16">
        <v>20</v>
      </c>
      <c r="AD136" s="18"/>
      <c r="AE136" s="17"/>
      <c r="AF136" s="23">
        <f t="shared" si="32"/>
        <v>15</v>
      </c>
      <c r="AG136" s="16">
        <v>45</v>
      </c>
      <c r="AH136" s="23">
        <f t="shared" si="27"/>
        <v>80</v>
      </c>
      <c r="AI136" s="14">
        <f t="shared" si="28"/>
        <v>0.93</v>
      </c>
      <c r="AJ136" s="13"/>
      <c r="AK136" s="12">
        <v>0.01</v>
      </c>
      <c r="AL136" s="11">
        <f t="shared" si="29"/>
        <v>1.01</v>
      </c>
      <c r="AM136" s="10">
        <f t="shared" si="30"/>
        <v>6913280000</v>
      </c>
      <c r="AN136" s="9"/>
      <c r="AO136" s="8"/>
      <c r="AP136" s="8"/>
      <c r="AQ136" s="8"/>
      <c r="AR136" s="8"/>
      <c r="AS136" s="7"/>
      <c r="AT136" s="6">
        <f t="shared" si="31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23"/>
        <v>1</v>
      </c>
      <c r="O137" s="25">
        <v>15</v>
      </c>
      <c r="P137" s="23">
        <v>15</v>
      </c>
      <c r="Q137" s="24"/>
      <c r="R137" s="24"/>
      <c r="S137" s="23"/>
      <c r="T137" s="20">
        <f t="shared" si="24"/>
        <v>15</v>
      </c>
      <c r="U137" s="19">
        <f t="shared" si="22"/>
        <v>15</v>
      </c>
      <c r="V137" s="22"/>
      <c r="W137" s="22"/>
      <c r="X137" s="22"/>
      <c r="Y137" s="22"/>
      <c r="Z137" s="21"/>
      <c r="AA137" s="20">
        <f t="shared" si="25"/>
        <v>0</v>
      </c>
      <c r="AB137" s="19">
        <f t="shared" si="26"/>
        <v>0</v>
      </c>
      <c r="AC137" s="16">
        <v>20</v>
      </c>
      <c r="AD137" s="18"/>
      <c r="AE137" s="17"/>
      <c r="AF137" s="23">
        <f t="shared" si="32"/>
        <v>15</v>
      </c>
      <c r="AG137" s="16">
        <v>45</v>
      </c>
      <c r="AH137" s="23">
        <f t="shared" si="27"/>
        <v>80</v>
      </c>
      <c r="AI137" s="14">
        <f t="shared" si="28"/>
        <v>0.93</v>
      </c>
      <c r="AJ137" s="13"/>
      <c r="AK137" s="12">
        <v>0.01</v>
      </c>
      <c r="AL137" s="11">
        <f t="shared" si="29"/>
        <v>1.01</v>
      </c>
      <c r="AM137" s="10">
        <f t="shared" si="30"/>
        <v>6913280000</v>
      </c>
      <c r="AN137" s="9"/>
      <c r="AO137" s="8"/>
      <c r="AP137" s="8"/>
      <c r="AQ137" s="8"/>
      <c r="AR137" s="8"/>
      <c r="AS137" s="7"/>
      <c r="AT137" s="6">
        <f t="shared" si="31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23"/>
        <v>1</v>
      </c>
      <c r="O138" s="25">
        <v>15</v>
      </c>
      <c r="P138" s="23">
        <v>15</v>
      </c>
      <c r="Q138" s="24"/>
      <c r="R138" s="24"/>
      <c r="S138" s="23"/>
      <c r="T138" s="20">
        <f t="shared" si="24"/>
        <v>15</v>
      </c>
      <c r="U138" s="19">
        <f t="shared" si="22"/>
        <v>15</v>
      </c>
      <c r="V138" s="22"/>
      <c r="W138" s="22"/>
      <c r="X138" s="22"/>
      <c r="Y138" s="22"/>
      <c r="Z138" s="21"/>
      <c r="AA138" s="20">
        <f t="shared" si="25"/>
        <v>0</v>
      </c>
      <c r="AB138" s="19">
        <f t="shared" si="26"/>
        <v>0</v>
      </c>
      <c r="AC138" s="16">
        <v>20</v>
      </c>
      <c r="AD138" s="18"/>
      <c r="AE138" s="17"/>
      <c r="AF138" s="23">
        <f t="shared" si="32"/>
        <v>15</v>
      </c>
      <c r="AG138" s="16">
        <v>45</v>
      </c>
      <c r="AH138" s="23">
        <f t="shared" si="27"/>
        <v>80</v>
      </c>
      <c r="AI138" s="14">
        <f t="shared" si="28"/>
        <v>0.93</v>
      </c>
      <c r="AJ138" s="13"/>
      <c r="AK138" s="12">
        <v>0.01</v>
      </c>
      <c r="AL138" s="11">
        <f t="shared" si="29"/>
        <v>1.01</v>
      </c>
      <c r="AM138" s="10">
        <f t="shared" si="30"/>
        <v>6913280000</v>
      </c>
      <c r="AN138" s="9"/>
      <c r="AO138" s="8"/>
      <c r="AP138" s="8"/>
      <c r="AQ138" s="8"/>
      <c r="AR138" s="8"/>
      <c r="AS138" s="7"/>
      <c r="AT138" s="6">
        <f t="shared" si="31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23"/>
        <v>1</v>
      </c>
      <c r="O139" s="25">
        <v>15</v>
      </c>
      <c r="P139" s="23">
        <v>15</v>
      </c>
      <c r="Q139" s="24"/>
      <c r="R139" s="24"/>
      <c r="S139" s="23"/>
      <c r="T139" s="20">
        <f t="shared" si="24"/>
        <v>15</v>
      </c>
      <c r="U139" s="19">
        <f t="shared" si="22"/>
        <v>15</v>
      </c>
      <c r="V139" s="22"/>
      <c r="W139" s="22"/>
      <c r="X139" s="22"/>
      <c r="Y139" s="22"/>
      <c r="Z139" s="21"/>
      <c r="AA139" s="20">
        <f t="shared" si="25"/>
        <v>0</v>
      </c>
      <c r="AB139" s="19">
        <f t="shared" si="26"/>
        <v>0</v>
      </c>
      <c r="AC139" s="16">
        <v>20</v>
      </c>
      <c r="AD139" s="18"/>
      <c r="AE139" s="17"/>
      <c r="AF139" s="23">
        <f t="shared" si="32"/>
        <v>15</v>
      </c>
      <c r="AG139" s="16">
        <v>45</v>
      </c>
      <c r="AH139" s="23">
        <f t="shared" si="27"/>
        <v>80</v>
      </c>
      <c r="AI139" s="14">
        <f t="shared" si="28"/>
        <v>0.93</v>
      </c>
      <c r="AJ139" s="13"/>
      <c r="AK139" s="12">
        <v>0.01</v>
      </c>
      <c r="AL139" s="11">
        <f t="shared" si="29"/>
        <v>1.01</v>
      </c>
      <c r="AM139" s="10">
        <f t="shared" si="30"/>
        <v>6913280000</v>
      </c>
      <c r="AN139" s="9"/>
      <c r="AO139" s="8"/>
      <c r="AP139" s="8"/>
      <c r="AQ139" s="8"/>
      <c r="AR139" s="8"/>
      <c r="AS139" s="7"/>
      <c r="AT139" s="6">
        <f t="shared" si="31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23"/>
        <v>1</v>
      </c>
      <c r="O140" s="25">
        <v>15</v>
      </c>
      <c r="P140" s="23">
        <v>15</v>
      </c>
      <c r="Q140" s="24"/>
      <c r="R140" s="24"/>
      <c r="S140" s="23"/>
      <c r="T140" s="20">
        <f t="shared" si="24"/>
        <v>15</v>
      </c>
      <c r="U140" s="19">
        <f t="shared" si="22"/>
        <v>15</v>
      </c>
      <c r="V140" s="22"/>
      <c r="W140" s="22"/>
      <c r="X140" s="22"/>
      <c r="Y140" s="22"/>
      <c r="Z140" s="21"/>
      <c r="AA140" s="20">
        <f t="shared" si="25"/>
        <v>0</v>
      </c>
      <c r="AB140" s="19">
        <f t="shared" si="26"/>
        <v>0</v>
      </c>
      <c r="AC140" s="16">
        <v>20</v>
      </c>
      <c r="AD140" s="18"/>
      <c r="AE140" s="17"/>
      <c r="AF140" s="15">
        <f t="shared" si="32"/>
        <v>15</v>
      </c>
      <c r="AG140" s="16">
        <v>45</v>
      </c>
      <c r="AH140" s="15">
        <f t="shared" si="27"/>
        <v>80</v>
      </c>
      <c r="AI140" s="14">
        <f t="shared" si="28"/>
        <v>0.93</v>
      </c>
      <c r="AJ140" s="13"/>
      <c r="AK140" s="12">
        <v>0.01</v>
      </c>
      <c r="AL140" s="11">
        <f t="shared" si="29"/>
        <v>1.01</v>
      </c>
      <c r="AM140" s="10">
        <f t="shared" si="30"/>
        <v>6913280000</v>
      </c>
      <c r="AN140" s="9"/>
      <c r="AO140" s="8"/>
      <c r="AP140" s="8"/>
      <c r="AQ140" s="8"/>
      <c r="AR140" s="8"/>
      <c r="AS140" s="7"/>
      <c r="AT140" s="6">
        <f t="shared" si="31"/>
        <v>0</v>
      </c>
    </row>
  </sheetData>
  <mergeCells count="27">
    <mergeCell ref="AT3:AT4"/>
    <mergeCell ref="AN3:AN4"/>
    <mergeCell ref="AO3:AO4"/>
    <mergeCell ref="AP3:AP4"/>
    <mergeCell ref="AQ3:AQ4"/>
    <mergeCell ref="AR3:AR4"/>
    <mergeCell ref="AS3:AS4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D1:E1"/>
    <mergeCell ref="I1:J1"/>
    <mergeCell ref="M1:AF1"/>
    <mergeCell ref="AH1:AK1"/>
    <mergeCell ref="D2:E2"/>
    <mergeCell ref="F2:G2"/>
    <mergeCell ref="I2:J2"/>
    <mergeCell ref="O2:T2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T140"/>
  <sheetViews>
    <sheetView showZeros="0" tabSelected="1" view="pageBreakPreview" topLeftCell="A10" zoomScale="80" zoomScaleSheetLayoutView="80" workbookViewId="0">
      <selection activeCell="B19" sqref="B19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415</v>
      </c>
      <c r="D1" s="179">
        <v>9584960000</v>
      </c>
      <c r="E1" s="179"/>
      <c r="F1" s="130"/>
      <c r="G1" s="130"/>
      <c r="H1" s="132" t="s">
        <v>414</v>
      </c>
      <c r="I1" s="180"/>
      <c r="J1" s="181"/>
      <c r="K1" s="139"/>
      <c r="L1" s="138"/>
      <c r="M1" s="182" t="s">
        <v>413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412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411</v>
      </c>
      <c r="D2" s="184">
        <v>10543456000</v>
      </c>
      <c r="E2" s="184"/>
      <c r="F2" s="185"/>
      <c r="G2" s="186"/>
      <c r="H2" s="132" t="s">
        <v>410</v>
      </c>
      <c r="I2" s="186">
        <f>D2*2</f>
        <v>21086912000</v>
      </c>
      <c r="J2" s="187"/>
      <c r="K2" s="131" t="s">
        <v>409</v>
      </c>
      <c r="L2" s="130"/>
      <c r="M2" s="130"/>
      <c r="N2" s="129" t="s">
        <v>408</v>
      </c>
      <c r="O2" s="189">
        <v>45944.583333333336</v>
      </c>
      <c r="P2" s="188"/>
      <c r="Q2" s="188"/>
      <c r="R2" s="188"/>
      <c r="S2" s="188"/>
      <c r="T2" s="188"/>
      <c r="U2" s="128"/>
      <c r="V2" s="127" t="s">
        <v>407</v>
      </c>
      <c r="W2" s="126"/>
      <c r="X2" s="126"/>
      <c r="Y2" s="124"/>
      <c r="Z2" s="124"/>
      <c r="AA2" s="124"/>
      <c r="AB2" s="124"/>
      <c r="AC2" s="124"/>
      <c r="AD2" s="125"/>
      <c r="AE2" s="124"/>
      <c r="AF2" s="124"/>
      <c r="AG2" s="124"/>
      <c r="AH2" s="123"/>
      <c r="AJ2" s="123"/>
      <c r="AK2" s="122"/>
      <c r="AL2" s="122"/>
      <c r="AM2" s="121" t="s">
        <v>406</v>
      </c>
      <c r="AO2" s="120" t="s">
        <v>405</v>
      </c>
      <c r="AP2" s="119">
        <v>6402040000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404</v>
      </c>
      <c r="B3" s="166" t="s">
        <v>403</v>
      </c>
      <c r="C3" s="168" t="s">
        <v>402</v>
      </c>
      <c r="D3" s="169"/>
      <c r="E3" s="169"/>
      <c r="F3" s="169"/>
      <c r="G3" s="169"/>
      <c r="H3" s="170"/>
      <c r="I3" s="168" t="s">
        <v>401</v>
      </c>
      <c r="J3" s="169"/>
      <c r="K3" s="169"/>
      <c r="L3" s="169"/>
      <c r="M3" s="170"/>
      <c r="N3" s="171" t="s">
        <v>400</v>
      </c>
      <c r="O3" s="168" t="s">
        <v>399</v>
      </c>
      <c r="P3" s="169"/>
      <c r="Q3" s="169"/>
      <c r="R3" s="169"/>
      <c r="S3" s="169"/>
      <c r="T3" s="170"/>
      <c r="U3" s="113"/>
      <c r="V3" s="168" t="s">
        <v>398</v>
      </c>
      <c r="W3" s="169"/>
      <c r="X3" s="169"/>
      <c r="Y3" s="169"/>
      <c r="Z3" s="169"/>
      <c r="AA3" s="170"/>
      <c r="AB3" s="113"/>
      <c r="AC3" s="113"/>
      <c r="AD3" s="114" t="s">
        <v>397</v>
      </c>
      <c r="AE3" s="113"/>
      <c r="AF3" s="113"/>
      <c r="AG3" s="113"/>
      <c r="AH3" s="112"/>
      <c r="AI3" s="173" t="s">
        <v>396</v>
      </c>
      <c r="AJ3" s="166" t="s">
        <v>395</v>
      </c>
      <c r="AK3" s="175" t="s">
        <v>394</v>
      </c>
      <c r="AL3" s="177" t="s">
        <v>393</v>
      </c>
      <c r="AM3" s="162" t="s">
        <v>392</v>
      </c>
      <c r="AN3" s="157" t="s">
        <v>391</v>
      </c>
      <c r="AO3" s="159" t="s">
        <v>390</v>
      </c>
      <c r="AP3" s="161" t="s">
        <v>389</v>
      </c>
      <c r="AQ3" s="156" t="s">
        <v>388</v>
      </c>
      <c r="AR3" s="156" t="s">
        <v>387</v>
      </c>
      <c r="AS3" s="156" t="s">
        <v>386</v>
      </c>
      <c r="AT3" s="156" t="s">
        <v>385</v>
      </c>
    </row>
    <row r="4" spans="1:46" s="5" customFormat="1" ht="39.75" customHeight="1" thickBot="1" x14ac:dyDescent="0.2">
      <c r="A4" s="165"/>
      <c r="B4" s="167"/>
      <c r="C4" s="109" t="s">
        <v>381</v>
      </c>
      <c r="D4" s="108" t="s">
        <v>380</v>
      </c>
      <c r="E4" s="105" t="s">
        <v>379</v>
      </c>
      <c r="F4" s="105" t="s">
        <v>378</v>
      </c>
      <c r="G4" s="105" t="s">
        <v>377</v>
      </c>
      <c r="H4" s="111" t="s">
        <v>384</v>
      </c>
      <c r="I4" s="109" t="s">
        <v>381</v>
      </c>
      <c r="J4" s="108" t="s">
        <v>380</v>
      </c>
      <c r="K4" s="107" t="s">
        <v>379</v>
      </c>
      <c r="L4" s="106" t="s">
        <v>378</v>
      </c>
      <c r="M4" s="105" t="s">
        <v>377</v>
      </c>
      <c r="N4" s="172"/>
      <c r="O4" s="109" t="s">
        <v>381</v>
      </c>
      <c r="P4" s="108" t="s">
        <v>380</v>
      </c>
      <c r="Q4" s="105" t="s">
        <v>379</v>
      </c>
      <c r="R4" s="107" t="s">
        <v>378</v>
      </c>
      <c r="S4" s="105" t="s">
        <v>377</v>
      </c>
      <c r="T4" s="110" t="s">
        <v>383</v>
      </c>
      <c r="U4" s="103" t="s">
        <v>382</v>
      </c>
      <c r="V4" s="109" t="s">
        <v>381</v>
      </c>
      <c r="W4" s="108" t="s">
        <v>380</v>
      </c>
      <c r="X4" s="107" t="s">
        <v>379</v>
      </c>
      <c r="Y4" s="106" t="s">
        <v>378</v>
      </c>
      <c r="Z4" s="105" t="s">
        <v>377</v>
      </c>
      <c r="AA4" s="104" t="s">
        <v>376</v>
      </c>
      <c r="AB4" s="103" t="s">
        <v>375</v>
      </c>
      <c r="AC4" s="100" t="s">
        <v>374</v>
      </c>
      <c r="AD4" s="102" t="s">
        <v>373</v>
      </c>
      <c r="AE4" s="102" t="s">
        <v>372</v>
      </c>
      <c r="AF4" s="101" t="s">
        <v>371</v>
      </c>
      <c r="AG4" s="100" t="s">
        <v>370</v>
      </c>
      <c r="AH4" s="100" t="s">
        <v>369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>
        <v>1</v>
      </c>
      <c r="B5" s="35"/>
      <c r="C5" s="39" t="s">
        <v>368</v>
      </c>
      <c r="D5" s="70" t="s">
        <v>367</v>
      </c>
      <c r="E5" s="39"/>
      <c r="F5" s="73"/>
      <c r="G5" s="51"/>
      <c r="H5" s="45"/>
      <c r="I5" s="38">
        <v>0.7</v>
      </c>
      <c r="J5" s="30">
        <v>0.3</v>
      </c>
      <c r="K5" s="29"/>
      <c r="L5" s="30"/>
      <c r="M5" s="27"/>
      <c r="N5" s="26">
        <f t="shared" ref="N5:N36" si="0">SUM(I5:M5)</f>
        <v>1</v>
      </c>
      <c r="O5" s="65">
        <v>15</v>
      </c>
      <c r="P5" s="23">
        <v>15</v>
      </c>
      <c r="Q5" s="42"/>
      <c r="R5" s="42"/>
      <c r="S5" s="42"/>
      <c r="T5" s="20">
        <f t="shared" ref="T5:T36" si="1">ROUND(((O5*I5)+(P5*J5)+(Q5*K5)+(R5*L5)+(S5*M5)),2)</f>
        <v>15</v>
      </c>
      <c r="U5" s="19">
        <f t="shared" ref="U5:U36" si="2">IF(T5&gt;=15,15,T5)</f>
        <v>15</v>
      </c>
      <c r="V5" s="99">
        <v>59183685000</v>
      </c>
      <c r="W5" s="48">
        <v>2762807000</v>
      </c>
      <c r="X5" s="59"/>
      <c r="Y5" s="22"/>
      <c r="Z5" s="21"/>
      <c r="AA5" s="20">
        <f t="shared" ref="AA5:AA36" si="3">ROUND((((V5*I5)+(W5*J5)+(X5*K5)+(Y5*L5)+(Z5*M5))/$I$2*15),2)</f>
        <v>30.06</v>
      </c>
      <c r="AB5" s="19">
        <f t="shared" ref="AB5:AB36" si="4">IF(AA5&gt;=15,15,AA5)</f>
        <v>15</v>
      </c>
      <c r="AC5" s="16">
        <v>20</v>
      </c>
      <c r="AD5" s="83"/>
      <c r="AE5" s="97"/>
      <c r="AF5" s="23">
        <f t="shared" ref="AF5:AF36" si="5">IF((U5+AB5+AD5)&gt;=30,30,(U5+AB5+AD5))</f>
        <v>30</v>
      </c>
      <c r="AG5" s="16">
        <v>45</v>
      </c>
      <c r="AH5" s="23">
        <f t="shared" ref="AH5:AH36" si="6">AC5+AF5+AG5+AE5</f>
        <v>95</v>
      </c>
      <c r="AI5" s="14">
        <f t="shared" ref="AI5:AI36" si="7">-((50-((176+(45+(30-AF5)))))/200)</f>
        <v>0.85499999999999998</v>
      </c>
      <c r="AJ5" s="13"/>
      <c r="AK5" s="12">
        <v>0.01</v>
      </c>
      <c r="AL5" s="11">
        <f t="shared" ref="AL5:AL36" si="8">100%+AK5</f>
        <v>1.01</v>
      </c>
      <c r="AM5" s="10">
        <f t="shared" ref="AM5:AM36" si="9">ROUNDUP($D$2*AI5*AL5,-3)</f>
        <v>9104802000</v>
      </c>
      <c r="AN5" s="9"/>
      <c r="AO5" s="16"/>
      <c r="AP5" s="81"/>
      <c r="AQ5" s="81"/>
      <c r="AR5" s="8"/>
      <c r="AS5" s="7"/>
      <c r="AT5" s="6">
        <f t="shared" ref="AT5:AT36" si="10">(AO5*J5)+(AP5*K5)+(AQ5*L5)+(AR5*M5)+(AS5*N5)</f>
        <v>0</v>
      </c>
    </row>
    <row r="6" spans="1:46" s="37" customFormat="1" ht="45.75" customHeight="1" thickBot="1" x14ac:dyDescent="0.2">
      <c r="A6" s="35">
        <v>2</v>
      </c>
      <c r="B6" s="35"/>
      <c r="C6" s="47" t="s">
        <v>366</v>
      </c>
      <c r="D6" s="70" t="s">
        <v>365</v>
      </c>
      <c r="E6" s="39"/>
      <c r="F6" s="73"/>
      <c r="G6" s="51"/>
      <c r="H6" s="45"/>
      <c r="I6" s="38">
        <v>0.7</v>
      </c>
      <c r="J6" s="30">
        <v>0.3</v>
      </c>
      <c r="K6" s="29"/>
      <c r="L6" s="30"/>
      <c r="M6" s="27"/>
      <c r="N6" s="26">
        <f t="shared" si="0"/>
        <v>1</v>
      </c>
      <c r="O6" s="65">
        <v>15</v>
      </c>
      <c r="P6" s="23">
        <v>15</v>
      </c>
      <c r="Q6" s="42"/>
      <c r="R6" s="42"/>
      <c r="S6" s="42"/>
      <c r="T6" s="20">
        <f t="shared" si="1"/>
        <v>15</v>
      </c>
      <c r="U6" s="19">
        <f t="shared" si="2"/>
        <v>15</v>
      </c>
      <c r="V6" s="52">
        <v>39361754000</v>
      </c>
      <c r="W6" s="48">
        <v>4059130000</v>
      </c>
      <c r="X6" s="59"/>
      <c r="Y6" s="41"/>
      <c r="Z6" s="21"/>
      <c r="AA6" s="20">
        <f t="shared" si="3"/>
        <v>20.47</v>
      </c>
      <c r="AB6" s="19">
        <f t="shared" si="4"/>
        <v>15</v>
      </c>
      <c r="AC6" s="16">
        <v>20</v>
      </c>
      <c r="AD6" s="18"/>
      <c r="AE6" s="17"/>
      <c r="AF6" s="23">
        <f t="shared" si="5"/>
        <v>30</v>
      </c>
      <c r="AG6" s="16">
        <v>45</v>
      </c>
      <c r="AH6" s="23">
        <f t="shared" si="6"/>
        <v>95</v>
      </c>
      <c r="AI6" s="14">
        <f t="shared" si="7"/>
        <v>0.85499999999999998</v>
      </c>
      <c r="AJ6" s="13"/>
      <c r="AK6" s="12">
        <v>0.01</v>
      </c>
      <c r="AL6" s="11">
        <f t="shared" si="8"/>
        <v>1.01</v>
      </c>
      <c r="AM6" s="10">
        <f t="shared" si="9"/>
        <v>9104802000</v>
      </c>
      <c r="AN6" s="9"/>
      <c r="AO6" s="16"/>
      <c r="AP6" s="81"/>
      <c r="AQ6" s="81"/>
      <c r="AR6" s="8"/>
      <c r="AS6" s="7"/>
      <c r="AT6" s="6">
        <f t="shared" si="10"/>
        <v>0</v>
      </c>
    </row>
    <row r="7" spans="1:46" s="37" customFormat="1" ht="45.75" customHeight="1" thickBot="1" x14ac:dyDescent="0.2">
      <c r="A7" s="35">
        <v>3</v>
      </c>
      <c r="B7" s="35"/>
      <c r="C7" s="47" t="s">
        <v>364</v>
      </c>
      <c r="D7" s="154" t="s">
        <v>363</v>
      </c>
      <c r="E7" s="39"/>
      <c r="F7" s="73"/>
      <c r="G7" s="51"/>
      <c r="H7" s="45"/>
      <c r="I7" s="38">
        <v>0.7</v>
      </c>
      <c r="J7" s="30">
        <v>0.3</v>
      </c>
      <c r="K7" s="29"/>
      <c r="L7" s="30"/>
      <c r="M7" s="27"/>
      <c r="N7" s="26">
        <f t="shared" si="0"/>
        <v>1</v>
      </c>
      <c r="O7" s="65">
        <v>15</v>
      </c>
      <c r="P7" s="144">
        <v>14.83</v>
      </c>
      <c r="Q7" s="42"/>
      <c r="R7" s="42"/>
      <c r="S7" s="42"/>
      <c r="T7" s="20">
        <f t="shared" si="1"/>
        <v>14.95</v>
      </c>
      <c r="U7" s="19">
        <f t="shared" si="2"/>
        <v>14.95</v>
      </c>
      <c r="V7" s="52">
        <v>34748832000</v>
      </c>
      <c r="W7" s="153">
        <v>1588540000</v>
      </c>
      <c r="X7" s="59"/>
      <c r="Y7" s="153"/>
      <c r="Z7" s="21"/>
      <c r="AA7" s="20">
        <f t="shared" si="3"/>
        <v>17.64</v>
      </c>
      <c r="AB7" s="19">
        <f t="shared" si="4"/>
        <v>15</v>
      </c>
      <c r="AC7" s="16">
        <v>20</v>
      </c>
      <c r="AD7" s="18">
        <f>3*I7*0.3</f>
        <v>0.62999999999999989</v>
      </c>
      <c r="AE7" s="17"/>
      <c r="AF7" s="23">
        <f t="shared" si="5"/>
        <v>30</v>
      </c>
      <c r="AG7" s="16">
        <v>45</v>
      </c>
      <c r="AH7" s="23">
        <f t="shared" si="6"/>
        <v>95</v>
      </c>
      <c r="AI7" s="14">
        <f t="shared" si="7"/>
        <v>0.85499999999999998</v>
      </c>
      <c r="AJ7" s="13"/>
      <c r="AK7" s="12">
        <v>0.01</v>
      </c>
      <c r="AL7" s="11">
        <f t="shared" si="8"/>
        <v>1.01</v>
      </c>
      <c r="AM7" s="10">
        <f t="shared" si="9"/>
        <v>9104802000</v>
      </c>
      <c r="AN7" s="9"/>
      <c r="AO7" s="16"/>
      <c r="AP7" s="81"/>
      <c r="AQ7" s="81"/>
      <c r="AR7" s="8"/>
      <c r="AS7" s="7"/>
      <c r="AT7" s="6">
        <f t="shared" si="10"/>
        <v>0</v>
      </c>
    </row>
    <row r="8" spans="1:46" s="37" customFormat="1" ht="45.75" customHeight="1" thickBot="1" x14ac:dyDescent="0.2">
      <c r="A8" s="35">
        <v>4</v>
      </c>
      <c r="B8" s="35"/>
      <c r="C8" s="39" t="s">
        <v>362</v>
      </c>
      <c r="D8" s="96" t="s">
        <v>361</v>
      </c>
      <c r="E8" s="39"/>
      <c r="F8" s="73"/>
      <c r="G8" s="51"/>
      <c r="H8" s="45"/>
      <c r="I8" s="38">
        <v>0.7</v>
      </c>
      <c r="J8" s="30">
        <v>0.3</v>
      </c>
      <c r="K8" s="29"/>
      <c r="L8" s="28"/>
      <c r="M8" s="27"/>
      <c r="N8" s="26">
        <f t="shared" si="0"/>
        <v>1</v>
      </c>
      <c r="O8" s="65">
        <v>15</v>
      </c>
      <c r="P8" s="23">
        <v>15</v>
      </c>
      <c r="Q8" s="42"/>
      <c r="R8" s="42"/>
      <c r="S8" s="42"/>
      <c r="T8" s="20">
        <f t="shared" si="1"/>
        <v>15</v>
      </c>
      <c r="U8" s="19">
        <f t="shared" si="2"/>
        <v>15</v>
      </c>
      <c r="V8" s="41">
        <v>57539030000</v>
      </c>
      <c r="W8" s="41">
        <v>2015990000</v>
      </c>
      <c r="X8" s="59"/>
      <c r="Y8" s="22"/>
      <c r="Z8" s="21"/>
      <c r="AA8" s="20">
        <f t="shared" si="3"/>
        <v>29.08</v>
      </c>
      <c r="AB8" s="19">
        <f t="shared" si="4"/>
        <v>15</v>
      </c>
      <c r="AC8" s="16">
        <v>20</v>
      </c>
      <c r="AD8" s="18"/>
      <c r="AE8" s="17"/>
      <c r="AF8" s="23">
        <f t="shared" si="5"/>
        <v>30</v>
      </c>
      <c r="AG8" s="16">
        <v>45</v>
      </c>
      <c r="AH8" s="23">
        <f t="shared" si="6"/>
        <v>95</v>
      </c>
      <c r="AI8" s="14">
        <f t="shared" si="7"/>
        <v>0.85499999999999998</v>
      </c>
      <c r="AJ8" s="13"/>
      <c r="AK8" s="12">
        <v>0.01</v>
      </c>
      <c r="AL8" s="11">
        <f t="shared" si="8"/>
        <v>1.01</v>
      </c>
      <c r="AM8" s="10">
        <f t="shared" si="9"/>
        <v>9104802000</v>
      </c>
      <c r="AN8" s="9"/>
      <c r="AO8" s="16"/>
      <c r="AP8" s="81"/>
      <c r="AQ8" s="81"/>
      <c r="AR8" s="8"/>
      <c r="AS8" s="7"/>
      <c r="AT8" s="6">
        <f t="shared" si="10"/>
        <v>0</v>
      </c>
    </row>
    <row r="9" spans="1:46" s="37" customFormat="1" ht="45.75" customHeight="1" thickBot="1" x14ac:dyDescent="0.2">
      <c r="A9" s="35">
        <v>5</v>
      </c>
      <c r="B9" s="35"/>
      <c r="C9" s="47" t="s">
        <v>360</v>
      </c>
      <c r="D9" s="70" t="s">
        <v>359</v>
      </c>
      <c r="E9" s="39" t="s">
        <v>358</v>
      </c>
      <c r="F9" s="73"/>
      <c r="G9" s="51"/>
      <c r="H9" s="45"/>
      <c r="I9" s="38">
        <v>0.4</v>
      </c>
      <c r="J9" s="30">
        <v>0.3</v>
      </c>
      <c r="K9" s="29">
        <v>0.3</v>
      </c>
      <c r="L9" s="28"/>
      <c r="M9" s="27"/>
      <c r="N9" s="26">
        <f t="shared" si="0"/>
        <v>1</v>
      </c>
      <c r="O9" s="65">
        <v>15</v>
      </c>
      <c r="P9" s="23">
        <v>15</v>
      </c>
      <c r="Q9" s="42">
        <v>15</v>
      </c>
      <c r="R9" s="42"/>
      <c r="S9" s="23"/>
      <c r="T9" s="20">
        <f t="shared" si="1"/>
        <v>15</v>
      </c>
      <c r="U9" s="19">
        <f t="shared" si="2"/>
        <v>15</v>
      </c>
      <c r="V9" s="52">
        <v>14977246000</v>
      </c>
      <c r="W9" s="22">
        <v>1945512000</v>
      </c>
      <c r="X9" s="59">
        <v>58909982000</v>
      </c>
      <c r="Y9" s="22"/>
      <c r="Z9" s="21"/>
      <c r="AA9" s="20">
        <f t="shared" si="3"/>
        <v>17.25</v>
      </c>
      <c r="AB9" s="19">
        <f t="shared" si="4"/>
        <v>15</v>
      </c>
      <c r="AC9" s="16">
        <v>20</v>
      </c>
      <c r="AD9" s="18"/>
      <c r="AE9" s="17"/>
      <c r="AF9" s="23">
        <f t="shared" si="5"/>
        <v>30</v>
      </c>
      <c r="AG9" s="16">
        <v>45</v>
      </c>
      <c r="AH9" s="23">
        <f t="shared" si="6"/>
        <v>95</v>
      </c>
      <c r="AI9" s="14">
        <f t="shared" si="7"/>
        <v>0.85499999999999998</v>
      </c>
      <c r="AJ9" s="13"/>
      <c r="AK9" s="12">
        <v>0.01</v>
      </c>
      <c r="AL9" s="11">
        <f t="shared" si="8"/>
        <v>1.01</v>
      </c>
      <c r="AM9" s="10">
        <f t="shared" si="9"/>
        <v>9104802000</v>
      </c>
      <c r="AN9" s="9"/>
      <c r="AO9" s="16"/>
      <c r="AP9" s="87"/>
      <c r="AQ9" s="81"/>
      <c r="AR9" s="8"/>
      <c r="AS9" s="7"/>
      <c r="AT9" s="6">
        <f t="shared" si="10"/>
        <v>0</v>
      </c>
    </row>
    <row r="10" spans="1:46" s="37" customFormat="1" ht="45.75" customHeight="1" thickBot="1" x14ac:dyDescent="0.2">
      <c r="A10" s="35">
        <v>6</v>
      </c>
      <c r="B10" s="35"/>
      <c r="C10" s="47" t="s">
        <v>357</v>
      </c>
      <c r="D10" s="96" t="s">
        <v>356</v>
      </c>
      <c r="E10" s="73" t="s">
        <v>355</v>
      </c>
      <c r="F10" s="73"/>
      <c r="G10" s="51"/>
      <c r="H10" s="45"/>
      <c r="I10" s="38">
        <v>0.4</v>
      </c>
      <c r="J10" s="30">
        <v>0.3</v>
      </c>
      <c r="K10" s="29">
        <v>0.3</v>
      </c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52">
        <v>8216820000</v>
      </c>
      <c r="W10" s="41">
        <v>2525708000</v>
      </c>
      <c r="X10" s="22">
        <v>57131058000</v>
      </c>
      <c r="Y10" s="41"/>
      <c r="Z10" s="21"/>
      <c r="AA10" s="20">
        <f t="shared" si="3"/>
        <v>15.07</v>
      </c>
      <c r="AB10" s="19">
        <f t="shared" si="4"/>
        <v>15</v>
      </c>
      <c r="AC10" s="16">
        <v>20</v>
      </c>
      <c r="AD10" s="18"/>
      <c r="AE10" s="17"/>
      <c r="AF10" s="93">
        <f t="shared" si="5"/>
        <v>30</v>
      </c>
      <c r="AG10" s="74">
        <v>45</v>
      </c>
      <c r="AH10" s="93">
        <f t="shared" si="6"/>
        <v>95</v>
      </c>
      <c r="AI10" s="14">
        <f t="shared" si="7"/>
        <v>0.85499999999999998</v>
      </c>
      <c r="AJ10" s="13"/>
      <c r="AK10" s="12">
        <v>0.01</v>
      </c>
      <c r="AL10" s="11">
        <f t="shared" si="8"/>
        <v>1.01</v>
      </c>
      <c r="AM10" s="10">
        <f t="shared" si="9"/>
        <v>9104802000</v>
      </c>
      <c r="AN10" s="9"/>
      <c r="AO10" s="16"/>
      <c r="AP10" s="71"/>
      <c r="AQ10" s="81"/>
      <c r="AR10" s="8"/>
      <c r="AS10" s="7"/>
      <c r="AT10" s="6">
        <f t="shared" si="10"/>
        <v>0</v>
      </c>
    </row>
    <row r="11" spans="1:46" s="37" customFormat="1" ht="45.75" customHeight="1" thickBot="1" x14ac:dyDescent="0.2">
      <c r="A11" s="35">
        <v>7</v>
      </c>
      <c r="B11" s="35"/>
      <c r="C11" s="39" t="s">
        <v>354</v>
      </c>
      <c r="D11" s="96" t="s">
        <v>353</v>
      </c>
      <c r="E11" s="39" t="s">
        <v>352</v>
      </c>
      <c r="F11" s="73"/>
      <c r="G11" s="51"/>
      <c r="H11" s="45"/>
      <c r="I11" s="38">
        <v>0.4</v>
      </c>
      <c r="J11" s="30">
        <v>0.3</v>
      </c>
      <c r="K11" s="29">
        <v>0.3</v>
      </c>
      <c r="L11" s="28"/>
      <c r="M11" s="27"/>
      <c r="N11" s="26">
        <f t="shared" si="0"/>
        <v>1</v>
      </c>
      <c r="O11" s="65">
        <v>15</v>
      </c>
      <c r="P11" s="23">
        <v>15</v>
      </c>
      <c r="Q11" s="42">
        <v>15</v>
      </c>
      <c r="R11" s="42"/>
      <c r="S11" s="23"/>
      <c r="T11" s="20">
        <f t="shared" si="1"/>
        <v>15</v>
      </c>
      <c r="U11" s="19">
        <f t="shared" si="2"/>
        <v>15</v>
      </c>
      <c r="V11" s="22">
        <v>8139504000</v>
      </c>
      <c r="W11" s="48">
        <v>2810002000</v>
      </c>
      <c r="X11" s="22">
        <v>78106522000</v>
      </c>
      <c r="Y11" s="92"/>
      <c r="Z11" s="68"/>
      <c r="AA11" s="20">
        <f t="shared" si="3"/>
        <v>19.579999999999998</v>
      </c>
      <c r="AB11" s="19">
        <f t="shared" si="4"/>
        <v>15</v>
      </c>
      <c r="AC11" s="16">
        <v>20</v>
      </c>
      <c r="AD11" s="18"/>
      <c r="AE11" s="17"/>
      <c r="AF11" s="23">
        <f t="shared" si="5"/>
        <v>30</v>
      </c>
      <c r="AG11" s="16">
        <v>45</v>
      </c>
      <c r="AH11" s="23">
        <f t="shared" si="6"/>
        <v>95</v>
      </c>
      <c r="AI11" s="14">
        <f t="shared" si="7"/>
        <v>0.85499999999999998</v>
      </c>
      <c r="AJ11" s="13"/>
      <c r="AK11" s="12">
        <v>0.01</v>
      </c>
      <c r="AL11" s="11">
        <f t="shared" si="8"/>
        <v>1.01</v>
      </c>
      <c r="AM11" s="10">
        <f t="shared" si="9"/>
        <v>9104802000</v>
      </c>
      <c r="AN11" s="9"/>
      <c r="AO11" s="16"/>
      <c r="AP11" s="72"/>
      <c r="AQ11" s="71"/>
      <c r="AR11" s="8"/>
      <c r="AS11" s="7"/>
      <c r="AT11" s="6">
        <f t="shared" si="10"/>
        <v>0</v>
      </c>
    </row>
    <row r="12" spans="1:46" s="37" customFormat="1" ht="45.75" customHeight="1" thickBot="1" x14ac:dyDescent="0.2">
      <c r="A12" s="35">
        <v>8</v>
      </c>
      <c r="B12" s="35"/>
      <c r="C12" s="39" t="s">
        <v>351</v>
      </c>
      <c r="D12" s="70" t="s">
        <v>350</v>
      </c>
      <c r="E12" s="47" t="s">
        <v>349</v>
      </c>
      <c r="F12" s="73"/>
      <c r="G12" s="51"/>
      <c r="H12" s="45"/>
      <c r="I12" s="38">
        <v>0.4</v>
      </c>
      <c r="J12" s="30">
        <v>0.3</v>
      </c>
      <c r="K12" s="29">
        <v>0.3</v>
      </c>
      <c r="L12" s="28"/>
      <c r="M12" s="27"/>
      <c r="N12" s="26">
        <f t="shared" si="0"/>
        <v>1</v>
      </c>
      <c r="O12" s="65">
        <v>15</v>
      </c>
      <c r="P12" s="23">
        <v>15</v>
      </c>
      <c r="Q12" s="42">
        <v>15</v>
      </c>
      <c r="R12" s="42"/>
      <c r="S12" s="23"/>
      <c r="T12" s="20">
        <f t="shared" si="1"/>
        <v>15</v>
      </c>
      <c r="U12" s="19">
        <f t="shared" si="2"/>
        <v>15</v>
      </c>
      <c r="V12" s="84">
        <v>3664456000</v>
      </c>
      <c r="W12" s="22">
        <v>1638222000</v>
      </c>
      <c r="X12" s="41">
        <v>328448752000</v>
      </c>
      <c r="Y12" s="91"/>
      <c r="Z12" s="21"/>
      <c r="AA12" s="20">
        <f t="shared" si="3"/>
        <v>71.48</v>
      </c>
      <c r="AB12" s="19">
        <f t="shared" si="4"/>
        <v>15</v>
      </c>
      <c r="AC12" s="16">
        <v>20</v>
      </c>
      <c r="AD12" s="18"/>
      <c r="AE12" s="17"/>
      <c r="AF12" s="23">
        <f t="shared" si="5"/>
        <v>30</v>
      </c>
      <c r="AG12" s="16">
        <v>45</v>
      </c>
      <c r="AH12" s="23">
        <f t="shared" si="6"/>
        <v>95</v>
      </c>
      <c r="AI12" s="14">
        <f t="shared" si="7"/>
        <v>0.85499999999999998</v>
      </c>
      <c r="AJ12" s="13"/>
      <c r="AK12" s="12">
        <v>0.01</v>
      </c>
      <c r="AL12" s="11">
        <f t="shared" si="8"/>
        <v>1.01</v>
      </c>
      <c r="AM12" s="10">
        <f t="shared" si="9"/>
        <v>9104802000</v>
      </c>
      <c r="AN12" s="9"/>
      <c r="AO12" s="16"/>
      <c r="AP12" s="71"/>
      <c r="AQ12" s="71"/>
      <c r="AR12" s="8"/>
      <c r="AS12" s="7"/>
      <c r="AT12" s="6">
        <f t="shared" si="10"/>
        <v>0</v>
      </c>
    </row>
    <row r="13" spans="1:46" s="37" customFormat="1" ht="45.75" customHeight="1" thickBot="1" x14ac:dyDescent="0.2">
      <c r="A13" s="35">
        <v>9</v>
      </c>
      <c r="B13" s="35"/>
      <c r="C13" s="39" t="s">
        <v>348</v>
      </c>
      <c r="D13" s="96" t="s">
        <v>347</v>
      </c>
      <c r="E13" s="47" t="s">
        <v>346</v>
      </c>
      <c r="F13" s="73"/>
      <c r="G13" s="51"/>
      <c r="H13" s="45"/>
      <c r="I13" s="38">
        <v>0.4</v>
      </c>
      <c r="J13" s="30">
        <v>0.3</v>
      </c>
      <c r="K13" s="29">
        <v>0.3</v>
      </c>
      <c r="L13" s="30"/>
      <c r="M13" s="27"/>
      <c r="N13" s="26">
        <f t="shared" si="0"/>
        <v>1</v>
      </c>
      <c r="O13" s="65">
        <v>15</v>
      </c>
      <c r="P13" s="23">
        <v>15</v>
      </c>
      <c r="Q13" s="42">
        <v>15</v>
      </c>
      <c r="R13" s="42"/>
      <c r="S13" s="42"/>
      <c r="T13" s="20">
        <f t="shared" si="1"/>
        <v>15</v>
      </c>
      <c r="U13" s="19">
        <f t="shared" si="2"/>
        <v>15</v>
      </c>
      <c r="V13" s="79">
        <v>7702371000</v>
      </c>
      <c r="W13" s="48">
        <v>1628261000</v>
      </c>
      <c r="X13" s="41">
        <v>130509297000</v>
      </c>
      <c r="Y13" s="91"/>
      <c r="Z13" s="21"/>
      <c r="AA13" s="20">
        <f t="shared" si="3"/>
        <v>30.39</v>
      </c>
      <c r="AB13" s="19">
        <f t="shared" si="4"/>
        <v>15</v>
      </c>
      <c r="AC13" s="16">
        <v>20</v>
      </c>
      <c r="AD13" s="18"/>
      <c r="AE13" s="17"/>
      <c r="AF13" s="23">
        <f t="shared" si="5"/>
        <v>30</v>
      </c>
      <c r="AG13" s="16">
        <v>45</v>
      </c>
      <c r="AH13" s="23">
        <f t="shared" si="6"/>
        <v>95</v>
      </c>
      <c r="AI13" s="14">
        <f t="shared" si="7"/>
        <v>0.85499999999999998</v>
      </c>
      <c r="AJ13" s="13"/>
      <c r="AK13" s="12">
        <v>0.01</v>
      </c>
      <c r="AL13" s="11">
        <f t="shared" si="8"/>
        <v>1.01</v>
      </c>
      <c r="AM13" s="10">
        <f t="shared" si="9"/>
        <v>9104802000</v>
      </c>
      <c r="AN13" s="9"/>
      <c r="AO13" s="72"/>
      <c r="AP13" s="16"/>
      <c r="AQ13" s="16"/>
      <c r="AR13" s="8"/>
      <c r="AS13" s="7"/>
      <c r="AT13" s="6">
        <f t="shared" si="10"/>
        <v>0</v>
      </c>
    </row>
    <row r="14" spans="1:46" s="37" customFormat="1" ht="45.75" customHeight="1" thickBot="1" x14ac:dyDescent="0.2">
      <c r="A14" s="35">
        <v>10</v>
      </c>
      <c r="B14" s="35"/>
      <c r="C14" s="39" t="s">
        <v>345</v>
      </c>
      <c r="D14" s="70" t="s">
        <v>344</v>
      </c>
      <c r="E14" s="39" t="s">
        <v>343</v>
      </c>
      <c r="F14" s="47"/>
      <c r="G14" s="33"/>
      <c r="H14" s="32"/>
      <c r="I14" s="38">
        <v>0.4</v>
      </c>
      <c r="J14" s="30">
        <v>0.3</v>
      </c>
      <c r="K14" s="29">
        <v>0.3</v>
      </c>
      <c r="L14" s="28"/>
      <c r="M14" s="27"/>
      <c r="N14" s="26">
        <f t="shared" si="0"/>
        <v>1</v>
      </c>
      <c r="O14" s="25">
        <v>15</v>
      </c>
      <c r="P14" s="23">
        <v>15</v>
      </c>
      <c r="Q14" s="24">
        <v>15</v>
      </c>
      <c r="R14" s="24"/>
      <c r="S14" s="23"/>
      <c r="T14" s="20">
        <f t="shared" si="1"/>
        <v>15</v>
      </c>
      <c r="U14" s="19">
        <f t="shared" si="2"/>
        <v>15</v>
      </c>
      <c r="V14" s="59">
        <v>3530749000</v>
      </c>
      <c r="W14" s="22">
        <v>3349553000</v>
      </c>
      <c r="X14" s="59">
        <v>80267427000</v>
      </c>
      <c r="Y14" s="41"/>
      <c r="Z14" s="21"/>
      <c r="AA14" s="20">
        <f t="shared" si="3"/>
        <v>18.850000000000001</v>
      </c>
      <c r="AB14" s="19">
        <f t="shared" si="4"/>
        <v>15</v>
      </c>
      <c r="AC14" s="16">
        <v>20</v>
      </c>
      <c r="AD14" s="18"/>
      <c r="AE14" s="17"/>
      <c r="AF14" s="23">
        <f t="shared" si="5"/>
        <v>30</v>
      </c>
      <c r="AG14" s="16">
        <v>45</v>
      </c>
      <c r="AH14" s="23">
        <f t="shared" si="6"/>
        <v>95</v>
      </c>
      <c r="AI14" s="14">
        <f t="shared" si="7"/>
        <v>0.85499999999999998</v>
      </c>
      <c r="AJ14" s="13"/>
      <c r="AK14" s="12">
        <v>0.01</v>
      </c>
      <c r="AL14" s="11">
        <f t="shared" si="8"/>
        <v>1.01</v>
      </c>
      <c r="AM14" s="10">
        <f t="shared" si="9"/>
        <v>9104802000</v>
      </c>
      <c r="AN14" s="9"/>
      <c r="AO14" s="8"/>
      <c r="AP14" s="8"/>
      <c r="AQ14" s="8"/>
      <c r="AR14" s="8"/>
      <c r="AS14" s="7"/>
      <c r="AT14" s="6">
        <f t="shared" si="10"/>
        <v>0</v>
      </c>
    </row>
    <row r="15" spans="1:46" s="37" customFormat="1" ht="45.75" customHeight="1" thickBot="1" x14ac:dyDescent="0.2">
      <c r="A15" s="35">
        <v>11</v>
      </c>
      <c r="B15" s="35"/>
      <c r="C15" s="39" t="s">
        <v>342</v>
      </c>
      <c r="D15" s="70" t="s">
        <v>341</v>
      </c>
      <c r="E15" s="73"/>
      <c r="F15" s="73"/>
      <c r="G15" s="51"/>
      <c r="H15" s="45"/>
      <c r="I15" s="38">
        <v>0.6</v>
      </c>
      <c r="J15" s="30">
        <v>0.4</v>
      </c>
      <c r="K15" s="29"/>
      <c r="L15" s="28"/>
      <c r="M15" s="27"/>
      <c r="N15" s="26">
        <f t="shared" si="0"/>
        <v>1</v>
      </c>
      <c r="O15" s="65">
        <v>15</v>
      </c>
      <c r="P15" s="23">
        <v>15</v>
      </c>
      <c r="Q15" s="42"/>
      <c r="R15" s="42"/>
      <c r="S15" s="23"/>
      <c r="T15" s="20">
        <f t="shared" si="1"/>
        <v>15</v>
      </c>
      <c r="U15" s="19">
        <f t="shared" si="2"/>
        <v>15</v>
      </c>
      <c r="V15" s="59">
        <v>233566701000</v>
      </c>
      <c r="W15" s="61">
        <v>3916356000</v>
      </c>
      <c r="X15" s="59"/>
      <c r="Y15" s="22"/>
      <c r="Z15" s="68"/>
      <c r="AA15" s="20">
        <f t="shared" si="3"/>
        <v>100.8</v>
      </c>
      <c r="AB15" s="19">
        <f t="shared" si="4"/>
        <v>15</v>
      </c>
      <c r="AC15" s="16">
        <v>20</v>
      </c>
      <c r="AD15" s="18"/>
      <c r="AE15" s="17"/>
      <c r="AF15" s="23">
        <f t="shared" si="5"/>
        <v>30</v>
      </c>
      <c r="AG15" s="16">
        <v>45</v>
      </c>
      <c r="AH15" s="23">
        <f t="shared" si="6"/>
        <v>95</v>
      </c>
      <c r="AI15" s="14">
        <f t="shared" si="7"/>
        <v>0.85499999999999998</v>
      </c>
      <c r="AJ15" s="13"/>
      <c r="AK15" s="12">
        <v>0.01</v>
      </c>
      <c r="AL15" s="11">
        <f t="shared" si="8"/>
        <v>1.01</v>
      </c>
      <c r="AM15" s="10">
        <f t="shared" si="9"/>
        <v>9104802000</v>
      </c>
      <c r="AN15" s="9"/>
      <c r="AO15" s="72"/>
      <c r="AP15" s="71"/>
      <c r="AQ15" s="72"/>
      <c r="AR15" s="8"/>
      <c r="AS15" s="7"/>
      <c r="AT15" s="6">
        <f t="shared" si="10"/>
        <v>0</v>
      </c>
    </row>
    <row r="16" spans="1:46" s="37" customFormat="1" ht="45.75" customHeight="1" thickBot="1" x14ac:dyDescent="0.2">
      <c r="A16" s="35">
        <v>12</v>
      </c>
      <c r="B16" s="35"/>
      <c r="C16" s="39" t="s">
        <v>340</v>
      </c>
      <c r="D16" s="70" t="s">
        <v>339</v>
      </c>
      <c r="E16" s="39" t="s">
        <v>338</v>
      </c>
      <c r="F16" s="73"/>
      <c r="G16" s="51"/>
      <c r="H16" s="45"/>
      <c r="I16" s="38">
        <v>0.5</v>
      </c>
      <c r="J16" s="30">
        <v>0.3</v>
      </c>
      <c r="K16" s="29">
        <v>0.2</v>
      </c>
      <c r="L16" s="30"/>
      <c r="M16" s="27"/>
      <c r="N16" s="26">
        <f t="shared" si="0"/>
        <v>1</v>
      </c>
      <c r="O16" s="65">
        <v>15</v>
      </c>
      <c r="P16" s="23">
        <v>15</v>
      </c>
      <c r="Q16" s="42">
        <v>15</v>
      </c>
      <c r="R16" s="42"/>
      <c r="S16" s="42"/>
      <c r="T16" s="20">
        <f t="shared" si="1"/>
        <v>15</v>
      </c>
      <c r="U16" s="19">
        <f t="shared" si="2"/>
        <v>15</v>
      </c>
      <c r="V16" s="90">
        <v>180536694000</v>
      </c>
      <c r="W16" s="61">
        <v>1594611000</v>
      </c>
      <c r="X16" s="78">
        <v>10737437000</v>
      </c>
      <c r="Y16" s="59"/>
      <c r="Z16" s="21"/>
      <c r="AA16" s="20">
        <f t="shared" si="3"/>
        <v>66.08</v>
      </c>
      <c r="AB16" s="19">
        <f t="shared" si="4"/>
        <v>15</v>
      </c>
      <c r="AC16" s="16">
        <v>20</v>
      </c>
      <c r="AD16" s="83"/>
      <c r="AE16" s="17"/>
      <c r="AF16" s="23">
        <f t="shared" si="5"/>
        <v>30</v>
      </c>
      <c r="AG16" s="16">
        <v>45</v>
      </c>
      <c r="AH16" s="23">
        <f t="shared" si="6"/>
        <v>95</v>
      </c>
      <c r="AI16" s="14">
        <f t="shared" si="7"/>
        <v>0.85499999999999998</v>
      </c>
      <c r="AJ16" s="13"/>
      <c r="AK16" s="12">
        <v>0.01</v>
      </c>
      <c r="AL16" s="11">
        <f t="shared" si="8"/>
        <v>1.01</v>
      </c>
      <c r="AM16" s="10">
        <f t="shared" si="9"/>
        <v>9104802000</v>
      </c>
      <c r="AN16" s="9"/>
      <c r="AO16" s="16"/>
      <c r="AP16" s="87"/>
      <c r="AQ16" s="81"/>
      <c r="AR16" s="8"/>
      <c r="AS16" s="7"/>
      <c r="AT16" s="6">
        <f t="shared" si="10"/>
        <v>0</v>
      </c>
    </row>
    <row r="17" spans="1:46" s="37" customFormat="1" ht="45.75" customHeight="1" thickBot="1" x14ac:dyDescent="0.2">
      <c r="A17" s="35">
        <v>13</v>
      </c>
      <c r="B17" s="35"/>
      <c r="C17" s="39" t="s">
        <v>337</v>
      </c>
      <c r="D17" s="70" t="s">
        <v>336</v>
      </c>
      <c r="E17" s="39" t="s">
        <v>335</v>
      </c>
      <c r="F17" s="73"/>
      <c r="G17" s="51"/>
      <c r="H17" s="77"/>
      <c r="I17" s="38">
        <v>0.5</v>
      </c>
      <c r="J17" s="30">
        <v>0.3</v>
      </c>
      <c r="K17" s="29">
        <v>0.2</v>
      </c>
      <c r="L17" s="28"/>
      <c r="M17" s="27"/>
      <c r="N17" s="26">
        <f t="shared" si="0"/>
        <v>1</v>
      </c>
      <c r="O17" s="65">
        <v>15</v>
      </c>
      <c r="P17" s="23">
        <v>15</v>
      </c>
      <c r="Q17" s="23">
        <v>15</v>
      </c>
      <c r="R17" s="42"/>
      <c r="S17" s="23"/>
      <c r="T17" s="20">
        <f t="shared" si="1"/>
        <v>15</v>
      </c>
      <c r="U17" s="19">
        <f t="shared" si="2"/>
        <v>15</v>
      </c>
      <c r="V17" s="59">
        <v>101360213000</v>
      </c>
      <c r="W17" s="59">
        <v>1993144000</v>
      </c>
      <c r="X17" s="78">
        <v>13914818000</v>
      </c>
      <c r="Y17" s="22"/>
      <c r="Z17" s="68"/>
      <c r="AA17" s="20">
        <f t="shared" si="3"/>
        <v>38.46</v>
      </c>
      <c r="AB17" s="19">
        <f t="shared" si="4"/>
        <v>15</v>
      </c>
      <c r="AC17" s="16">
        <v>20</v>
      </c>
      <c r="AD17" s="18"/>
      <c r="AE17" s="17"/>
      <c r="AF17" s="23">
        <f t="shared" si="5"/>
        <v>30</v>
      </c>
      <c r="AG17" s="16">
        <v>45</v>
      </c>
      <c r="AH17" s="23">
        <f t="shared" si="6"/>
        <v>95</v>
      </c>
      <c r="AI17" s="14">
        <f t="shared" si="7"/>
        <v>0.85499999999999998</v>
      </c>
      <c r="AJ17" s="13"/>
      <c r="AK17" s="12">
        <v>0.01</v>
      </c>
      <c r="AL17" s="11">
        <f t="shared" si="8"/>
        <v>1.01</v>
      </c>
      <c r="AM17" s="10">
        <f t="shared" si="9"/>
        <v>9104802000</v>
      </c>
      <c r="AN17" s="9"/>
      <c r="AO17" s="16"/>
      <c r="AP17" s="71"/>
      <c r="AQ17" s="16"/>
      <c r="AR17" s="8"/>
      <c r="AS17" s="7"/>
      <c r="AT17" s="6">
        <f t="shared" si="10"/>
        <v>0</v>
      </c>
    </row>
    <row r="18" spans="1:46" s="37" customFormat="1" ht="45.75" customHeight="1" thickBot="1" x14ac:dyDescent="0.2">
      <c r="A18" s="35">
        <v>14</v>
      </c>
      <c r="B18" s="35"/>
      <c r="C18" s="39" t="s">
        <v>334</v>
      </c>
      <c r="D18" s="96" t="s">
        <v>333</v>
      </c>
      <c r="E18" s="39"/>
      <c r="F18" s="73"/>
      <c r="G18" s="51"/>
      <c r="H18" s="45"/>
      <c r="I18" s="38">
        <v>0.6</v>
      </c>
      <c r="J18" s="30">
        <v>0.4</v>
      </c>
      <c r="K18" s="29"/>
      <c r="L18" s="28"/>
      <c r="M18" s="27"/>
      <c r="N18" s="26">
        <f t="shared" si="0"/>
        <v>1</v>
      </c>
      <c r="O18" s="65">
        <v>15</v>
      </c>
      <c r="P18" s="23">
        <v>15</v>
      </c>
      <c r="Q18" s="42"/>
      <c r="R18" s="42"/>
      <c r="S18" s="23"/>
      <c r="T18" s="20">
        <f t="shared" si="1"/>
        <v>15</v>
      </c>
      <c r="U18" s="19">
        <f t="shared" si="2"/>
        <v>15</v>
      </c>
      <c r="V18" s="62">
        <v>618668065000</v>
      </c>
      <c r="W18" s="22">
        <v>14778554000</v>
      </c>
      <c r="X18" s="59"/>
      <c r="Y18" s="59"/>
      <c r="Z18" s="21"/>
      <c r="AA18" s="20">
        <f t="shared" si="3"/>
        <v>268.26</v>
      </c>
      <c r="AB18" s="19">
        <f t="shared" si="4"/>
        <v>15</v>
      </c>
      <c r="AC18" s="16">
        <v>20</v>
      </c>
      <c r="AD18" s="18"/>
      <c r="AE18" s="17"/>
      <c r="AF18" s="23">
        <f t="shared" si="5"/>
        <v>30</v>
      </c>
      <c r="AG18" s="16">
        <v>45</v>
      </c>
      <c r="AH18" s="23">
        <f t="shared" si="6"/>
        <v>95</v>
      </c>
      <c r="AI18" s="14">
        <f t="shared" si="7"/>
        <v>0.85499999999999998</v>
      </c>
      <c r="AJ18" s="13"/>
      <c r="AK18" s="12">
        <v>0.01</v>
      </c>
      <c r="AL18" s="11">
        <f t="shared" si="8"/>
        <v>1.01</v>
      </c>
      <c r="AM18" s="10">
        <f t="shared" si="9"/>
        <v>9104802000</v>
      </c>
      <c r="AN18" s="9"/>
      <c r="AO18" s="16"/>
      <c r="AP18" s="81"/>
      <c r="AQ18" s="87"/>
      <c r="AR18" s="8"/>
      <c r="AS18" s="7"/>
      <c r="AT18" s="6">
        <f t="shared" si="10"/>
        <v>0</v>
      </c>
    </row>
    <row r="19" spans="1:46" s="37" customFormat="1" ht="45.75" customHeight="1" thickBot="1" x14ac:dyDescent="0.2">
      <c r="A19" s="35">
        <v>15</v>
      </c>
      <c r="B19" s="140"/>
      <c r="C19" s="39" t="s">
        <v>332</v>
      </c>
      <c r="D19" s="70" t="s">
        <v>528</v>
      </c>
      <c r="E19" s="39"/>
      <c r="F19" s="73"/>
      <c r="G19" s="51"/>
      <c r="H19" s="45"/>
      <c r="I19" s="38">
        <v>0.6</v>
      </c>
      <c r="J19" s="30">
        <v>0.4</v>
      </c>
      <c r="K19" s="29"/>
      <c r="L19" s="28"/>
      <c r="M19" s="27"/>
      <c r="N19" s="26">
        <f t="shared" si="0"/>
        <v>1</v>
      </c>
      <c r="O19" s="65">
        <v>15</v>
      </c>
      <c r="P19" s="23">
        <v>15</v>
      </c>
      <c r="Q19" s="23"/>
      <c r="R19" s="42"/>
      <c r="S19" s="23"/>
      <c r="T19" s="20">
        <f t="shared" si="1"/>
        <v>15</v>
      </c>
      <c r="U19" s="19">
        <f t="shared" si="2"/>
        <v>15</v>
      </c>
      <c r="V19" s="62">
        <v>227887155000</v>
      </c>
      <c r="W19" s="152">
        <v>2889731000</v>
      </c>
      <c r="X19" s="59"/>
      <c r="Y19" s="22"/>
      <c r="Z19" s="21"/>
      <c r="AA19" s="20">
        <f t="shared" si="3"/>
        <v>98.09</v>
      </c>
      <c r="AB19" s="19">
        <f t="shared" si="4"/>
        <v>15</v>
      </c>
      <c r="AC19" s="16">
        <v>20</v>
      </c>
      <c r="AD19" s="18"/>
      <c r="AE19" s="17"/>
      <c r="AF19" s="23">
        <f t="shared" si="5"/>
        <v>30</v>
      </c>
      <c r="AG19" s="16">
        <v>45</v>
      </c>
      <c r="AH19" s="23">
        <f t="shared" si="6"/>
        <v>95</v>
      </c>
      <c r="AI19" s="14">
        <f t="shared" si="7"/>
        <v>0.85499999999999998</v>
      </c>
      <c r="AJ19" s="13"/>
      <c r="AK19" s="12">
        <v>0.01</v>
      </c>
      <c r="AL19" s="11">
        <f t="shared" si="8"/>
        <v>1.01</v>
      </c>
      <c r="AM19" s="10">
        <f t="shared" si="9"/>
        <v>9104802000</v>
      </c>
      <c r="AN19" s="9"/>
      <c r="AO19" s="16"/>
      <c r="AP19" s="81"/>
      <c r="AQ19" s="88"/>
      <c r="AR19" s="8"/>
      <c r="AS19" s="7"/>
      <c r="AT19" s="6">
        <f t="shared" si="10"/>
        <v>0</v>
      </c>
    </row>
    <row r="20" spans="1:46" s="37" customFormat="1" ht="45.75" customHeight="1" thickBot="1" x14ac:dyDescent="0.2">
      <c r="A20" s="35">
        <v>16</v>
      </c>
      <c r="B20" s="35"/>
      <c r="C20" s="39" t="s">
        <v>331</v>
      </c>
      <c r="D20" s="70" t="s">
        <v>330</v>
      </c>
      <c r="E20" s="39"/>
      <c r="F20" s="63"/>
      <c r="G20" s="51"/>
      <c r="H20" s="45" t="s">
        <v>329</v>
      </c>
      <c r="I20" s="38">
        <v>0.6</v>
      </c>
      <c r="J20" s="30">
        <v>0.4</v>
      </c>
      <c r="K20" s="29"/>
      <c r="L20" s="28"/>
      <c r="M20" s="27"/>
      <c r="N20" s="26">
        <f t="shared" si="0"/>
        <v>1</v>
      </c>
      <c r="O20" s="65">
        <v>15</v>
      </c>
      <c r="P20" s="23">
        <v>15</v>
      </c>
      <c r="Q20" s="42"/>
      <c r="R20" s="42"/>
      <c r="S20" s="42"/>
      <c r="T20" s="20">
        <f t="shared" si="1"/>
        <v>15</v>
      </c>
      <c r="U20" s="19">
        <f t="shared" si="2"/>
        <v>15</v>
      </c>
      <c r="V20" s="61">
        <v>75890281000</v>
      </c>
      <c r="W20" s="59">
        <v>4786101000</v>
      </c>
      <c r="X20" s="59"/>
      <c r="Y20" s="48"/>
      <c r="Z20" s="21"/>
      <c r="AA20" s="20">
        <f t="shared" si="3"/>
        <v>33.75</v>
      </c>
      <c r="AB20" s="19">
        <f t="shared" si="4"/>
        <v>15</v>
      </c>
      <c r="AC20" s="16">
        <v>20</v>
      </c>
      <c r="AD20" s="18"/>
      <c r="AE20" s="17"/>
      <c r="AF20" s="23">
        <f t="shared" si="5"/>
        <v>30</v>
      </c>
      <c r="AG20" s="16">
        <v>45</v>
      </c>
      <c r="AH20" s="23">
        <f t="shared" si="6"/>
        <v>95</v>
      </c>
      <c r="AI20" s="14">
        <f t="shared" si="7"/>
        <v>0.85499999999999998</v>
      </c>
      <c r="AJ20" s="13"/>
      <c r="AK20" s="12">
        <v>0.01</v>
      </c>
      <c r="AL20" s="11">
        <f t="shared" si="8"/>
        <v>1.01</v>
      </c>
      <c r="AM20" s="10">
        <f t="shared" si="9"/>
        <v>9104802000</v>
      </c>
      <c r="AN20" s="9"/>
      <c r="AO20" s="8"/>
      <c r="AP20" s="8"/>
      <c r="AQ20" s="8"/>
      <c r="AR20" s="8"/>
      <c r="AS20" s="7"/>
      <c r="AT20" s="6">
        <f t="shared" si="10"/>
        <v>0</v>
      </c>
    </row>
    <row r="21" spans="1:46" s="37" customFormat="1" ht="45.75" customHeight="1" thickBot="1" x14ac:dyDescent="0.2">
      <c r="A21" s="35">
        <v>17</v>
      </c>
      <c r="B21" s="35"/>
      <c r="C21" s="39" t="s">
        <v>328</v>
      </c>
      <c r="D21" s="70" t="s">
        <v>327</v>
      </c>
      <c r="E21" s="39" t="s">
        <v>326</v>
      </c>
      <c r="F21" s="73"/>
      <c r="G21" s="51"/>
      <c r="H21" s="45"/>
      <c r="I21" s="38">
        <v>0.5</v>
      </c>
      <c r="J21" s="30">
        <v>0.3</v>
      </c>
      <c r="K21" s="29">
        <v>0.2</v>
      </c>
      <c r="L21" s="28"/>
      <c r="M21" s="29"/>
      <c r="N21" s="26">
        <f t="shared" si="0"/>
        <v>1</v>
      </c>
      <c r="O21" s="23">
        <v>15</v>
      </c>
      <c r="P21" s="23">
        <v>15</v>
      </c>
      <c r="Q21" s="42">
        <v>15</v>
      </c>
      <c r="R21" s="42"/>
      <c r="S21" s="24"/>
      <c r="T21" s="20">
        <f t="shared" si="1"/>
        <v>15</v>
      </c>
      <c r="U21" s="19">
        <f t="shared" si="2"/>
        <v>15</v>
      </c>
      <c r="V21" s="59">
        <v>139068887000</v>
      </c>
      <c r="W21" s="59">
        <v>1991520000</v>
      </c>
      <c r="X21" s="59">
        <v>5383000000</v>
      </c>
      <c r="Y21" s="22"/>
      <c r="Z21" s="22"/>
      <c r="AA21" s="20">
        <f t="shared" si="3"/>
        <v>50.65</v>
      </c>
      <c r="AB21" s="19">
        <f t="shared" si="4"/>
        <v>15</v>
      </c>
      <c r="AC21" s="16">
        <v>20</v>
      </c>
      <c r="AD21" s="18"/>
      <c r="AE21" s="17"/>
      <c r="AF21" s="23">
        <f t="shared" si="5"/>
        <v>30</v>
      </c>
      <c r="AG21" s="16">
        <v>45</v>
      </c>
      <c r="AH21" s="23">
        <f t="shared" si="6"/>
        <v>95</v>
      </c>
      <c r="AI21" s="14">
        <f t="shared" si="7"/>
        <v>0.85499999999999998</v>
      </c>
      <c r="AJ21" s="13"/>
      <c r="AK21" s="12">
        <v>0.01</v>
      </c>
      <c r="AL21" s="11">
        <f t="shared" si="8"/>
        <v>1.01</v>
      </c>
      <c r="AM21" s="10">
        <f t="shared" si="9"/>
        <v>9104802000</v>
      </c>
      <c r="AN21" s="9"/>
      <c r="AO21" s="8"/>
      <c r="AP21" s="8"/>
      <c r="AQ21" s="8"/>
      <c r="AR21" s="8"/>
      <c r="AS21" s="7"/>
      <c r="AT21" s="6">
        <f t="shared" si="10"/>
        <v>0</v>
      </c>
    </row>
    <row r="22" spans="1:46" s="37" customFormat="1" ht="45.75" customHeight="1" thickBot="1" x14ac:dyDescent="0.2">
      <c r="A22" s="35">
        <v>18</v>
      </c>
      <c r="B22" s="35"/>
      <c r="C22" s="39" t="s">
        <v>325</v>
      </c>
      <c r="D22" s="70" t="s">
        <v>324</v>
      </c>
      <c r="E22" s="39" t="s">
        <v>323</v>
      </c>
      <c r="F22" s="34"/>
      <c r="G22" s="33"/>
      <c r="H22" s="32"/>
      <c r="I22" s="38">
        <v>0.4</v>
      </c>
      <c r="J22" s="30">
        <v>0.3</v>
      </c>
      <c r="K22" s="29">
        <v>0.3</v>
      </c>
      <c r="L22" s="28"/>
      <c r="M22" s="27"/>
      <c r="N22" s="26">
        <f t="shared" si="0"/>
        <v>1</v>
      </c>
      <c r="O22" s="25">
        <v>15</v>
      </c>
      <c r="P22" s="23">
        <v>15</v>
      </c>
      <c r="Q22" s="24">
        <v>15</v>
      </c>
      <c r="R22" s="24"/>
      <c r="S22" s="23"/>
      <c r="T22" s="20">
        <f t="shared" si="1"/>
        <v>15</v>
      </c>
      <c r="U22" s="19">
        <f t="shared" si="2"/>
        <v>15</v>
      </c>
      <c r="V22" s="61">
        <v>24296161000</v>
      </c>
      <c r="W22" s="22">
        <v>2623498000</v>
      </c>
      <c r="X22" s="22">
        <v>36061728000</v>
      </c>
      <c r="Y22" s="22"/>
      <c r="Z22" s="21"/>
      <c r="AA22" s="20">
        <f t="shared" si="3"/>
        <v>15.17</v>
      </c>
      <c r="AB22" s="19">
        <f t="shared" si="4"/>
        <v>15</v>
      </c>
      <c r="AC22" s="16">
        <v>20</v>
      </c>
      <c r="AD22" s="18"/>
      <c r="AE22" s="17"/>
      <c r="AF22" s="23">
        <f t="shared" si="5"/>
        <v>30</v>
      </c>
      <c r="AG22" s="16">
        <v>45</v>
      </c>
      <c r="AH22" s="23">
        <f t="shared" si="6"/>
        <v>95</v>
      </c>
      <c r="AI22" s="14">
        <f t="shared" si="7"/>
        <v>0.85499999999999998</v>
      </c>
      <c r="AJ22" s="13"/>
      <c r="AK22" s="12">
        <v>0.01</v>
      </c>
      <c r="AL22" s="11">
        <f t="shared" si="8"/>
        <v>1.01</v>
      </c>
      <c r="AM22" s="10">
        <f t="shared" si="9"/>
        <v>9104802000</v>
      </c>
      <c r="AN22" s="9"/>
      <c r="AO22" s="8"/>
      <c r="AP22" s="8"/>
      <c r="AQ22" s="8"/>
      <c r="AR22" s="8"/>
      <c r="AS22" s="7"/>
      <c r="AT22" s="6">
        <f t="shared" si="10"/>
        <v>0</v>
      </c>
    </row>
    <row r="23" spans="1:46" s="37" customFormat="1" ht="45.75" customHeight="1" thickBot="1" x14ac:dyDescent="0.2">
      <c r="A23" s="35">
        <v>19</v>
      </c>
      <c r="B23" s="35"/>
      <c r="C23" s="39" t="s">
        <v>322</v>
      </c>
      <c r="D23" s="70" t="s">
        <v>321</v>
      </c>
      <c r="E23" s="39"/>
      <c r="F23" s="73"/>
      <c r="G23" s="51"/>
      <c r="H23" s="45"/>
      <c r="I23" s="38">
        <v>0.51</v>
      </c>
      <c r="J23" s="30">
        <v>0.49</v>
      </c>
      <c r="K23" s="29"/>
      <c r="L23" s="28"/>
      <c r="M23" s="27"/>
      <c r="N23" s="26">
        <f t="shared" si="0"/>
        <v>1</v>
      </c>
      <c r="O23" s="65">
        <v>15</v>
      </c>
      <c r="P23" s="23">
        <v>15</v>
      </c>
      <c r="Q23" s="42"/>
      <c r="R23" s="42"/>
      <c r="S23" s="23"/>
      <c r="T23" s="20">
        <f t="shared" si="1"/>
        <v>15</v>
      </c>
      <c r="U23" s="19">
        <f t="shared" si="2"/>
        <v>15</v>
      </c>
      <c r="V23" s="61">
        <v>46537406000</v>
      </c>
      <c r="W23" s="54">
        <v>11989679000</v>
      </c>
      <c r="X23" s="59"/>
      <c r="Y23" s="22"/>
      <c r="Z23" s="21"/>
      <c r="AA23" s="20">
        <f t="shared" si="3"/>
        <v>21.06</v>
      </c>
      <c r="AB23" s="19">
        <f t="shared" si="4"/>
        <v>15</v>
      </c>
      <c r="AC23" s="16">
        <v>20</v>
      </c>
      <c r="AD23" s="18"/>
      <c r="AE23" s="17"/>
      <c r="AF23" s="23">
        <f t="shared" si="5"/>
        <v>30</v>
      </c>
      <c r="AG23" s="16">
        <v>45</v>
      </c>
      <c r="AH23" s="23">
        <f t="shared" si="6"/>
        <v>95</v>
      </c>
      <c r="AI23" s="14">
        <f t="shared" si="7"/>
        <v>0.85499999999999998</v>
      </c>
      <c r="AJ23" s="13"/>
      <c r="AK23" s="12">
        <v>0.01</v>
      </c>
      <c r="AL23" s="11">
        <f t="shared" si="8"/>
        <v>1.01</v>
      </c>
      <c r="AM23" s="10">
        <f t="shared" si="9"/>
        <v>9104802000</v>
      </c>
      <c r="AN23" s="9"/>
      <c r="AO23" s="74"/>
      <c r="AP23" s="81"/>
      <c r="AQ23" s="71"/>
      <c r="AR23" s="8"/>
      <c r="AS23" s="7"/>
      <c r="AT23" s="6">
        <f t="shared" si="10"/>
        <v>0</v>
      </c>
    </row>
    <row r="24" spans="1:46" s="37" customFormat="1" ht="45.75" customHeight="1" thickBot="1" x14ac:dyDescent="0.2">
      <c r="A24" s="35">
        <v>20</v>
      </c>
      <c r="B24" s="35"/>
      <c r="C24" s="39" t="s">
        <v>320</v>
      </c>
      <c r="D24" s="70" t="s">
        <v>319</v>
      </c>
      <c r="E24" s="39" t="s">
        <v>318</v>
      </c>
      <c r="F24" s="63"/>
      <c r="G24" s="51"/>
      <c r="H24" s="45"/>
      <c r="I24" s="38">
        <v>0.5</v>
      </c>
      <c r="J24" s="30">
        <v>0.3</v>
      </c>
      <c r="K24" s="29">
        <v>0.2</v>
      </c>
      <c r="L24" s="28"/>
      <c r="M24" s="27"/>
      <c r="N24" s="26">
        <f t="shared" si="0"/>
        <v>1</v>
      </c>
      <c r="O24" s="65">
        <v>15</v>
      </c>
      <c r="P24" s="42">
        <v>15</v>
      </c>
      <c r="Q24" s="42">
        <v>15</v>
      </c>
      <c r="R24" s="42"/>
      <c r="S24" s="23"/>
      <c r="T24" s="20">
        <f t="shared" si="1"/>
        <v>15</v>
      </c>
      <c r="U24" s="19">
        <f t="shared" si="2"/>
        <v>15</v>
      </c>
      <c r="V24" s="61">
        <v>56329120000</v>
      </c>
      <c r="W24" s="59">
        <v>3418546000</v>
      </c>
      <c r="X24" s="59">
        <v>3331838000</v>
      </c>
      <c r="Y24" s="22"/>
      <c r="Z24" s="21"/>
      <c r="AA24" s="20">
        <f t="shared" si="3"/>
        <v>21.24</v>
      </c>
      <c r="AB24" s="19">
        <f t="shared" si="4"/>
        <v>15</v>
      </c>
      <c r="AC24" s="16">
        <v>20</v>
      </c>
      <c r="AD24" s="18"/>
      <c r="AE24" s="17"/>
      <c r="AF24" s="23">
        <f t="shared" si="5"/>
        <v>30</v>
      </c>
      <c r="AG24" s="16">
        <v>45</v>
      </c>
      <c r="AH24" s="23">
        <f t="shared" si="6"/>
        <v>95</v>
      </c>
      <c r="AI24" s="14">
        <f t="shared" si="7"/>
        <v>0.85499999999999998</v>
      </c>
      <c r="AJ24" s="13"/>
      <c r="AK24" s="12">
        <v>0.01</v>
      </c>
      <c r="AL24" s="11">
        <f t="shared" si="8"/>
        <v>1.01</v>
      </c>
      <c r="AM24" s="10">
        <f t="shared" si="9"/>
        <v>9104802000</v>
      </c>
      <c r="AN24" s="9"/>
      <c r="AO24" s="8"/>
      <c r="AP24" s="8"/>
      <c r="AQ24" s="8"/>
      <c r="AR24" s="8"/>
      <c r="AS24" s="7"/>
      <c r="AT24" s="6">
        <f t="shared" si="10"/>
        <v>0</v>
      </c>
    </row>
    <row r="25" spans="1:46" s="37" customFormat="1" ht="45.75" customHeight="1" thickBot="1" x14ac:dyDescent="0.2">
      <c r="A25" s="35">
        <v>21</v>
      </c>
      <c r="B25" s="140"/>
      <c r="C25" s="39" t="s">
        <v>317</v>
      </c>
      <c r="D25" s="96" t="s">
        <v>316</v>
      </c>
      <c r="E25" s="39" t="s">
        <v>315</v>
      </c>
      <c r="F25" s="73"/>
      <c r="G25" s="53"/>
      <c r="H25" s="45"/>
      <c r="I25" s="38">
        <v>0.5</v>
      </c>
      <c r="J25" s="30">
        <v>0.4</v>
      </c>
      <c r="K25" s="29">
        <v>0.1</v>
      </c>
      <c r="L25" s="30"/>
      <c r="M25" s="27"/>
      <c r="N25" s="26">
        <f t="shared" si="0"/>
        <v>1</v>
      </c>
      <c r="O25" s="65">
        <v>15</v>
      </c>
      <c r="P25" s="23">
        <v>15</v>
      </c>
      <c r="Q25" s="42">
        <v>15</v>
      </c>
      <c r="R25" s="42"/>
      <c r="S25" s="42"/>
      <c r="T25" s="20">
        <f t="shared" si="1"/>
        <v>15</v>
      </c>
      <c r="U25" s="19">
        <f t="shared" si="2"/>
        <v>15</v>
      </c>
      <c r="V25" s="62">
        <v>41028772000</v>
      </c>
      <c r="W25" s="41">
        <v>2784620000</v>
      </c>
      <c r="X25" s="59">
        <v>13238721000</v>
      </c>
      <c r="Y25" s="48"/>
      <c r="Z25" s="21"/>
      <c r="AA25" s="20">
        <f t="shared" si="3"/>
        <v>16.329999999999998</v>
      </c>
      <c r="AB25" s="19">
        <f t="shared" si="4"/>
        <v>15</v>
      </c>
      <c r="AC25" s="16">
        <v>20</v>
      </c>
      <c r="AD25" s="18"/>
      <c r="AE25" s="17"/>
      <c r="AF25" s="23">
        <f t="shared" si="5"/>
        <v>30</v>
      </c>
      <c r="AG25" s="16">
        <v>45</v>
      </c>
      <c r="AH25" s="23">
        <f t="shared" si="6"/>
        <v>95</v>
      </c>
      <c r="AI25" s="14">
        <f t="shared" si="7"/>
        <v>0.85499999999999998</v>
      </c>
      <c r="AJ25" s="13"/>
      <c r="AK25" s="12">
        <v>0.01</v>
      </c>
      <c r="AL25" s="11">
        <f t="shared" si="8"/>
        <v>1.01</v>
      </c>
      <c r="AM25" s="10">
        <f t="shared" si="9"/>
        <v>9104802000</v>
      </c>
      <c r="AN25" s="9"/>
      <c r="AO25" s="74"/>
      <c r="AP25" s="71"/>
      <c r="AQ25" s="71"/>
      <c r="AR25" s="8"/>
      <c r="AS25" s="7"/>
      <c r="AT25" s="6">
        <f t="shared" si="10"/>
        <v>0</v>
      </c>
    </row>
    <row r="26" spans="1:46" s="37" customFormat="1" ht="45.75" customHeight="1" thickBot="1" x14ac:dyDescent="0.2">
      <c r="A26" s="35">
        <v>22</v>
      </c>
      <c r="B26" s="35"/>
      <c r="C26" s="39" t="s">
        <v>314</v>
      </c>
      <c r="D26" s="151" t="s">
        <v>313</v>
      </c>
      <c r="E26" s="39"/>
      <c r="F26" s="39"/>
      <c r="G26" s="53"/>
      <c r="H26" s="45"/>
      <c r="I26" s="38">
        <v>0.51</v>
      </c>
      <c r="J26" s="30">
        <v>0.49</v>
      </c>
      <c r="K26" s="29"/>
      <c r="L26" s="28"/>
      <c r="M26" s="27"/>
      <c r="N26" s="26">
        <f t="shared" si="0"/>
        <v>1</v>
      </c>
      <c r="O26" s="65">
        <v>15</v>
      </c>
      <c r="P26" s="23">
        <v>15</v>
      </c>
      <c r="Q26" s="42"/>
      <c r="R26" s="42"/>
      <c r="S26" s="23"/>
      <c r="T26" s="20">
        <f t="shared" si="1"/>
        <v>15</v>
      </c>
      <c r="U26" s="19">
        <f t="shared" si="2"/>
        <v>15</v>
      </c>
      <c r="V26" s="61">
        <v>39814172000</v>
      </c>
      <c r="W26" s="22">
        <v>11882803000</v>
      </c>
      <c r="X26" s="59"/>
      <c r="Y26" s="22"/>
      <c r="Z26" s="21"/>
      <c r="AA26" s="20">
        <f t="shared" si="3"/>
        <v>18.59</v>
      </c>
      <c r="AB26" s="19">
        <f t="shared" si="4"/>
        <v>15</v>
      </c>
      <c r="AC26" s="16">
        <v>20</v>
      </c>
      <c r="AD26" s="18"/>
      <c r="AE26" s="17"/>
      <c r="AF26" s="23">
        <f t="shared" si="5"/>
        <v>30</v>
      </c>
      <c r="AG26" s="16">
        <v>45</v>
      </c>
      <c r="AH26" s="23">
        <f t="shared" si="6"/>
        <v>95</v>
      </c>
      <c r="AI26" s="14">
        <f t="shared" si="7"/>
        <v>0.85499999999999998</v>
      </c>
      <c r="AJ26" s="13"/>
      <c r="AK26" s="12">
        <v>0.01</v>
      </c>
      <c r="AL26" s="11">
        <f t="shared" si="8"/>
        <v>1.01</v>
      </c>
      <c r="AM26" s="10">
        <f t="shared" si="9"/>
        <v>9104802000</v>
      </c>
      <c r="AN26" s="9"/>
      <c r="AO26" s="8"/>
      <c r="AP26" s="8"/>
      <c r="AQ26" s="8"/>
      <c r="AR26" s="8"/>
      <c r="AS26" s="7"/>
      <c r="AT26" s="6">
        <f t="shared" si="10"/>
        <v>0</v>
      </c>
    </row>
    <row r="27" spans="1:46" s="37" customFormat="1" ht="45.75" customHeight="1" thickBot="1" x14ac:dyDescent="0.2">
      <c r="A27" s="35">
        <v>23</v>
      </c>
      <c r="B27" s="35"/>
      <c r="C27" s="39" t="s">
        <v>312</v>
      </c>
      <c r="D27" s="70" t="s">
        <v>311</v>
      </c>
      <c r="E27" s="39"/>
      <c r="F27" s="73"/>
      <c r="G27" s="51"/>
      <c r="H27" s="45"/>
      <c r="I27" s="38">
        <v>0.51</v>
      </c>
      <c r="J27" s="30">
        <v>0.49</v>
      </c>
      <c r="K27" s="29"/>
      <c r="L27" s="30"/>
      <c r="M27" s="27"/>
      <c r="N27" s="26">
        <f t="shared" si="0"/>
        <v>1</v>
      </c>
      <c r="O27" s="65">
        <v>15</v>
      </c>
      <c r="P27" s="23">
        <v>15</v>
      </c>
      <c r="Q27" s="42"/>
      <c r="R27" s="42"/>
      <c r="S27" s="42"/>
      <c r="T27" s="20">
        <f t="shared" si="1"/>
        <v>15</v>
      </c>
      <c r="U27" s="19">
        <f t="shared" si="2"/>
        <v>15</v>
      </c>
      <c r="V27" s="61">
        <v>29846687000</v>
      </c>
      <c r="W27" s="59">
        <v>15960644000</v>
      </c>
      <c r="X27" s="59"/>
      <c r="Y27" s="41"/>
      <c r="Z27" s="21"/>
      <c r="AA27" s="20">
        <f t="shared" si="3"/>
        <v>16.39</v>
      </c>
      <c r="AB27" s="19">
        <f t="shared" si="4"/>
        <v>15</v>
      </c>
      <c r="AC27" s="16">
        <v>20</v>
      </c>
      <c r="AD27" s="83"/>
      <c r="AE27" s="17"/>
      <c r="AF27" s="23">
        <f t="shared" si="5"/>
        <v>30</v>
      </c>
      <c r="AG27" s="16">
        <v>45</v>
      </c>
      <c r="AH27" s="23">
        <f t="shared" si="6"/>
        <v>95</v>
      </c>
      <c r="AI27" s="14">
        <f t="shared" si="7"/>
        <v>0.85499999999999998</v>
      </c>
      <c r="AJ27" s="13"/>
      <c r="AK27" s="12">
        <v>0.01</v>
      </c>
      <c r="AL27" s="11">
        <f t="shared" si="8"/>
        <v>1.01</v>
      </c>
      <c r="AM27" s="10">
        <f t="shared" si="9"/>
        <v>9104802000</v>
      </c>
      <c r="AN27" s="9"/>
      <c r="AO27" s="16"/>
      <c r="AP27" s="82"/>
      <c r="AQ27" s="16"/>
      <c r="AR27" s="8"/>
      <c r="AS27" s="7"/>
      <c r="AT27" s="6">
        <f t="shared" si="10"/>
        <v>0</v>
      </c>
    </row>
    <row r="28" spans="1:46" s="37" customFormat="1" ht="45.75" customHeight="1" thickBot="1" x14ac:dyDescent="0.2">
      <c r="A28" s="35"/>
      <c r="B28" s="35"/>
      <c r="C28" s="39"/>
      <c r="D28" s="34"/>
      <c r="E28" s="34"/>
      <c r="F28" s="34"/>
      <c r="G28" s="33"/>
      <c r="H28" s="32"/>
      <c r="I28" s="38">
        <v>0.51</v>
      </c>
      <c r="J28" s="30">
        <v>0.49</v>
      </c>
      <c r="K28" s="29"/>
      <c r="L28" s="28"/>
      <c r="M28" s="27"/>
      <c r="N28" s="26">
        <f t="shared" si="0"/>
        <v>1</v>
      </c>
      <c r="O28" s="25">
        <v>15</v>
      </c>
      <c r="P28" s="23">
        <v>15</v>
      </c>
      <c r="Q28" s="24"/>
      <c r="R28" s="24"/>
      <c r="S28" s="23"/>
      <c r="T28" s="20">
        <f t="shared" si="1"/>
        <v>15</v>
      </c>
      <c r="U28" s="19">
        <f t="shared" si="2"/>
        <v>15</v>
      </c>
      <c r="V28" s="59"/>
      <c r="W28" s="59"/>
      <c r="X28" s="22"/>
      <c r="Y28" s="22"/>
      <c r="Z28" s="21"/>
      <c r="AA28" s="20">
        <f t="shared" si="3"/>
        <v>0</v>
      </c>
      <c r="AB28" s="19">
        <f t="shared" si="4"/>
        <v>0</v>
      </c>
      <c r="AC28" s="16">
        <v>20</v>
      </c>
      <c r="AD28" s="18"/>
      <c r="AE28" s="17"/>
      <c r="AF28" s="23">
        <f t="shared" si="5"/>
        <v>15</v>
      </c>
      <c r="AG28" s="16">
        <v>45</v>
      </c>
      <c r="AH28" s="23">
        <f t="shared" si="6"/>
        <v>80</v>
      </c>
      <c r="AI28" s="14">
        <f t="shared" si="7"/>
        <v>0.93</v>
      </c>
      <c r="AJ28" s="13"/>
      <c r="AK28" s="12">
        <v>0.01</v>
      </c>
      <c r="AL28" s="11">
        <f t="shared" si="8"/>
        <v>1.01</v>
      </c>
      <c r="AM28" s="10">
        <f t="shared" si="9"/>
        <v>9903469000</v>
      </c>
      <c r="AN28" s="9"/>
      <c r="AO28" s="8"/>
      <c r="AP28" s="8"/>
      <c r="AQ28" s="8"/>
      <c r="AR28" s="8"/>
      <c r="AS28" s="7"/>
      <c r="AT28" s="6">
        <f t="shared" si="10"/>
        <v>0</v>
      </c>
    </row>
    <row r="29" spans="1:46" s="37" customFormat="1" ht="45.75" customHeight="1" thickBot="1" x14ac:dyDescent="0.2">
      <c r="A29" s="35"/>
      <c r="B29" s="35"/>
      <c r="C29" s="39"/>
      <c r="D29" s="39"/>
      <c r="E29" s="73"/>
      <c r="F29" s="73"/>
      <c r="G29" s="51"/>
      <c r="H29" s="45"/>
      <c r="I29" s="38">
        <v>0.7</v>
      </c>
      <c r="J29" s="30">
        <v>0.3</v>
      </c>
      <c r="K29" s="29"/>
      <c r="L29" s="28"/>
      <c r="M29" s="27"/>
      <c r="N29" s="26">
        <f t="shared" si="0"/>
        <v>1</v>
      </c>
      <c r="O29" s="65">
        <v>15</v>
      </c>
      <c r="P29" s="23">
        <v>15</v>
      </c>
      <c r="Q29" s="42"/>
      <c r="R29" s="42"/>
      <c r="S29" s="23"/>
      <c r="T29" s="20">
        <f t="shared" si="1"/>
        <v>15</v>
      </c>
      <c r="U29" s="19">
        <f t="shared" si="2"/>
        <v>15</v>
      </c>
      <c r="V29" s="78"/>
      <c r="W29" s="59"/>
      <c r="X29" s="61"/>
      <c r="Y29" s="22"/>
      <c r="Z29" s="21"/>
      <c r="AA29" s="20">
        <f t="shared" si="3"/>
        <v>0</v>
      </c>
      <c r="AB29" s="19">
        <f t="shared" si="4"/>
        <v>0</v>
      </c>
      <c r="AC29" s="16">
        <v>20</v>
      </c>
      <c r="AD29" s="18"/>
      <c r="AE29" s="17"/>
      <c r="AF29" s="23">
        <f t="shared" si="5"/>
        <v>15</v>
      </c>
      <c r="AG29" s="16">
        <v>45</v>
      </c>
      <c r="AH29" s="23">
        <f t="shared" si="6"/>
        <v>80</v>
      </c>
      <c r="AI29" s="14">
        <f t="shared" si="7"/>
        <v>0.93</v>
      </c>
      <c r="AJ29" s="13"/>
      <c r="AK29" s="12">
        <v>0.01</v>
      </c>
      <c r="AL29" s="11">
        <f t="shared" si="8"/>
        <v>1.01</v>
      </c>
      <c r="AM29" s="10">
        <f t="shared" si="9"/>
        <v>9903469000</v>
      </c>
      <c r="AN29" s="9"/>
      <c r="AO29" s="74"/>
      <c r="AP29" s="71"/>
      <c r="AQ29" s="71"/>
      <c r="AR29" s="8"/>
      <c r="AS29" s="7"/>
      <c r="AT29" s="6">
        <f t="shared" si="10"/>
        <v>0</v>
      </c>
    </row>
    <row r="30" spans="1:46" s="37" customFormat="1" ht="45.75" customHeight="1" thickBot="1" x14ac:dyDescent="0.2">
      <c r="A30" s="35"/>
      <c r="B30" s="35"/>
      <c r="C30" s="39" t="s">
        <v>310</v>
      </c>
      <c r="D30" s="47"/>
      <c r="E30" s="73"/>
      <c r="F30" s="73"/>
      <c r="G30" s="51"/>
      <c r="H30" s="45"/>
      <c r="I30" s="38">
        <v>0.51</v>
      </c>
      <c r="J30" s="30">
        <v>0.49</v>
      </c>
      <c r="K30" s="29"/>
      <c r="L30" s="28"/>
      <c r="M30" s="27"/>
      <c r="N30" s="26">
        <f t="shared" si="0"/>
        <v>1</v>
      </c>
      <c r="O30" s="65">
        <v>15</v>
      </c>
      <c r="P30" s="23">
        <v>15</v>
      </c>
      <c r="Q30" s="42"/>
      <c r="R30" s="42"/>
      <c r="S30" s="23"/>
      <c r="T30" s="20">
        <f t="shared" si="1"/>
        <v>15</v>
      </c>
      <c r="U30" s="19">
        <f t="shared" si="2"/>
        <v>15</v>
      </c>
      <c r="V30" s="59">
        <v>32826052000</v>
      </c>
      <c r="W30" s="48"/>
      <c r="X30" s="59"/>
      <c r="Y30" s="22"/>
      <c r="Z30" s="21"/>
      <c r="AA30" s="20">
        <f t="shared" si="3"/>
        <v>11.91</v>
      </c>
      <c r="AB30" s="19">
        <f t="shared" si="4"/>
        <v>11.91</v>
      </c>
      <c r="AC30" s="16">
        <v>20</v>
      </c>
      <c r="AD30" s="18"/>
      <c r="AE30" s="17"/>
      <c r="AF30" s="23">
        <f t="shared" si="5"/>
        <v>26.91</v>
      </c>
      <c r="AG30" s="16">
        <v>45</v>
      </c>
      <c r="AH30" s="23">
        <f t="shared" si="6"/>
        <v>91.91</v>
      </c>
      <c r="AI30" s="14">
        <f t="shared" si="7"/>
        <v>0.87045000000000006</v>
      </c>
      <c r="AJ30" s="13"/>
      <c r="AK30" s="12">
        <v>0.01</v>
      </c>
      <c r="AL30" s="11">
        <f t="shared" si="8"/>
        <v>1.01</v>
      </c>
      <c r="AM30" s="10">
        <f t="shared" si="9"/>
        <v>9269327000</v>
      </c>
      <c r="AN30" s="9"/>
      <c r="AO30" s="81"/>
      <c r="AP30" s="87"/>
      <c r="AQ30" s="81"/>
      <c r="AR30" s="8"/>
      <c r="AS30" s="7"/>
      <c r="AT30" s="6">
        <f t="shared" si="10"/>
        <v>0</v>
      </c>
    </row>
    <row r="31" spans="1:46" s="37" customFormat="1" ht="45.75" customHeight="1" thickBot="1" x14ac:dyDescent="0.2">
      <c r="A31" s="35"/>
      <c r="B31" s="35"/>
      <c r="C31" s="39" t="s">
        <v>309</v>
      </c>
      <c r="D31" s="39"/>
      <c r="E31" s="39"/>
      <c r="F31" s="73"/>
      <c r="G31" s="53"/>
      <c r="H31" s="45"/>
      <c r="I31" s="38">
        <v>0.51</v>
      </c>
      <c r="J31" s="30">
        <v>0.49</v>
      </c>
      <c r="K31" s="29"/>
      <c r="L31" s="28"/>
      <c r="M31" s="27"/>
      <c r="N31" s="26">
        <f t="shared" si="0"/>
        <v>1</v>
      </c>
      <c r="O31" s="65">
        <v>15</v>
      </c>
      <c r="P31" s="23">
        <v>15</v>
      </c>
      <c r="Q31" s="42"/>
      <c r="R31" s="42"/>
      <c r="S31" s="42"/>
      <c r="T31" s="20">
        <f t="shared" si="1"/>
        <v>15</v>
      </c>
      <c r="U31" s="19">
        <f t="shared" si="2"/>
        <v>15</v>
      </c>
      <c r="V31" s="61">
        <v>25680345000</v>
      </c>
      <c r="W31" s="22"/>
      <c r="X31" s="22"/>
      <c r="Y31" s="54"/>
      <c r="Z31" s="21"/>
      <c r="AA31" s="20">
        <f t="shared" si="3"/>
        <v>9.32</v>
      </c>
      <c r="AB31" s="19">
        <f t="shared" si="4"/>
        <v>9.32</v>
      </c>
      <c r="AC31" s="16">
        <v>20</v>
      </c>
      <c r="AD31" s="18"/>
      <c r="AE31" s="17"/>
      <c r="AF31" s="23">
        <f t="shared" si="5"/>
        <v>24.32</v>
      </c>
      <c r="AG31" s="16">
        <v>45</v>
      </c>
      <c r="AH31" s="23">
        <f t="shared" si="6"/>
        <v>89.32</v>
      </c>
      <c r="AI31" s="14">
        <f t="shared" si="7"/>
        <v>0.88340000000000007</v>
      </c>
      <c r="AJ31" s="13"/>
      <c r="AK31" s="12">
        <v>0.01</v>
      </c>
      <c r="AL31" s="11">
        <f t="shared" si="8"/>
        <v>1.01</v>
      </c>
      <c r="AM31" s="10">
        <f t="shared" si="9"/>
        <v>9407230000</v>
      </c>
      <c r="AN31" s="9"/>
      <c r="AO31" s="74"/>
      <c r="AP31" s="72"/>
      <c r="AQ31" s="72"/>
      <c r="AR31" s="8"/>
      <c r="AS31" s="7"/>
      <c r="AT31" s="6">
        <f t="shared" si="10"/>
        <v>0</v>
      </c>
    </row>
    <row r="32" spans="1:46" s="37" customFormat="1" ht="45.75" customHeight="1" thickBot="1" x14ac:dyDescent="0.2">
      <c r="A32" s="35"/>
      <c r="B32" s="35"/>
      <c r="C32" s="39" t="s">
        <v>308</v>
      </c>
      <c r="D32" s="39"/>
      <c r="E32" s="39"/>
      <c r="F32" s="73"/>
      <c r="G32" s="51"/>
      <c r="H32" s="45"/>
      <c r="I32" s="38">
        <v>0.51</v>
      </c>
      <c r="J32" s="30">
        <v>0.49</v>
      </c>
      <c r="K32" s="29"/>
      <c r="L32" s="28"/>
      <c r="M32" s="27"/>
      <c r="N32" s="26">
        <f t="shared" si="0"/>
        <v>1</v>
      </c>
      <c r="O32" s="65">
        <v>15</v>
      </c>
      <c r="P32" s="23">
        <v>15</v>
      </c>
      <c r="Q32" s="42"/>
      <c r="R32" s="42"/>
      <c r="S32" s="23"/>
      <c r="T32" s="20">
        <f t="shared" si="1"/>
        <v>15</v>
      </c>
      <c r="U32" s="19">
        <f t="shared" si="2"/>
        <v>15</v>
      </c>
      <c r="V32" s="61">
        <v>23278347000</v>
      </c>
      <c r="W32" s="48"/>
      <c r="X32" s="59"/>
      <c r="Y32" s="79"/>
      <c r="Z32" s="21"/>
      <c r="AA32" s="20">
        <f t="shared" si="3"/>
        <v>8.4499999999999993</v>
      </c>
      <c r="AB32" s="19">
        <f t="shared" si="4"/>
        <v>8.4499999999999993</v>
      </c>
      <c r="AC32" s="16">
        <v>20</v>
      </c>
      <c r="AD32" s="18"/>
      <c r="AE32" s="17"/>
      <c r="AF32" s="23">
        <f t="shared" si="5"/>
        <v>23.45</v>
      </c>
      <c r="AG32" s="16">
        <v>45</v>
      </c>
      <c r="AH32" s="23">
        <f t="shared" si="6"/>
        <v>88.45</v>
      </c>
      <c r="AI32" s="14">
        <f t="shared" si="7"/>
        <v>0.88775000000000004</v>
      </c>
      <c r="AJ32" s="13"/>
      <c r="AK32" s="12">
        <v>0.01</v>
      </c>
      <c r="AL32" s="11">
        <f t="shared" si="8"/>
        <v>1.01</v>
      </c>
      <c r="AM32" s="10">
        <f t="shared" si="9"/>
        <v>9453553000</v>
      </c>
      <c r="AN32" s="9"/>
      <c r="AO32" s="16"/>
      <c r="AP32" s="81"/>
      <c r="AQ32" s="81"/>
      <c r="AR32" s="8"/>
      <c r="AS32" s="7"/>
      <c r="AT32" s="6">
        <f t="shared" si="10"/>
        <v>0</v>
      </c>
    </row>
    <row r="33" spans="1:46" s="37" customFormat="1" ht="45.75" customHeight="1" thickBot="1" x14ac:dyDescent="0.2">
      <c r="A33" s="35"/>
      <c r="B33" s="35"/>
      <c r="C33" s="67" t="s">
        <v>307</v>
      </c>
      <c r="D33" s="39"/>
      <c r="E33" s="67"/>
      <c r="F33" s="66"/>
      <c r="G33" s="53"/>
      <c r="H33" s="45"/>
      <c r="I33" s="38">
        <v>0.51</v>
      </c>
      <c r="J33" s="30">
        <v>0.49</v>
      </c>
      <c r="K33" s="29"/>
      <c r="L33" s="28"/>
      <c r="M33" s="27"/>
      <c r="N33" s="26">
        <f t="shared" si="0"/>
        <v>1</v>
      </c>
      <c r="O33" s="65">
        <v>15</v>
      </c>
      <c r="P33" s="23">
        <v>15</v>
      </c>
      <c r="Q33" s="42"/>
      <c r="R33" s="42"/>
      <c r="S33" s="42"/>
      <c r="T33" s="20">
        <f t="shared" si="1"/>
        <v>15</v>
      </c>
      <c r="U33" s="19">
        <f t="shared" si="2"/>
        <v>15</v>
      </c>
      <c r="V33" s="84">
        <v>19760143000</v>
      </c>
      <c r="W33" s="59"/>
      <c r="X33" s="54"/>
      <c r="Y33" s="54"/>
      <c r="Z33" s="21"/>
      <c r="AA33" s="20">
        <f t="shared" si="3"/>
        <v>7.17</v>
      </c>
      <c r="AB33" s="19">
        <f t="shared" si="4"/>
        <v>7.17</v>
      </c>
      <c r="AC33" s="16">
        <v>20</v>
      </c>
      <c r="AD33" s="18"/>
      <c r="AE33" s="17"/>
      <c r="AF33" s="23">
        <f t="shared" si="5"/>
        <v>22.17</v>
      </c>
      <c r="AG33" s="16">
        <v>45</v>
      </c>
      <c r="AH33" s="23">
        <f t="shared" si="6"/>
        <v>87.17</v>
      </c>
      <c r="AI33" s="14">
        <f t="shared" si="7"/>
        <v>0.89414999999999989</v>
      </c>
      <c r="AJ33" s="13"/>
      <c r="AK33" s="12">
        <v>0.01</v>
      </c>
      <c r="AL33" s="11">
        <f t="shared" si="8"/>
        <v>1.01</v>
      </c>
      <c r="AM33" s="10">
        <f t="shared" si="9"/>
        <v>9521706000</v>
      </c>
      <c r="AN33" s="9"/>
      <c r="AO33" s="8"/>
      <c r="AP33" s="8"/>
      <c r="AQ33" s="8"/>
      <c r="AR33" s="8"/>
      <c r="AS33" s="7"/>
      <c r="AT33" s="6">
        <f t="shared" si="10"/>
        <v>0</v>
      </c>
    </row>
    <row r="34" spans="1:46" s="37" customFormat="1" ht="45.75" customHeight="1" thickBot="1" x14ac:dyDescent="0.2">
      <c r="A34" s="35"/>
      <c r="B34" s="35"/>
      <c r="C34" s="47" t="s">
        <v>306</v>
      </c>
      <c r="D34" s="39"/>
      <c r="E34" s="34"/>
      <c r="F34" s="34"/>
      <c r="G34" s="51"/>
      <c r="H34" s="45"/>
      <c r="I34" s="38">
        <v>0.51</v>
      </c>
      <c r="J34" s="30">
        <v>0.49</v>
      </c>
      <c r="K34" s="29"/>
      <c r="L34" s="28"/>
      <c r="M34" s="27"/>
      <c r="N34" s="26">
        <f t="shared" si="0"/>
        <v>1</v>
      </c>
      <c r="O34" s="23">
        <v>15</v>
      </c>
      <c r="P34" s="23">
        <v>15</v>
      </c>
      <c r="Q34" s="23"/>
      <c r="R34" s="24"/>
      <c r="S34" s="23"/>
      <c r="T34" s="20">
        <f t="shared" si="1"/>
        <v>15</v>
      </c>
      <c r="U34" s="19">
        <f t="shared" si="2"/>
        <v>15</v>
      </c>
      <c r="V34" s="48">
        <v>15345190000</v>
      </c>
      <c r="W34" s="22"/>
      <c r="X34" s="59"/>
      <c r="Y34" s="41"/>
      <c r="Z34" s="68"/>
      <c r="AA34" s="20">
        <f t="shared" si="3"/>
        <v>5.57</v>
      </c>
      <c r="AB34" s="19">
        <f t="shared" si="4"/>
        <v>5.57</v>
      </c>
      <c r="AC34" s="16">
        <v>20</v>
      </c>
      <c r="AD34" s="18"/>
      <c r="AE34" s="17"/>
      <c r="AF34" s="23">
        <f t="shared" si="5"/>
        <v>20.57</v>
      </c>
      <c r="AG34" s="16">
        <v>45</v>
      </c>
      <c r="AH34" s="23">
        <f t="shared" si="6"/>
        <v>85.57</v>
      </c>
      <c r="AI34" s="14">
        <f t="shared" si="7"/>
        <v>0.90215000000000001</v>
      </c>
      <c r="AJ34" s="13"/>
      <c r="AK34" s="12">
        <v>0.01</v>
      </c>
      <c r="AL34" s="11">
        <f t="shared" si="8"/>
        <v>1.01</v>
      </c>
      <c r="AM34" s="10">
        <f t="shared" si="9"/>
        <v>9606897000</v>
      </c>
      <c r="AN34" s="9"/>
      <c r="AO34" s="8"/>
      <c r="AP34" s="8"/>
      <c r="AQ34" s="8"/>
      <c r="AR34" s="8"/>
      <c r="AS34" s="7"/>
      <c r="AT34" s="6">
        <f t="shared" si="10"/>
        <v>0</v>
      </c>
    </row>
    <row r="35" spans="1:46" s="37" customFormat="1" ht="45.75" customHeight="1" thickBot="1" x14ac:dyDescent="0.2">
      <c r="A35" s="35"/>
      <c r="B35" s="35"/>
      <c r="C35" s="47" t="s">
        <v>305</v>
      </c>
      <c r="D35" s="39"/>
      <c r="E35" s="34"/>
      <c r="F35" s="34"/>
      <c r="G35" s="60"/>
      <c r="H35" s="50"/>
      <c r="I35" s="38">
        <v>0.7</v>
      </c>
      <c r="J35" s="30">
        <v>0.3</v>
      </c>
      <c r="K35" s="29"/>
      <c r="L35" s="28"/>
      <c r="M35" s="27"/>
      <c r="N35" s="26">
        <f t="shared" si="0"/>
        <v>1</v>
      </c>
      <c r="O35" s="44">
        <v>15</v>
      </c>
      <c r="P35" s="43">
        <v>15</v>
      </c>
      <c r="Q35" s="24"/>
      <c r="R35" s="42"/>
      <c r="S35" s="42"/>
      <c r="T35" s="20">
        <f t="shared" si="1"/>
        <v>15</v>
      </c>
      <c r="U35" s="19">
        <f t="shared" si="2"/>
        <v>15</v>
      </c>
      <c r="V35" s="41">
        <v>18715212000</v>
      </c>
      <c r="W35" s="59"/>
      <c r="X35" s="54"/>
      <c r="Y35" s="48"/>
      <c r="Z35" s="21"/>
      <c r="AA35" s="20">
        <f t="shared" si="3"/>
        <v>9.32</v>
      </c>
      <c r="AB35" s="19">
        <f t="shared" si="4"/>
        <v>9.32</v>
      </c>
      <c r="AC35" s="16">
        <v>20</v>
      </c>
      <c r="AD35" s="18"/>
      <c r="AE35" s="17"/>
      <c r="AF35" s="23">
        <f t="shared" si="5"/>
        <v>24.32</v>
      </c>
      <c r="AG35" s="16">
        <v>45</v>
      </c>
      <c r="AH35" s="23">
        <f t="shared" si="6"/>
        <v>89.32</v>
      </c>
      <c r="AI35" s="14">
        <f t="shared" si="7"/>
        <v>0.88340000000000007</v>
      </c>
      <c r="AJ35" s="13"/>
      <c r="AK35" s="12">
        <v>0.01</v>
      </c>
      <c r="AL35" s="11">
        <f t="shared" si="8"/>
        <v>1.01</v>
      </c>
      <c r="AM35" s="10">
        <f t="shared" si="9"/>
        <v>9407230000</v>
      </c>
      <c r="AN35" s="9"/>
      <c r="AO35" s="8"/>
      <c r="AP35" s="8"/>
      <c r="AQ35" s="8"/>
      <c r="AR35" s="8"/>
      <c r="AS35" s="7"/>
      <c r="AT35" s="6">
        <f t="shared" si="10"/>
        <v>0</v>
      </c>
    </row>
    <row r="36" spans="1:46" s="37" customFormat="1" ht="45.75" customHeight="1" thickBot="1" x14ac:dyDescent="0.2">
      <c r="A36" s="35"/>
      <c r="B36" s="35"/>
      <c r="C36" s="47" t="s">
        <v>304</v>
      </c>
      <c r="D36" s="53"/>
      <c r="E36" s="39"/>
      <c r="F36" s="34"/>
      <c r="G36" s="51"/>
      <c r="H36" s="50"/>
      <c r="I36" s="38">
        <v>0.51</v>
      </c>
      <c r="J36" s="30">
        <v>0.49</v>
      </c>
      <c r="K36" s="29"/>
      <c r="L36" s="28"/>
      <c r="M36" s="27"/>
      <c r="N36" s="26">
        <f t="shared" si="0"/>
        <v>1</v>
      </c>
      <c r="O36" s="44">
        <v>15</v>
      </c>
      <c r="P36" s="43">
        <v>15</v>
      </c>
      <c r="Q36" s="42"/>
      <c r="R36" s="42"/>
      <c r="S36" s="42"/>
      <c r="T36" s="20">
        <f t="shared" si="1"/>
        <v>15</v>
      </c>
      <c r="U36" s="19">
        <f t="shared" si="2"/>
        <v>15</v>
      </c>
      <c r="V36" s="48">
        <v>13312073000</v>
      </c>
      <c r="W36" s="68"/>
      <c r="X36" s="48"/>
      <c r="Y36" s="48"/>
      <c r="Z36" s="21"/>
      <c r="AA36" s="20">
        <f t="shared" si="3"/>
        <v>4.83</v>
      </c>
      <c r="AB36" s="19">
        <f t="shared" si="4"/>
        <v>4.83</v>
      </c>
      <c r="AC36" s="16">
        <v>20</v>
      </c>
      <c r="AD36" s="18"/>
      <c r="AE36" s="17"/>
      <c r="AF36" s="23">
        <f t="shared" si="5"/>
        <v>19.829999999999998</v>
      </c>
      <c r="AG36" s="16">
        <v>45</v>
      </c>
      <c r="AH36" s="23">
        <f t="shared" si="6"/>
        <v>84.83</v>
      </c>
      <c r="AI36" s="14">
        <f t="shared" si="7"/>
        <v>0.90585000000000004</v>
      </c>
      <c r="AJ36" s="13"/>
      <c r="AK36" s="12">
        <v>0.01</v>
      </c>
      <c r="AL36" s="11">
        <f t="shared" si="8"/>
        <v>1.01</v>
      </c>
      <c r="AM36" s="10">
        <f t="shared" si="9"/>
        <v>9646298000</v>
      </c>
      <c r="AN36" s="9"/>
      <c r="AO36" s="8"/>
      <c r="AP36" s="8"/>
      <c r="AQ36" s="8"/>
      <c r="AR36" s="8"/>
      <c r="AS36" s="7"/>
      <c r="AT36" s="6">
        <f t="shared" si="10"/>
        <v>0</v>
      </c>
    </row>
    <row r="37" spans="1:46" s="37" customFormat="1" ht="45.75" customHeight="1" thickBot="1" x14ac:dyDescent="0.2">
      <c r="A37" s="35"/>
      <c r="B37" s="35"/>
      <c r="C37" s="39" t="s">
        <v>303</v>
      </c>
      <c r="D37" s="47" t="s">
        <v>302</v>
      </c>
      <c r="E37" s="39"/>
      <c r="F37" s="34"/>
      <c r="G37" s="51"/>
      <c r="H37" s="50"/>
      <c r="I37" s="38">
        <v>0.51</v>
      </c>
      <c r="J37" s="30">
        <v>0.49</v>
      </c>
      <c r="K37" s="29"/>
      <c r="L37" s="28"/>
      <c r="M37" s="27"/>
      <c r="N37" s="26">
        <f t="shared" ref="N37:N68" si="11">SUM(I37:M37)</f>
        <v>1</v>
      </c>
      <c r="O37" s="25">
        <v>15</v>
      </c>
      <c r="P37" s="24">
        <v>15</v>
      </c>
      <c r="Q37" s="42"/>
      <c r="R37" s="42"/>
      <c r="S37" s="42"/>
      <c r="T37" s="20">
        <f t="shared" ref="T37:T68" si="12">ROUND(((O37*I37)+(P37*J37)+(Q37*K37)+(R37*L37)+(S37*M37)),2)</f>
        <v>15</v>
      </c>
      <c r="U37" s="19">
        <f t="shared" ref="U37:U68" si="13">IF(T37&gt;=15,15,T37)</f>
        <v>15</v>
      </c>
      <c r="V37" s="22">
        <v>14643377000</v>
      </c>
      <c r="W37" s="22">
        <v>13888695000</v>
      </c>
      <c r="X37" s="22"/>
      <c r="Y37" s="150"/>
      <c r="Z37" s="21"/>
      <c r="AA37" s="20">
        <f t="shared" ref="AA37:AA68" si="14">ROUND((((V37*I37)+(W37*J37)+(X37*K37)+(Y37*L37)+(Z37*M37))/$I$2*15),2)</f>
        <v>10.15</v>
      </c>
      <c r="AB37" s="19">
        <f t="shared" ref="AB37:AB68" si="15">IF(AA37&gt;=15,15,AA37)</f>
        <v>10.15</v>
      </c>
      <c r="AC37" s="16">
        <v>20</v>
      </c>
      <c r="AD37" s="18"/>
      <c r="AE37" s="17"/>
      <c r="AF37" s="23">
        <f t="shared" ref="AF37:AF68" si="16">IF((U37+AB37+AD37)&gt;=30,30,(U37+AB37+AD37))</f>
        <v>25.15</v>
      </c>
      <c r="AG37" s="16">
        <v>45</v>
      </c>
      <c r="AH37" s="23">
        <f t="shared" ref="AH37:AH68" si="17">AC37+AF37+AG37+AE37</f>
        <v>90.15</v>
      </c>
      <c r="AI37" s="14">
        <f t="shared" ref="AI37:AI68" si="18">-((50-((176+(45+(30-AF37)))))/200)</f>
        <v>0.87924999999999998</v>
      </c>
      <c r="AJ37" s="13"/>
      <c r="AK37" s="12">
        <v>0.01</v>
      </c>
      <c r="AL37" s="11">
        <f t="shared" ref="AL37:AL68" si="19">100%+AK37</f>
        <v>1.01</v>
      </c>
      <c r="AM37" s="10">
        <f t="shared" ref="AM37:AM68" si="20">ROUNDUP($D$2*AI37*AL37,-3)</f>
        <v>9363038000</v>
      </c>
      <c r="AN37" s="9"/>
      <c r="AO37" s="8"/>
      <c r="AP37" s="8"/>
      <c r="AQ37" s="8"/>
      <c r="AR37" s="8"/>
      <c r="AS37" s="7"/>
      <c r="AT37" s="6">
        <f t="shared" ref="AT37:AT68" si="21">(AO37*J37)+(AP37*K37)+(AQ37*L37)+(AR37*M37)+(AS37*N37)</f>
        <v>0</v>
      </c>
    </row>
    <row r="38" spans="1:46" s="37" customFormat="1" ht="45.75" customHeight="1" thickBot="1" x14ac:dyDescent="0.2">
      <c r="A38" s="36"/>
      <c r="B38" s="35"/>
      <c r="C38" s="47"/>
      <c r="D38" s="39" t="s">
        <v>301</v>
      </c>
      <c r="E38" s="39"/>
      <c r="F38" s="39"/>
      <c r="G38" s="46"/>
      <c r="H38" s="45"/>
      <c r="I38" s="38">
        <v>0.51</v>
      </c>
      <c r="J38" s="30">
        <v>0.49</v>
      </c>
      <c r="K38" s="29"/>
      <c r="L38" s="28"/>
      <c r="M38" s="27"/>
      <c r="N38" s="26">
        <f t="shared" si="11"/>
        <v>1</v>
      </c>
      <c r="O38" s="44">
        <v>15</v>
      </c>
      <c r="P38" s="43">
        <v>15</v>
      </c>
      <c r="Q38" s="42"/>
      <c r="R38" s="42"/>
      <c r="S38" s="42"/>
      <c r="T38" s="20">
        <f t="shared" si="12"/>
        <v>15</v>
      </c>
      <c r="U38" s="19">
        <f t="shared" si="13"/>
        <v>15</v>
      </c>
      <c r="V38" s="54"/>
      <c r="W38" s="59">
        <v>3815383000</v>
      </c>
      <c r="X38" s="41"/>
      <c r="Y38" s="48"/>
      <c r="Z38" s="21"/>
      <c r="AA38" s="20">
        <f t="shared" si="14"/>
        <v>1.33</v>
      </c>
      <c r="AB38" s="19">
        <f t="shared" si="15"/>
        <v>1.33</v>
      </c>
      <c r="AC38" s="16">
        <v>20</v>
      </c>
      <c r="AD38" s="18"/>
      <c r="AE38" s="17"/>
      <c r="AF38" s="23">
        <f t="shared" si="16"/>
        <v>16.329999999999998</v>
      </c>
      <c r="AG38" s="16">
        <v>45</v>
      </c>
      <c r="AH38" s="23">
        <f t="shared" si="17"/>
        <v>81.33</v>
      </c>
      <c r="AI38" s="14">
        <f t="shared" si="18"/>
        <v>0.92335000000000012</v>
      </c>
      <c r="AJ38" s="13"/>
      <c r="AK38" s="12">
        <v>0.01</v>
      </c>
      <c r="AL38" s="11">
        <f t="shared" si="19"/>
        <v>1.01</v>
      </c>
      <c r="AM38" s="10">
        <f t="shared" si="20"/>
        <v>9832654000</v>
      </c>
      <c r="AN38" s="9"/>
      <c r="AO38" s="8"/>
      <c r="AP38" s="8"/>
      <c r="AQ38" s="8"/>
      <c r="AR38" s="8"/>
      <c r="AS38" s="7"/>
      <c r="AT38" s="6">
        <f t="shared" si="21"/>
        <v>0</v>
      </c>
    </row>
    <row r="39" spans="1:46" s="37" customFormat="1" ht="45.75" customHeight="1" thickBot="1" x14ac:dyDescent="0.2">
      <c r="A39" s="36"/>
      <c r="B39" s="55"/>
      <c r="C39" s="73" t="s">
        <v>300</v>
      </c>
      <c r="D39" s="53"/>
      <c r="E39" s="39"/>
      <c r="F39" s="39"/>
      <c r="G39" s="33"/>
      <c r="H39" s="32"/>
      <c r="I39" s="38">
        <v>0.51</v>
      </c>
      <c r="J39" s="30">
        <v>0.49</v>
      </c>
      <c r="K39" s="29"/>
      <c r="L39" s="28"/>
      <c r="M39" s="27"/>
      <c r="N39" s="26">
        <f t="shared" si="11"/>
        <v>1</v>
      </c>
      <c r="O39" s="25">
        <v>15</v>
      </c>
      <c r="P39" s="43">
        <v>15</v>
      </c>
      <c r="Q39" s="24"/>
      <c r="R39" s="24"/>
      <c r="S39" s="23"/>
      <c r="T39" s="20">
        <f t="shared" si="12"/>
        <v>15</v>
      </c>
      <c r="U39" s="19">
        <f t="shared" si="13"/>
        <v>15</v>
      </c>
      <c r="V39" s="61">
        <v>12907222000</v>
      </c>
      <c r="W39" s="59"/>
      <c r="X39" s="22"/>
      <c r="Y39" s="22"/>
      <c r="Z39" s="21"/>
      <c r="AA39" s="20">
        <f t="shared" si="14"/>
        <v>4.68</v>
      </c>
      <c r="AB39" s="19">
        <f t="shared" si="15"/>
        <v>4.68</v>
      </c>
      <c r="AC39" s="16">
        <v>20</v>
      </c>
      <c r="AD39" s="18"/>
      <c r="AE39" s="17"/>
      <c r="AF39" s="23">
        <f t="shared" si="16"/>
        <v>19.68</v>
      </c>
      <c r="AG39" s="16">
        <v>45</v>
      </c>
      <c r="AH39" s="23">
        <f t="shared" si="17"/>
        <v>84.68</v>
      </c>
      <c r="AI39" s="14">
        <f t="shared" si="18"/>
        <v>0.90659999999999996</v>
      </c>
      <c r="AJ39" s="13"/>
      <c r="AK39" s="12">
        <v>0.01</v>
      </c>
      <c r="AL39" s="11">
        <f t="shared" si="19"/>
        <v>1.01</v>
      </c>
      <c r="AM39" s="10">
        <f t="shared" si="20"/>
        <v>9654285000</v>
      </c>
      <c r="AN39" s="9"/>
      <c r="AO39" s="8"/>
      <c r="AP39" s="8"/>
      <c r="AQ39" s="8"/>
      <c r="AR39" s="8"/>
      <c r="AS39" s="7"/>
      <c r="AT39" s="6">
        <f t="shared" si="21"/>
        <v>0</v>
      </c>
    </row>
    <row r="40" spans="1:46" s="37" customFormat="1" ht="45.75" customHeight="1" thickBot="1" x14ac:dyDescent="0.2">
      <c r="A40" s="35"/>
      <c r="B40" s="35"/>
      <c r="C40" s="47"/>
      <c r="D40" s="39"/>
      <c r="E40" s="149" t="s">
        <v>299</v>
      </c>
      <c r="F40" s="63"/>
      <c r="G40" s="51"/>
      <c r="H40" s="45"/>
      <c r="I40" s="38"/>
      <c r="J40" s="30"/>
      <c r="K40" s="29"/>
      <c r="L40" s="28"/>
      <c r="M40" s="27"/>
      <c r="N40" s="26">
        <f t="shared" si="11"/>
        <v>0</v>
      </c>
      <c r="O40" s="65">
        <v>15</v>
      </c>
      <c r="P40" s="23">
        <v>15</v>
      </c>
      <c r="Q40" s="42"/>
      <c r="R40" s="42"/>
      <c r="S40" s="23"/>
      <c r="T40" s="20">
        <f t="shared" si="12"/>
        <v>0</v>
      </c>
      <c r="U40" s="19">
        <f t="shared" si="13"/>
        <v>0</v>
      </c>
      <c r="V40" s="52"/>
      <c r="W40" s="59"/>
      <c r="X40" s="59">
        <v>21781049000</v>
      </c>
      <c r="Y40" s="79"/>
      <c r="Z40" s="21"/>
      <c r="AA40" s="20">
        <f t="shared" si="14"/>
        <v>0</v>
      </c>
      <c r="AB40" s="19">
        <f t="shared" si="15"/>
        <v>0</v>
      </c>
      <c r="AC40" s="16">
        <v>20</v>
      </c>
      <c r="AD40" s="18"/>
      <c r="AE40" s="17"/>
      <c r="AF40" s="23">
        <f t="shared" si="16"/>
        <v>0</v>
      </c>
      <c r="AG40" s="16">
        <v>45</v>
      </c>
      <c r="AH40" s="23">
        <f t="shared" si="17"/>
        <v>65</v>
      </c>
      <c r="AI40" s="14">
        <f t="shared" si="18"/>
        <v>1.0049999999999999</v>
      </c>
      <c r="AJ40" s="13"/>
      <c r="AK40" s="12">
        <v>0.01</v>
      </c>
      <c r="AL40" s="11">
        <f t="shared" si="19"/>
        <v>1.01</v>
      </c>
      <c r="AM40" s="10">
        <f t="shared" si="20"/>
        <v>10702136000</v>
      </c>
      <c r="AN40" s="9"/>
      <c r="AO40" s="16"/>
      <c r="AP40" s="72"/>
      <c r="AQ40" s="72"/>
      <c r="AR40" s="8"/>
      <c r="AS40" s="7"/>
      <c r="AT40" s="6">
        <f t="shared" si="21"/>
        <v>0</v>
      </c>
    </row>
    <row r="41" spans="1:46" s="37" customFormat="1" ht="45.75" customHeight="1" thickBot="1" x14ac:dyDescent="0.2">
      <c r="A41" s="35"/>
      <c r="B41" s="35"/>
      <c r="C41" s="39"/>
      <c r="D41" s="39"/>
      <c r="E41" s="39"/>
      <c r="F41" s="63"/>
      <c r="G41" s="51"/>
      <c r="H41" s="45"/>
      <c r="I41" s="38">
        <v>0.51</v>
      </c>
      <c r="J41" s="30">
        <v>0.49</v>
      </c>
      <c r="K41" s="29"/>
      <c r="L41" s="28"/>
      <c r="M41" s="27"/>
      <c r="N41" s="26">
        <f t="shared" si="11"/>
        <v>1</v>
      </c>
      <c r="O41" s="65">
        <v>15</v>
      </c>
      <c r="P41" s="23">
        <v>15</v>
      </c>
      <c r="Q41" s="42"/>
      <c r="R41" s="42"/>
      <c r="S41" s="23"/>
      <c r="T41" s="20">
        <f t="shared" si="12"/>
        <v>15</v>
      </c>
      <c r="U41" s="19">
        <f t="shared" si="13"/>
        <v>15</v>
      </c>
      <c r="V41" s="61"/>
      <c r="W41" s="59"/>
      <c r="X41" s="61"/>
      <c r="Y41" s="22"/>
      <c r="Z41" s="68"/>
      <c r="AA41" s="20">
        <f t="shared" si="14"/>
        <v>0</v>
      </c>
      <c r="AB41" s="19">
        <f t="shared" si="15"/>
        <v>0</v>
      </c>
      <c r="AC41" s="16">
        <v>20</v>
      </c>
      <c r="AD41" s="18"/>
      <c r="AE41" s="17"/>
      <c r="AF41" s="23">
        <f t="shared" si="16"/>
        <v>15</v>
      </c>
      <c r="AG41" s="16">
        <v>45</v>
      </c>
      <c r="AH41" s="23">
        <f t="shared" si="17"/>
        <v>80</v>
      </c>
      <c r="AI41" s="14">
        <f t="shared" si="18"/>
        <v>0.93</v>
      </c>
      <c r="AJ41" s="13"/>
      <c r="AK41" s="12">
        <v>0.01</v>
      </c>
      <c r="AL41" s="11">
        <f t="shared" si="19"/>
        <v>1.01</v>
      </c>
      <c r="AM41" s="10">
        <f t="shared" si="20"/>
        <v>9903469000</v>
      </c>
      <c r="AN41" s="9"/>
      <c r="AO41" s="16"/>
      <c r="AP41" s="71"/>
      <c r="AQ41" s="71"/>
      <c r="AR41" s="8"/>
      <c r="AS41" s="7"/>
      <c r="AT41" s="6">
        <f t="shared" si="21"/>
        <v>0</v>
      </c>
    </row>
    <row r="42" spans="1:46" s="37" customFormat="1" ht="45.75" customHeight="1" thickBot="1" x14ac:dyDescent="0.2">
      <c r="A42" s="35"/>
      <c r="B42" s="35"/>
      <c r="C42" s="39"/>
      <c r="D42" s="53"/>
      <c r="E42" s="39"/>
      <c r="F42" s="73"/>
      <c r="G42" s="51"/>
      <c r="H42" s="45"/>
      <c r="I42" s="38">
        <v>0.51</v>
      </c>
      <c r="J42" s="30">
        <v>0.49</v>
      </c>
      <c r="K42" s="29"/>
      <c r="L42" s="30"/>
      <c r="M42" s="27"/>
      <c r="N42" s="26">
        <f t="shared" si="11"/>
        <v>1</v>
      </c>
      <c r="O42" s="65">
        <v>15</v>
      </c>
      <c r="P42" s="23">
        <v>15</v>
      </c>
      <c r="Q42" s="42"/>
      <c r="R42" s="42"/>
      <c r="S42" s="42"/>
      <c r="T42" s="20">
        <f t="shared" si="12"/>
        <v>15</v>
      </c>
      <c r="U42" s="19">
        <f t="shared" si="13"/>
        <v>15</v>
      </c>
      <c r="V42" s="68"/>
      <c r="W42" s="68"/>
      <c r="X42" s="59"/>
      <c r="Y42" s="68"/>
      <c r="Z42" s="59"/>
      <c r="AA42" s="20">
        <f t="shared" si="14"/>
        <v>0</v>
      </c>
      <c r="AB42" s="19">
        <f t="shared" si="15"/>
        <v>0</v>
      </c>
      <c r="AC42" s="16">
        <v>20</v>
      </c>
      <c r="AD42" s="18"/>
      <c r="AE42" s="17"/>
      <c r="AF42" s="23">
        <f t="shared" si="16"/>
        <v>15</v>
      </c>
      <c r="AG42" s="16">
        <v>45</v>
      </c>
      <c r="AH42" s="23">
        <f t="shared" si="17"/>
        <v>80</v>
      </c>
      <c r="AI42" s="14">
        <f t="shared" si="18"/>
        <v>0.93</v>
      </c>
      <c r="AJ42" s="13"/>
      <c r="AK42" s="12">
        <v>0.01</v>
      </c>
      <c r="AL42" s="11">
        <f t="shared" si="19"/>
        <v>1.01</v>
      </c>
      <c r="AM42" s="10">
        <f t="shared" si="20"/>
        <v>9903469000</v>
      </c>
      <c r="AN42" s="9"/>
      <c r="AO42" s="71"/>
      <c r="AP42" s="71"/>
      <c r="AQ42" s="71"/>
      <c r="AR42" s="8"/>
      <c r="AS42" s="7"/>
      <c r="AT42" s="6">
        <f t="shared" si="21"/>
        <v>0</v>
      </c>
    </row>
    <row r="43" spans="1:46" s="37" customFormat="1" ht="45.75" customHeight="1" thickBot="1" x14ac:dyDescent="0.2">
      <c r="A43" s="35"/>
      <c r="B43" s="35"/>
      <c r="C43" s="39"/>
      <c r="D43" s="39" t="s">
        <v>22</v>
      </c>
      <c r="E43" s="39"/>
      <c r="F43" s="63"/>
      <c r="G43" s="51"/>
      <c r="H43" s="45"/>
      <c r="I43" s="38">
        <v>0.51</v>
      </c>
      <c r="J43" s="30">
        <v>0.49</v>
      </c>
      <c r="K43" s="29"/>
      <c r="L43" s="28"/>
      <c r="M43" s="27"/>
      <c r="N43" s="26">
        <f t="shared" si="11"/>
        <v>1</v>
      </c>
      <c r="O43" s="65">
        <v>15</v>
      </c>
      <c r="P43" s="23">
        <v>15</v>
      </c>
      <c r="Q43" s="42"/>
      <c r="R43" s="42"/>
      <c r="S43" s="42"/>
      <c r="T43" s="20">
        <f t="shared" si="12"/>
        <v>15</v>
      </c>
      <c r="U43" s="19">
        <f t="shared" si="13"/>
        <v>15</v>
      </c>
      <c r="V43" s="61"/>
      <c r="W43" s="62">
        <v>9345491000</v>
      </c>
      <c r="X43" s="59"/>
      <c r="Y43" s="22"/>
      <c r="Z43" s="68"/>
      <c r="AA43" s="20">
        <f t="shared" si="14"/>
        <v>3.26</v>
      </c>
      <c r="AB43" s="19">
        <f t="shared" si="15"/>
        <v>3.26</v>
      </c>
      <c r="AC43" s="16">
        <v>20</v>
      </c>
      <c r="AD43" s="18"/>
      <c r="AE43" s="17"/>
      <c r="AF43" s="23">
        <f t="shared" si="16"/>
        <v>18.259999999999998</v>
      </c>
      <c r="AG43" s="16">
        <v>45</v>
      </c>
      <c r="AH43" s="23">
        <f t="shared" si="17"/>
        <v>83.259999999999991</v>
      </c>
      <c r="AI43" s="14">
        <f t="shared" si="18"/>
        <v>0.91370000000000007</v>
      </c>
      <c r="AJ43" s="13"/>
      <c r="AK43" s="12">
        <v>0.01</v>
      </c>
      <c r="AL43" s="11">
        <f t="shared" si="19"/>
        <v>1.01</v>
      </c>
      <c r="AM43" s="10">
        <f t="shared" si="20"/>
        <v>9729892000</v>
      </c>
      <c r="AN43" s="9"/>
      <c r="AO43" s="8"/>
      <c r="AP43" s="8"/>
      <c r="AQ43" s="8"/>
      <c r="AR43" s="8"/>
      <c r="AS43" s="7"/>
      <c r="AT43" s="6">
        <f t="shared" si="21"/>
        <v>0</v>
      </c>
    </row>
    <row r="44" spans="1:46" s="37" customFormat="1" ht="45.75" customHeight="1" thickBot="1" x14ac:dyDescent="0.2">
      <c r="A44" s="35"/>
      <c r="B44" s="35"/>
      <c r="C44" s="39"/>
      <c r="D44" s="39"/>
      <c r="E44" s="39"/>
      <c r="F44" s="39"/>
      <c r="G44" s="73"/>
      <c r="H44" s="45"/>
      <c r="I44" s="38">
        <v>0.51</v>
      </c>
      <c r="J44" s="30">
        <v>0.49</v>
      </c>
      <c r="K44" s="29"/>
      <c r="L44" s="28"/>
      <c r="M44" s="27"/>
      <c r="N44" s="26">
        <f t="shared" si="11"/>
        <v>1</v>
      </c>
      <c r="O44" s="65">
        <v>15</v>
      </c>
      <c r="P44" s="23">
        <v>15</v>
      </c>
      <c r="Q44" s="42"/>
      <c r="R44" s="42"/>
      <c r="S44" s="23"/>
      <c r="T44" s="20">
        <f t="shared" si="12"/>
        <v>15</v>
      </c>
      <c r="U44" s="19">
        <f t="shared" si="13"/>
        <v>15</v>
      </c>
      <c r="V44" s="68"/>
      <c r="W44" s="62"/>
      <c r="X44" s="78"/>
      <c r="Y44" s="22"/>
      <c r="Z44" s="68"/>
      <c r="AA44" s="20">
        <f t="shared" si="14"/>
        <v>0</v>
      </c>
      <c r="AB44" s="19">
        <f t="shared" si="15"/>
        <v>0</v>
      </c>
      <c r="AC44" s="16">
        <v>20</v>
      </c>
      <c r="AD44" s="18"/>
      <c r="AE44" s="17"/>
      <c r="AF44" s="23">
        <f t="shared" si="16"/>
        <v>15</v>
      </c>
      <c r="AG44" s="16">
        <v>45</v>
      </c>
      <c r="AH44" s="23">
        <f t="shared" si="17"/>
        <v>80</v>
      </c>
      <c r="AI44" s="14">
        <f t="shared" si="18"/>
        <v>0.93</v>
      </c>
      <c r="AJ44" s="13"/>
      <c r="AK44" s="12">
        <v>0.01</v>
      </c>
      <c r="AL44" s="11">
        <f t="shared" si="19"/>
        <v>1.01</v>
      </c>
      <c r="AM44" s="10">
        <f t="shared" si="20"/>
        <v>9903469000</v>
      </c>
      <c r="AN44" s="9"/>
      <c r="AO44" s="71"/>
      <c r="AP44" s="71"/>
      <c r="AQ44" s="71"/>
      <c r="AR44" s="8"/>
      <c r="AS44" s="7"/>
      <c r="AT44" s="6">
        <f t="shared" si="21"/>
        <v>0</v>
      </c>
    </row>
    <row r="45" spans="1:46" s="37" customFormat="1" ht="45.75" customHeight="1" thickBot="1" x14ac:dyDescent="0.2">
      <c r="A45" s="35"/>
      <c r="B45" s="35"/>
      <c r="C45" s="39"/>
      <c r="D45" s="39"/>
      <c r="E45" s="39"/>
      <c r="F45" s="39"/>
      <c r="G45" s="73"/>
      <c r="H45" s="77"/>
      <c r="I45" s="38">
        <v>0.51</v>
      </c>
      <c r="J45" s="30">
        <v>0.49</v>
      </c>
      <c r="K45" s="29"/>
      <c r="L45" s="28"/>
      <c r="M45" s="27"/>
      <c r="N45" s="26">
        <f t="shared" si="11"/>
        <v>1</v>
      </c>
      <c r="O45" s="65">
        <v>15</v>
      </c>
      <c r="P45" s="23">
        <v>15</v>
      </c>
      <c r="Q45" s="42"/>
      <c r="R45" s="42"/>
      <c r="S45" s="42"/>
      <c r="T45" s="20">
        <f t="shared" si="12"/>
        <v>15</v>
      </c>
      <c r="U45" s="19">
        <f t="shared" si="13"/>
        <v>15</v>
      </c>
      <c r="V45" s="22"/>
      <c r="W45" s="68"/>
      <c r="X45" s="59"/>
      <c r="Y45" s="22"/>
      <c r="Z45" s="68"/>
      <c r="AA45" s="20">
        <f t="shared" si="14"/>
        <v>0</v>
      </c>
      <c r="AB45" s="19">
        <f t="shared" si="15"/>
        <v>0</v>
      </c>
      <c r="AC45" s="16">
        <v>20</v>
      </c>
      <c r="AD45" s="18"/>
      <c r="AE45" s="17"/>
      <c r="AF45" s="23">
        <f t="shared" si="16"/>
        <v>15</v>
      </c>
      <c r="AG45" s="16">
        <v>45</v>
      </c>
      <c r="AH45" s="23">
        <f t="shared" si="17"/>
        <v>80</v>
      </c>
      <c r="AI45" s="14">
        <f t="shared" si="18"/>
        <v>0.93</v>
      </c>
      <c r="AJ45" s="13"/>
      <c r="AK45" s="12">
        <v>0.01</v>
      </c>
      <c r="AL45" s="11">
        <f t="shared" si="19"/>
        <v>1.01</v>
      </c>
      <c r="AM45" s="10">
        <f t="shared" si="20"/>
        <v>9903469000</v>
      </c>
      <c r="AN45" s="9"/>
      <c r="AO45" s="16"/>
      <c r="AP45" s="71"/>
      <c r="AQ45" s="71"/>
      <c r="AR45" s="8"/>
      <c r="AS45" s="7"/>
      <c r="AT45" s="6">
        <f t="shared" si="21"/>
        <v>0</v>
      </c>
    </row>
    <row r="46" spans="1:46" s="37" customFormat="1" ht="45.75" customHeight="1" thickBot="1" x14ac:dyDescent="0.2">
      <c r="A46" s="35"/>
      <c r="B46" s="35"/>
      <c r="C46" s="39" t="s">
        <v>298</v>
      </c>
      <c r="D46" s="39"/>
      <c r="E46" s="39"/>
      <c r="F46" s="73"/>
      <c r="G46" s="86"/>
      <c r="H46" s="77" t="s">
        <v>296</v>
      </c>
      <c r="I46" s="38">
        <v>0.51</v>
      </c>
      <c r="J46" s="29">
        <v>0.49</v>
      </c>
      <c r="K46" s="29"/>
      <c r="L46" s="28"/>
      <c r="M46" s="27"/>
      <c r="N46" s="26">
        <f t="shared" si="11"/>
        <v>1</v>
      </c>
      <c r="O46" s="65">
        <v>15</v>
      </c>
      <c r="P46" s="23">
        <v>15</v>
      </c>
      <c r="Q46" s="23"/>
      <c r="R46" s="42"/>
      <c r="S46" s="42"/>
      <c r="T46" s="20">
        <f t="shared" si="12"/>
        <v>15</v>
      </c>
      <c r="U46" s="19">
        <f t="shared" si="13"/>
        <v>15</v>
      </c>
      <c r="V46" s="61">
        <v>172249167000</v>
      </c>
      <c r="W46" s="22"/>
      <c r="X46" s="22"/>
      <c r="Y46" s="48"/>
      <c r="Z46" s="22"/>
      <c r="AA46" s="20">
        <f t="shared" si="14"/>
        <v>62.49</v>
      </c>
      <c r="AB46" s="19">
        <f t="shared" si="15"/>
        <v>15</v>
      </c>
      <c r="AC46" s="16">
        <v>20</v>
      </c>
      <c r="AD46" s="18"/>
      <c r="AE46" s="17"/>
      <c r="AF46" s="23">
        <f t="shared" si="16"/>
        <v>30</v>
      </c>
      <c r="AG46" s="16">
        <v>45</v>
      </c>
      <c r="AH46" s="23">
        <f t="shared" si="17"/>
        <v>95</v>
      </c>
      <c r="AI46" s="14">
        <f t="shared" si="18"/>
        <v>0.85499999999999998</v>
      </c>
      <c r="AJ46" s="13"/>
      <c r="AK46" s="12">
        <v>0.01</v>
      </c>
      <c r="AL46" s="11">
        <f t="shared" si="19"/>
        <v>1.01</v>
      </c>
      <c r="AM46" s="10">
        <f t="shared" si="20"/>
        <v>9104802000</v>
      </c>
      <c r="AN46" s="9"/>
      <c r="AO46" s="74"/>
      <c r="AP46" s="71"/>
      <c r="AQ46" s="71"/>
      <c r="AR46" s="8"/>
      <c r="AS46" s="7"/>
      <c r="AT46" s="6">
        <f t="shared" si="21"/>
        <v>0</v>
      </c>
    </row>
    <row r="47" spans="1:46" s="37" customFormat="1" ht="45.75" customHeight="1" thickBot="1" x14ac:dyDescent="0.2">
      <c r="A47" s="35"/>
      <c r="B47" s="35"/>
      <c r="C47" s="39" t="s">
        <v>297</v>
      </c>
      <c r="D47" s="39"/>
      <c r="E47" s="39"/>
      <c r="F47" s="73"/>
      <c r="G47" s="51"/>
      <c r="H47" s="77" t="s">
        <v>296</v>
      </c>
      <c r="I47" s="38">
        <v>0.51</v>
      </c>
      <c r="J47" s="30">
        <v>0.49</v>
      </c>
      <c r="K47" s="29"/>
      <c r="L47" s="28"/>
      <c r="M47" s="27"/>
      <c r="N47" s="26">
        <f t="shared" si="11"/>
        <v>1</v>
      </c>
      <c r="O47" s="65">
        <v>15</v>
      </c>
      <c r="P47" s="23">
        <v>15</v>
      </c>
      <c r="Q47" s="42"/>
      <c r="R47" s="42"/>
      <c r="S47" s="23"/>
      <c r="T47" s="20">
        <f t="shared" si="12"/>
        <v>15</v>
      </c>
      <c r="U47" s="19">
        <f t="shared" si="13"/>
        <v>15</v>
      </c>
      <c r="V47" s="61">
        <v>816103333000</v>
      </c>
      <c r="W47" s="22"/>
      <c r="X47" s="59"/>
      <c r="Y47" s="22"/>
      <c r="Z47" s="21"/>
      <c r="AA47" s="20">
        <f t="shared" si="14"/>
        <v>296.07</v>
      </c>
      <c r="AB47" s="19">
        <f t="shared" si="15"/>
        <v>15</v>
      </c>
      <c r="AC47" s="16">
        <v>20</v>
      </c>
      <c r="AD47" s="18"/>
      <c r="AE47" s="17"/>
      <c r="AF47" s="23">
        <f t="shared" si="16"/>
        <v>30</v>
      </c>
      <c r="AG47" s="16">
        <v>45</v>
      </c>
      <c r="AH47" s="23">
        <f t="shared" si="17"/>
        <v>95</v>
      </c>
      <c r="AI47" s="14">
        <f t="shared" si="18"/>
        <v>0.85499999999999998</v>
      </c>
      <c r="AJ47" s="13"/>
      <c r="AK47" s="12">
        <v>0.01</v>
      </c>
      <c r="AL47" s="11">
        <f t="shared" si="19"/>
        <v>1.01</v>
      </c>
      <c r="AM47" s="10">
        <f t="shared" si="20"/>
        <v>9104802000</v>
      </c>
      <c r="AN47" s="9"/>
      <c r="AO47" s="74"/>
      <c r="AP47" s="71"/>
      <c r="AQ47" s="81"/>
      <c r="AR47" s="8"/>
      <c r="AS47" s="7"/>
      <c r="AT47" s="6">
        <f t="shared" si="21"/>
        <v>0</v>
      </c>
    </row>
    <row r="48" spans="1:46" s="37" customFormat="1" ht="45.75" customHeight="1" thickBot="1" x14ac:dyDescent="0.2">
      <c r="A48" s="35"/>
      <c r="B48" s="35"/>
      <c r="C48" s="39"/>
      <c r="D48" s="53"/>
      <c r="E48" s="39"/>
      <c r="F48" s="39"/>
      <c r="G48" s="73"/>
      <c r="H48" s="45"/>
      <c r="I48" s="38">
        <v>0.4</v>
      </c>
      <c r="J48" s="30">
        <v>0.3</v>
      </c>
      <c r="K48" s="29">
        <v>0.3</v>
      </c>
      <c r="L48" s="30"/>
      <c r="M48" s="27"/>
      <c r="N48" s="26">
        <f t="shared" si="11"/>
        <v>1</v>
      </c>
      <c r="O48" s="65">
        <v>15</v>
      </c>
      <c r="P48" s="23">
        <v>15</v>
      </c>
      <c r="Q48" s="23">
        <v>15</v>
      </c>
      <c r="R48" s="42"/>
      <c r="S48" s="42"/>
      <c r="T48" s="20">
        <f t="shared" si="12"/>
        <v>15</v>
      </c>
      <c r="U48" s="19">
        <f t="shared" si="13"/>
        <v>15</v>
      </c>
      <c r="V48" s="85">
        <v>3425675000</v>
      </c>
      <c r="W48" s="22"/>
      <c r="X48" s="76"/>
      <c r="Y48" s="22"/>
      <c r="Z48" s="68"/>
      <c r="AA48" s="20">
        <f t="shared" si="14"/>
        <v>0.97</v>
      </c>
      <c r="AB48" s="19">
        <f t="shared" si="15"/>
        <v>0.97</v>
      </c>
      <c r="AC48" s="16">
        <v>20</v>
      </c>
      <c r="AD48" s="18"/>
      <c r="AE48" s="17"/>
      <c r="AF48" s="23">
        <f t="shared" si="16"/>
        <v>15.97</v>
      </c>
      <c r="AG48" s="16">
        <v>45</v>
      </c>
      <c r="AH48" s="23">
        <f t="shared" si="17"/>
        <v>80.97</v>
      </c>
      <c r="AI48" s="14">
        <f t="shared" si="18"/>
        <v>0.92515000000000003</v>
      </c>
      <c r="AJ48" s="13"/>
      <c r="AK48" s="12">
        <v>0.01</v>
      </c>
      <c r="AL48" s="11">
        <f t="shared" si="19"/>
        <v>1.01</v>
      </c>
      <c r="AM48" s="10">
        <f t="shared" si="20"/>
        <v>9851822000</v>
      </c>
      <c r="AN48" s="9"/>
      <c r="AO48" s="71"/>
      <c r="AP48" s="71"/>
      <c r="AQ48" s="71"/>
      <c r="AR48" s="8"/>
      <c r="AS48" s="7"/>
      <c r="AT48" s="6">
        <f t="shared" si="21"/>
        <v>0</v>
      </c>
    </row>
    <row r="49" spans="1:46" s="37" customFormat="1" ht="45.75" customHeight="1" thickBot="1" x14ac:dyDescent="0.2">
      <c r="A49" s="35"/>
      <c r="B49" s="35"/>
      <c r="C49" s="73"/>
      <c r="D49" s="73" t="s">
        <v>295</v>
      </c>
      <c r="E49" s="73" t="s">
        <v>294</v>
      </c>
      <c r="F49" s="73"/>
      <c r="G49" s="51"/>
      <c r="H49" s="45"/>
      <c r="I49" s="38">
        <v>0.51</v>
      </c>
      <c r="J49" s="30">
        <v>0.49</v>
      </c>
      <c r="K49" s="29"/>
      <c r="L49" s="28"/>
      <c r="M49" s="27"/>
      <c r="N49" s="26">
        <f t="shared" si="11"/>
        <v>1</v>
      </c>
      <c r="O49" s="65">
        <v>15</v>
      </c>
      <c r="P49" s="23">
        <v>15</v>
      </c>
      <c r="Q49" s="42"/>
      <c r="R49" s="42"/>
      <c r="S49" s="23"/>
      <c r="T49" s="20">
        <f t="shared" si="12"/>
        <v>15</v>
      </c>
      <c r="U49" s="19">
        <f t="shared" si="13"/>
        <v>15</v>
      </c>
      <c r="V49" s="59"/>
      <c r="W49" s="22">
        <v>7486618000</v>
      </c>
      <c r="X49" s="59"/>
      <c r="Y49" s="22"/>
      <c r="Z49" s="68"/>
      <c r="AA49" s="20">
        <f t="shared" si="14"/>
        <v>2.61</v>
      </c>
      <c r="AB49" s="19">
        <f t="shared" si="15"/>
        <v>2.61</v>
      </c>
      <c r="AC49" s="16">
        <v>20</v>
      </c>
      <c r="AD49" s="18"/>
      <c r="AE49" s="17"/>
      <c r="AF49" s="23">
        <f t="shared" si="16"/>
        <v>17.61</v>
      </c>
      <c r="AG49" s="16">
        <v>45</v>
      </c>
      <c r="AH49" s="23">
        <f t="shared" si="17"/>
        <v>82.61</v>
      </c>
      <c r="AI49" s="14">
        <f t="shared" si="18"/>
        <v>0.91694999999999993</v>
      </c>
      <c r="AJ49" s="13"/>
      <c r="AK49" s="12">
        <v>0.01</v>
      </c>
      <c r="AL49" s="11">
        <f t="shared" si="19"/>
        <v>1.01</v>
      </c>
      <c r="AM49" s="10">
        <f t="shared" si="20"/>
        <v>9764501000</v>
      </c>
      <c r="AN49" s="9"/>
      <c r="AO49" s="74"/>
      <c r="AP49" s="72"/>
      <c r="AQ49" s="72"/>
      <c r="AR49" s="8"/>
      <c r="AS49" s="7"/>
      <c r="AT49" s="6">
        <f t="shared" si="21"/>
        <v>0</v>
      </c>
    </row>
    <row r="50" spans="1:46" s="37" customFormat="1" ht="45.75" customHeight="1" thickBot="1" x14ac:dyDescent="0.2">
      <c r="A50" s="35"/>
      <c r="B50" s="35"/>
      <c r="C50" s="39"/>
      <c r="D50" s="39"/>
      <c r="E50" s="39"/>
      <c r="F50" s="63"/>
      <c r="G50" s="51"/>
      <c r="H50" s="45"/>
      <c r="I50" s="38">
        <v>0.51</v>
      </c>
      <c r="J50" s="30">
        <v>0.49</v>
      </c>
      <c r="K50" s="29"/>
      <c r="L50" s="28"/>
      <c r="M50" s="27"/>
      <c r="N50" s="26">
        <f t="shared" si="11"/>
        <v>1</v>
      </c>
      <c r="O50" s="23">
        <v>15</v>
      </c>
      <c r="P50" s="23">
        <v>15</v>
      </c>
      <c r="Q50" s="42"/>
      <c r="R50" s="42"/>
      <c r="S50" s="42"/>
      <c r="T50" s="20">
        <f t="shared" si="12"/>
        <v>15</v>
      </c>
      <c r="U50" s="19">
        <f t="shared" si="13"/>
        <v>15</v>
      </c>
      <c r="V50" s="61"/>
      <c r="W50" s="59"/>
      <c r="X50" s="61"/>
      <c r="Y50" s="22"/>
      <c r="Z50" s="21"/>
      <c r="AA50" s="20">
        <f t="shared" si="14"/>
        <v>0</v>
      </c>
      <c r="AB50" s="19">
        <f t="shared" si="15"/>
        <v>0</v>
      </c>
      <c r="AC50" s="16">
        <v>20</v>
      </c>
      <c r="AD50" s="18"/>
      <c r="AE50" s="17"/>
      <c r="AF50" s="23">
        <f t="shared" si="16"/>
        <v>15</v>
      </c>
      <c r="AG50" s="16">
        <v>45</v>
      </c>
      <c r="AH50" s="23">
        <f t="shared" si="17"/>
        <v>80</v>
      </c>
      <c r="AI50" s="14">
        <f t="shared" si="18"/>
        <v>0.93</v>
      </c>
      <c r="AJ50" s="13"/>
      <c r="AK50" s="12">
        <v>0.01</v>
      </c>
      <c r="AL50" s="11">
        <f t="shared" si="19"/>
        <v>1.01</v>
      </c>
      <c r="AM50" s="10">
        <f t="shared" si="20"/>
        <v>9903469000</v>
      </c>
      <c r="AN50" s="9"/>
      <c r="AO50" s="8"/>
      <c r="AP50" s="8"/>
      <c r="AQ50" s="8"/>
      <c r="AR50" s="8"/>
      <c r="AS50" s="7"/>
      <c r="AT50" s="6">
        <f t="shared" si="21"/>
        <v>0</v>
      </c>
    </row>
    <row r="51" spans="1:46" s="37" customFormat="1" ht="45.75" customHeight="1" thickBot="1" x14ac:dyDescent="0.2">
      <c r="A51" s="35"/>
      <c r="B51" s="35"/>
      <c r="C51" s="39"/>
      <c r="D51" s="39"/>
      <c r="E51" s="53"/>
      <c r="F51" s="39"/>
      <c r="G51" s="39"/>
      <c r="H51" s="45"/>
      <c r="I51" s="38">
        <v>0.5</v>
      </c>
      <c r="J51" s="30">
        <v>0.25</v>
      </c>
      <c r="K51" s="29">
        <v>0.25</v>
      </c>
      <c r="L51" s="28"/>
      <c r="M51" s="27"/>
      <c r="N51" s="26">
        <f t="shared" si="11"/>
        <v>1</v>
      </c>
      <c r="O51" s="65">
        <v>15</v>
      </c>
      <c r="P51" s="23">
        <v>15</v>
      </c>
      <c r="Q51" s="23">
        <v>15</v>
      </c>
      <c r="R51" s="42"/>
      <c r="S51" s="23"/>
      <c r="T51" s="20">
        <f t="shared" si="12"/>
        <v>15</v>
      </c>
      <c r="U51" s="19">
        <f t="shared" si="13"/>
        <v>15</v>
      </c>
      <c r="V51" s="22"/>
      <c r="W51" s="22"/>
      <c r="X51" s="68"/>
      <c r="Y51" s="59"/>
      <c r="Z51" s="22"/>
      <c r="AA51" s="20">
        <f t="shared" si="14"/>
        <v>0</v>
      </c>
      <c r="AB51" s="19">
        <f t="shared" si="15"/>
        <v>0</v>
      </c>
      <c r="AC51" s="16">
        <v>20</v>
      </c>
      <c r="AD51" s="18"/>
      <c r="AE51" s="17"/>
      <c r="AF51" s="23">
        <f t="shared" si="16"/>
        <v>15</v>
      </c>
      <c r="AG51" s="16">
        <v>45</v>
      </c>
      <c r="AH51" s="23">
        <f t="shared" si="17"/>
        <v>80</v>
      </c>
      <c r="AI51" s="14">
        <f t="shared" si="18"/>
        <v>0.93</v>
      </c>
      <c r="AJ51" s="13"/>
      <c r="AK51" s="12">
        <v>0.01</v>
      </c>
      <c r="AL51" s="11">
        <f t="shared" si="19"/>
        <v>1.01</v>
      </c>
      <c r="AM51" s="10">
        <f t="shared" si="20"/>
        <v>9903469000</v>
      </c>
      <c r="AN51" s="9"/>
      <c r="AO51" s="16"/>
      <c r="AP51" s="71"/>
      <c r="AQ51" s="71"/>
      <c r="AR51" s="8"/>
      <c r="AS51" s="7"/>
      <c r="AT51" s="6">
        <f t="shared" si="21"/>
        <v>0</v>
      </c>
    </row>
    <row r="52" spans="1:46" s="37" customFormat="1" ht="45.75" customHeight="1" thickBot="1" x14ac:dyDescent="0.2">
      <c r="A52" s="35"/>
      <c r="B52" s="35"/>
      <c r="C52" s="73"/>
      <c r="D52" s="73"/>
      <c r="E52" s="73"/>
      <c r="F52" s="73"/>
      <c r="G52" s="51"/>
      <c r="H52" s="45"/>
      <c r="I52" s="38">
        <v>0.51</v>
      </c>
      <c r="J52" s="30">
        <v>0.49</v>
      </c>
      <c r="K52" s="29"/>
      <c r="L52" s="28"/>
      <c r="M52" s="27"/>
      <c r="N52" s="26">
        <f t="shared" si="11"/>
        <v>1</v>
      </c>
      <c r="O52" s="65">
        <v>15</v>
      </c>
      <c r="P52" s="23">
        <v>15</v>
      </c>
      <c r="Q52" s="42"/>
      <c r="R52" s="42"/>
      <c r="S52" s="23"/>
      <c r="T52" s="20">
        <f t="shared" si="12"/>
        <v>15</v>
      </c>
      <c r="U52" s="19">
        <f t="shared" si="13"/>
        <v>15</v>
      </c>
      <c r="V52" s="22"/>
      <c r="W52" s="22"/>
      <c r="X52" s="22"/>
      <c r="Y52" s="22"/>
      <c r="Z52" s="68"/>
      <c r="AA52" s="20">
        <f t="shared" si="14"/>
        <v>0</v>
      </c>
      <c r="AB52" s="19">
        <f t="shared" si="15"/>
        <v>0</v>
      </c>
      <c r="AC52" s="16">
        <v>20</v>
      </c>
      <c r="AD52" s="18"/>
      <c r="AE52" s="17"/>
      <c r="AF52" s="23">
        <f t="shared" si="16"/>
        <v>15</v>
      </c>
      <c r="AG52" s="16">
        <v>45</v>
      </c>
      <c r="AH52" s="23">
        <f t="shared" si="17"/>
        <v>80</v>
      </c>
      <c r="AI52" s="14">
        <f t="shared" si="18"/>
        <v>0.93</v>
      </c>
      <c r="AJ52" s="13"/>
      <c r="AK52" s="12">
        <v>0.01</v>
      </c>
      <c r="AL52" s="11">
        <f t="shared" si="19"/>
        <v>1.01</v>
      </c>
      <c r="AM52" s="10">
        <f t="shared" si="20"/>
        <v>9903469000</v>
      </c>
      <c r="AN52" s="9"/>
      <c r="AO52" s="74"/>
      <c r="AP52" s="16"/>
      <c r="AQ52" s="16"/>
      <c r="AR52" s="8"/>
      <c r="AS52" s="7"/>
      <c r="AT52" s="6">
        <f t="shared" si="21"/>
        <v>0</v>
      </c>
    </row>
    <row r="53" spans="1:46" s="37" customFormat="1" ht="45.75" customHeight="1" thickBot="1" x14ac:dyDescent="0.2">
      <c r="A53" s="35"/>
      <c r="B53" s="35"/>
      <c r="C53" s="73"/>
      <c r="D53" s="73"/>
      <c r="E53" s="73"/>
      <c r="F53" s="73"/>
      <c r="G53" s="73"/>
      <c r="H53" s="45"/>
      <c r="I53" s="38">
        <v>0.51</v>
      </c>
      <c r="J53" s="30">
        <v>0.49</v>
      </c>
      <c r="K53" s="29"/>
      <c r="L53" s="28"/>
      <c r="M53" s="27"/>
      <c r="N53" s="26">
        <f t="shared" si="11"/>
        <v>1</v>
      </c>
      <c r="O53" s="65">
        <v>15</v>
      </c>
      <c r="P53" s="23">
        <v>15</v>
      </c>
      <c r="Q53" s="42"/>
      <c r="R53" s="42"/>
      <c r="S53" s="23"/>
      <c r="T53" s="20">
        <f t="shared" si="12"/>
        <v>15</v>
      </c>
      <c r="U53" s="19">
        <f t="shared" si="13"/>
        <v>15</v>
      </c>
      <c r="V53" s="22"/>
      <c r="W53" s="59"/>
      <c r="X53" s="59"/>
      <c r="Y53" s="22"/>
      <c r="Z53" s="21"/>
      <c r="AA53" s="20">
        <f t="shared" si="14"/>
        <v>0</v>
      </c>
      <c r="AB53" s="19">
        <f t="shared" si="15"/>
        <v>0</v>
      </c>
      <c r="AC53" s="16">
        <v>20</v>
      </c>
      <c r="AD53" s="18"/>
      <c r="AE53" s="17"/>
      <c r="AF53" s="23">
        <f t="shared" si="16"/>
        <v>15</v>
      </c>
      <c r="AG53" s="16">
        <v>45</v>
      </c>
      <c r="AH53" s="23">
        <f t="shared" si="17"/>
        <v>80</v>
      </c>
      <c r="AI53" s="14">
        <f t="shared" si="18"/>
        <v>0.93</v>
      </c>
      <c r="AJ53" s="13"/>
      <c r="AK53" s="12">
        <v>0.01</v>
      </c>
      <c r="AL53" s="11">
        <f t="shared" si="19"/>
        <v>1.01</v>
      </c>
      <c r="AM53" s="10">
        <f t="shared" si="20"/>
        <v>9903469000</v>
      </c>
      <c r="AN53" s="9"/>
      <c r="AO53" s="16"/>
      <c r="AP53" s="72"/>
      <c r="AQ53" s="71"/>
      <c r="AR53" s="8"/>
      <c r="AS53" s="7"/>
      <c r="AT53" s="6">
        <f t="shared" si="21"/>
        <v>0</v>
      </c>
    </row>
    <row r="54" spans="1:46" s="37" customFormat="1" ht="45.75" customHeight="1" thickBot="1" x14ac:dyDescent="0.2">
      <c r="A54" s="35"/>
      <c r="B54" s="35"/>
      <c r="C54" s="39"/>
      <c r="D54" s="53"/>
      <c r="E54" s="63"/>
      <c r="F54" s="63"/>
      <c r="G54" s="51"/>
      <c r="H54" s="45"/>
      <c r="I54" s="38">
        <v>0.51</v>
      </c>
      <c r="J54" s="30">
        <v>0.49</v>
      </c>
      <c r="K54" s="29"/>
      <c r="L54" s="28"/>
      <c r="M54" s="27"/>
      <c r="N54" s="26">
        <f t="shared" si="11"/>
        <v>1</v>
      </c>
      <c r="O54" s="23">
        <v>15</v>
      </c>
      <c r="P54" s="23">
        <v>15</v>
      </c>
      <c r="Q54" s="42"/>
      <c r="R54" s="24"/>
      <c r="S54" s="23"/>
      <c r="T54" s="20">
        <f t="shared" si="12"/>
        <v>15</v>
      </c>
      <c r="U54" s="19">
        <f t="shared" si="13"/>
        <v>15</v>
      </c>
      <c r="V54" s="61"/>
      <c r="W54" s="59"/>
      <c r="X54" s="22"/>
      <c r="Y54" s="22"/>
      <c r="Z54" s="68"/>
      <c r="AA54" s="20">
        <f t="shared" si="14"/>
        <v>0</v>
      </c>
      <c r="AB54" s="19">
        <f t="shared" si="15"/>
        <v>0</v>
      </c>
      <c r="AC54" s="16">
        <v>20</v>
      </c>
      <c r="AD54" s="18"/>
      <c r="AE54" s="17"/>
      <c r="AF54" s="23">
        <f t="shared" si="16"/>
        <v>15</v>
      </c>
      <c r="AG54" s="16">
        <v>45</v>
      </c>
      <c r="AH54" s="23">
        <f t="shared" si="17"/>
        <v>80</v>
      </c>
      <c r="AI54" s="14">
        <f t="shared" si="18"/>
        <v>0.93</v>
      </c>
      <c r="AJ54" s="13"/>
      <c r="AK54" s="12">
        <v>0.01</v>
      </c>
      <c r="AL54" s="11">
        <f t="shared" si="19"/>
        <v>1.01</v>
      </c>
      <c r="AM54" s="10">
        <f t="shared" si="20"/>
        <v>9903469000</v>
      </c>
      <c r="AN54" s="9"/>
      <c r="AO54" s="8"/>
      <c r="AP54" s="8"/>
      <c r="AQ54" s="8"/>
      <c r="AR54" s="8"/>
      <c r="AS54" s="7"/>
      <c r="AT54" s="6">
        <f t="shared" si="21"/>
        <v>0</v>
      </c>
    </row>
    <row r="55" spans="1:46" s="37" customFormat="1" ht="45.75" customHeight="1" thickBot="1" x14ac:dyDescent="0.2">
      <c r="A55" s="35"/>
      <c r="B55" s="35"/>
      <c r="C55" s="39"/>
      <c r="D55" s="53"/>
      <c r="E55" s="39"/>
      <c r="F55" s="63"/>
      <c r="G55" s="51"/>
      <c r="H55" s="45"/>
      <c r="I55" s="38">
        <v>0.51</v>
      </c>
      <c r="J55" s="30">
        <v>0.49</v>
      </c>
      <c r="K55" s="29"/>
      <c r="L55" s="28"/>
      <c r="M55" s="27"/>
      <c r="N55" s="26">
        <f t="shared" si="11"/>
        <v>1</v>
      </c>
      <c r="O55" s="23">
        <v>15</v>
      </c>
      <c r="P55" s="23">
        <v>15</v>
      </c>
      <c r="Q55" s="69"/>
      <c r="R55" s="24"/>
      <c r="S55" s="23"/>
      <c r="T55" s="20">
        <f t="shared" si="12"/>
        <v>15</v>
      </c>
      <c r="U55" s="19">
        <f t="shared" si="13"/>
        <v>15</v>
      </c>
      <c r="V55" s="61"/>
      <c r="W55" s="68"/>
      <c r="X55" s="59"/>
      <c r="Y55" s="22"/>
      <c r="Z55" s="21"/>
      <c r="AA55" s="20">
        <f t="shared" si="14"/>
        <v>0</v>
      </c>
      <c r="AB55" s="19">
        <f t="shared" si="15"/>
        <v>0</v>
      </c>
      <c r="AC55" s="16">
        <v>20</v>
      </c>
      <c r="AD55" s="18"/>
      <c r="AE55" s="17"/>
      <c r="AF55" s="23">
        <f t="shared" si="16"/>
        <v>15</v>
      </c>
      <c r="AG55" s="16">
        <v>45</v>
      </c>
      <c r="AH55" s="23">
        <f t="shared" si="17"/>
        <v>80</v>
      </c>
      <c r="AI55" s="14">
        <f t="shared" si="18"/>
        <v>0.93</v>
      </c>
      <c r="AJ55" s="13"/>
      <c r="AK55" s="12">
        <v>0.01</v>
      </c>
      <c r="AL55" s="11">
        <f t="shared" si="19"/>
        <v>1.01</v>
      </c>
      <c r="AM55" s="10">
        <f t="shared" si="20"/>
        <v>9903469000</v>
      </c>
      <c r="AN55" s="9"/>
      <c r="AO55" s="8"/>
      <c r="AP55" s="8"/>
      <c r="AQ55" s="8"/>
      <c r="AR55" s="8"/>
      <c r="AS55" s="7"/>
      <c r="AT55" s="6">
        <f t="shared" si="21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11"/>
        <v>1</v>
      </c>
      <c r="O56" s="25">
        <v>15</v>
      </c>
      <c r="P56" s="23">
        <v>15</v>
      </c>
      <c r="Q56" s="24"/>
      <c r="R56" s="24"/>
      <c r="S56" s="23"/>
      <c r="T56" s="20">
        <f t="shared" si="12"/>
        <v>15</v>
      </c>
      <c r="U56" s="19">
        <f t="shared" si="13"/>
        <v>15</v>
      </c>
      <c r="V56" s="48"/>
      <c r="W56" s="22"/>
      <c r="X56" s="22"/>
      <c r="Y56" s="22"/>
      <c r="Z56" s="21"/>
      <c r="AA56" s="20">
        <f t="shared" si="14"/>
        <v>0</v>
      </c>
      <c r="AB56" s="19">
        <f t="shared" si="15"/>
        <v>0</v>
      </c>
      <c r="AC56" s="16">
        <v>20</v>
      </c>
      <c r="AD56" s="18"/>
      <c r="AE56" s="17"/>
      <c r="AF56" s="23">
        <f t="shared" si="16"/>
        <v>15</v>
      </c>
      <c r="AG56" s="16">
        <v>45</v>
      </c>
      <c r="AH56" s="23">
        <f t="shared" si="17"/>
        <v>80</v>
      </c>
      <c r="AI56" s="14">
        <f t="shared" si="18"/>
        <v>0.93</v>
      </c>
      <c r="AJ56" s="13"/>
      <c r="AK56" s="12">
        <v>0.01</v>
      </c>
      <c r="AL56" s="11">
        <f t="shared" si="19"/>
        <v>1.01</v>
      </c>
      <c r="AM56" s="10">
        <f t="shared" si="20"/>
        <v>9903469000</v>
      </c>
      <c r="AN56" s="9"/>
      <c r="AO56" s="8"/>
      <c r="AP56" s="8"/>
      <c r="AQ56" s="8"/>
      <c r="AR56" s="8"/>
      <c r="AS56" s="7"/>
      <c r="AT56" s="6">
        <f t="shared" si="21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11"/>
        <v>1</v>
      </c>
      <c r="O57" s="25">
        <v>15</v>
      </c>
      <c r="P57" s="23">
        <v>15</v>
      </c>
      <c r="Q57" s="24"/>
      <c r="R57" s="24"/>
      <c r="S57" s="23"/>
      <c r="T57" s="20">
        <f t="shared" si="12"/>
        <v>15</v>
      </c>
      <c r="U57" s="19">
        <f t="shared" si="13"/>
        <v>15</v>
      </c>
      <c r="V57" s="48"/>
      <c r="W57" s="22"/>
      <c r="X57" s="22"/>
      <c r="Y57" s="57"/>
      <c r="Z57" s="21"/>
      <c r="AA57" s="20">
        <f t="shared" si="14"/>
        <v>0</v>
      </c>
      <c r="AB57" s="19">
        <f t="shared" si="15"/>
        <v>0</v>
      </c>
      <c r="AC57" s="16">
        <v>20</v>
      </c>
      <c r="AD57" s="18"/>
      <c r="AE57" s="17"/>
      <c r="AF57" s="23">
        <f t="shared" si="16"/>
        <v>15</v>
      </c>
      <c r="AG57" s="16">
        <v>45</v>
      </c>
      <c r="AH57" s="23">
        <f t="shared" si="17"/>
        <v>80</v>
      </c>
      <c r="AI57" s="14">
        <f t="shared" si="18"/>
        <v>0.93</v>
      </c>
      <c r="AJ57" s="13"/>
      <c r="AK57" s="12">
        <v>0.01</v>
      </c>
      <c r="AL57" s="11">
        <f t="shared" si="19"/>
        <v>1.01</v>
      </c>
      <c r="AM57" s="10">
        <f t="shared" si="20"/>
        <v>9903469000</v>
      </c>
      <c r="AN57" s="9"/>
      <c r="AO57" s="8"/>
      <c r="AP57" s="8"/>
      <c r="AQ57" s="8"/>
      <c r="AR57" s="8"/>
      <c r="AS57" s="7"/>
      <c r="AT57" s="6">
        <f t="shared" si="21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11"/>
        <v>1</v>
      </c>
      <c r="O58" s="25">
        <v>15</v>
      </c>
      <c r="P58" s="24">
        <v>15</v>
      </c>
      <c r="Q58" s="42"/>
      <c r="R58" s="42"/>
      <c r="S58" s="23"/>
      <c r="T58" s="20">
        <f t="shared" si="12"/>
        <v>15</v>
      </c>
      <c r="U58" s="19">
        <f t="shared" si="13"/>
        <v>15</v>
      </c>
      <c r="V58" s="22"/>
      <c r="W58" s="41"/>
      <c r="X58" s="54"/>
      <c r="Y58" s="48"/>
      <c r="Z58" s="21"/>
      <c r="AA58" s="20">
        <f t="shared" si="14"/>
        <v>0</v>
      </c>
      <c r="AB58" s="19">
        <f t="shared" si="15"/>
        <v>0</v>
      </c>
      <c r="AC58" s="16">
        <v>20</v>
      </c>
      <c r="AD58" s="18"/>
      <c r="AE58" s="17"/>
      <c r="AF58" s="23">
        <f t="shared" si="16"/>
        <v>15</v>
      </c>
      <c r="AG58" s="16">
        <v>45</v>
      </c>
      <c r="AH58" s="23">
        <f t="shared" si="17"/>
        <v>80</v>
      </c>
      <c r="AI58" s="14">
        <f t="shared" si="18"/>
        <v>0.93</v>
      </c>
      <c r="AJ58" s="13"/>
      <c r="AK58" s="12">
        <v>0.01</v>
      </c>
      <c r="AL58" s="11">
        <f t="shared" si="19"/>
        <v>1.01</v>
      </c>
      <c r="AM58" s="10">
        <f t="shared" si="20"/>
        <v>9903469000</v>
      </c>
      <c r="AN58" s="9"/>
      <c r="AO58" s="8"/>
      <c r="AP58" s="8"/>
      <c r="AQ58" s="8"/>
      <c r="AR58" s="8"/>
      <c r="AS58" s="7"/>
      <c r="AT58" s="6">
        <f t="shared" si="21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11"/>
        <v>1</v>
      </c>
      <c r="O59" s="25">
        <v>15</v>
      </c>
      <c r="P59" s="24">
        <v>15</v>
      </c>
      <c r="Q59" s="42"/>
      <c r="R59" s="42"/>
      <c r="S59" s="23"/>
      <c r="T59" s="20">
        <f t="shared" si="12"/>
        <v>15</v>
      </c>
      <c r="U59" s="19">
        <f t="shared" si="13"/>
        <v>15</v>
      </c>
      <c r="V59" s="48"/>
      <c r="W59" s="41"/>
      <c r="X59" s="54"/>
      <c r="Y59" s="56"/>
      <c r="Z59" s="21"/>
      <c r="AA59" s="20">
        <f t="shared" si="14"/>
        <v>0</v>
      </c>
      <c r="AB59" s="19">
        <f t="shared" si="15"/>
        <v>0</v>
      </c>
      <c r="AC59" s="16">
        <v>20</v>
      </c>
      <c r="AD59" s="18"/>
      <c r="AE59" s="17"/>
      <c r="AF59" s="23">
        <f t="shared" si="16"/>
        <v>15</v>
      </c>
      <c r="AG59" s="16">
        <v>45</v>
      </c>
      <c r="AH59" s="23">
        <f t="shared" si="17"/>
        <v>80</v>
      </c>
      <c r="AI59" s="14">
        <f t="shared" si="18"/>
        <v>0.93</v>
      </c>
      <c r="AJ59" s="13"/>
      <c r="AK59" s="12">
        <v>0.01</v>
      </c>
      <c r="AL59" s="11">
        <f t="shared" si="19"/>
        <v>1.01</v>
      </c>
      <c r="AM59" s="10">
        <f t="shared" si="20"/>
        <v>9903469000</v>
      </c>
      <c r="AN59" s="9"/>
      <c r="AO59" s="8"/>
      <c r="AP59" s="8"/>
      <c r="AQ59" s="8"/>
      <c r="AR59" s="8"/>
      <c r="AS59" s="7"/>
      <c r="AT59" s="6">
        <f t="shared" si="21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11"/>
        <v>1</v>
      </c>
      <c r="O60" s="44">
        <v>15</v>
      </c>
      <c r="P60" s="24">
        <v>15</v>
      </c>
      <c r="Q60" s="24"/>
      <c r="R60" s="42"/>
      <c r="S60" s="42"/>
      <c r="T60" s="20">
        <f t="shared" si="12"/>
        <v>15</v>
      </c>
      <c r="U60" s="19">
        <f t="shared" si="13"/>
        <v>15</v>
      </c>
      <c r="V60" s="48"/>
      <c r="W60" s="48"/>
      <c r="X60" s="48"/>
      <c r="Y60" s="48"/>
      <c r="Z60" s="21"/>
      <c r="AA60" s="20">
        <f t="shared" si="14"/>
        <v>0</v>
      </c>
      <c r="AB60" s="19">
        <f t="shared" si="15"/>
        <v>0</v>
      </c>
      <c r="AC60" s="16">
        <v>20</v>
      </c>
      <c r="AD60" s="18"/>
      <c r="AE60" s="17"/>
      <c r="AF60" s="23">
        <f t="shared" si="16"/>
        <v>15</v>
      </c>
      <c r="AG60" s="16">
        <v>45</v>
      </c>
      <c r="AH60" s="23">
        <f t="shared" si="17"/>
        <v>80</v>
      </c>
      <c r="AI60" s="14">
        <f t="shared" si="18"/>
        <v>0.93</v>
      </c>
      <c r="AJ60" s="13"/>
      <c r="AK60" s="12">
        <v>0.01</v>
      </c>
      <c r="AL60" s="11">
        <f t="shared" si="19"/>
        <v>1.01</v>
      </c>
      <c r="AM60" s="10">
        <f t="shared" si="20"/>
        <v>9903469000</v>
      </c>
      <c r="AN60" s="9"/>
      <c r="AO60" s="8"/>
      <c r="AP60" s="8"/>
      <c r="AQ60" s="8"/>
      <c r="AR60" s="8"/>
      <c r="AS60" s="7"/>
      <c r="AT60" s="6">
        <f t="shared" si="21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11"/>
        <v>1</v>
      </c>
      <c r="O61" s="25">
        <v>15</v>
      </c>
      <c r="P61" s="23">
        <v>15</v>
      </c>
      <c r="Q61" s="24"/>
      <c r="R61" s="24"/>
      <c r="S61" s="23"/>
      <c r="T61" s="20">
        <f t="shared" si="12"/>
        <v>15</v>
      </c>
      <c r="U61" s="19">
        <f t="shared" si="13"/>
        <v>15</v>
      </c>
      <c r="V61" s="22"/>
      <c r="W61" s="22"/>
      <c r="X61" s="22"/>
      <c r="Y61" s="22"/>
      <c r="Z61" s="21"/>
      <c r="AA61" s="20">
        <f t="shared" si="14"/>
        <v>0</v>
      </c>
      <c r="AB61" s="19">
        <f t="shared" si="15"/>
        <v>0</v>
      </c>
      <c r="AC61" s="16">
        <v>20</v>
      </c>
      <c r="AD61" s="18"/>
      <c r="AE61" s="17"/>
      <c r="AF61" s="23">
        <f t="shared" si="16"/>
        <v>15</v>
      </c>
      <c r="AG61" s="16">
        <v>45</v>
      </c>
      <c r="AH61" s="23">
        <f t="shared" si="17"/>
        <v>80</v>
      </c>
      <c r="AI61" s="14">
        <f t="shared" si="18"/>
        <v>0.93</v>
      </c>
      <c r="AJ61" s="13"/>
      <c r="AK61" s="12">
        <v>0.01</v>
      </c>
      <c r="AL61" s="11">
        <f t="shared" si="19"/>
        <v>1.01</v>
      </c>
      <c r="AM61" s="10">
        <f t="shared" si="20"/>
        <v>9903469000</v>
      </c>
      <c r="AN61" s="9"/>
      <c r="AO61" s="8"/>
      <c r="AP61" s="8"/>
      <c r="AQ61" s="8"/>
      <c r="AR61" s="8"/>
      <c r="AS61" s="7"/>
      <c r="AT61" s="6">
        <f t="shared" si="21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11"/>
        <v>1</v>
      </c>
      <c r="O62" s="44">
        <v>15</v>
      </c>
      <c r="P62" s="43">
        <v>15</v>
      </c>
      <c r="Q62" s="42"/>
      <c r="R62" s="42"/>
      <c r="S62" s="42"/>
      <c r="T62" s="20">
        <f t="shared" si="12"/>
        <v>15</v>
      </c>
      <c r="U62" s="19">
        <f t="shared" si="13"/>
        <v>15</v>
      </c>
      <c r="V62" s="22"/>
      <c r="W62" s="22"/>
      <c r="X62" s="22"/>
      <c r="Y62" s="54"/>
      <c r="Z62" s="21"/>
      <c r="AA62" s="20">
        <f t="shared" si="14"/>
        <v>0</v>
      </c>
      <c r="AB62" s="19">
        <f t="shared" si="15"/>
        <v>0</v>
      </c>
      <c r="AC62" s="16">
        <v>20</v>
      </c>
      <c r="AD62" s="18"/>
      <c r="AE62" s="17"/>
      <c r="AF62" s="23">
        <f t="shared" si="16"/>
        <v>15</v>
      </c>
      <c r="AG62" s="16">
        <v>45</v>
      </c>
      <c r="AH62" s="23">
        <f t="shared" si="17"/>
        <v>80</v>
      </c>
      <c r="AI62" s="14">
        <f t="shared" si="18"/>
        <v>0.93</v>
      </c>
      <c r="AJ62" s="13"/>
      <c r="AK62" s="12">
        <v>0.01</v>
      </c>
      <c r="AL62" s="11">
        <f t="shared" si="19"/>
        <v>1.01</v>
      </c>
      <c r="AM62" s="10">
        <f t="shared" si="20"/>
        <v>9903469000</v>
      </c>
      <c r="AN62" s="9"/>
      <c r="AO62" s="8"/>
      <c r="AP62" s="8"/>
      <c r="AQ62" s="8"/>
      <c r="AR62" s="8"/>
      <c r="AS62" s="7"/>
      <c r="AT62" s="6">
        <f t="shared" si="21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11"/>
        <v>1</v>
      </c>
      <c r="O63" s="44">
        <v>15</v>
      </c>
      <c r="P63" s="43">
        <v>15</v>
      </c>
      <c r="Q63" s="42"/>
      <c r="R63" s="42"/>
      <c r="S63" s="42"/>
      <c r="T63" s="20">
        <f t="shared" si="12"/>
        <v>15</v>
      </c>
      <c r="U63" s="19">
        <f t="shared" si="13"/>
        <v>15</v>
      </c>
      <c r="V63" s="52"/>
      <c r="W63" s="48"/>
      <c r="X63" s="41"/>
      <c r="Y63" s="41"/>
      <c r="Z63" s="21"/>
      <c r="AA63" s="20">
        <f t="shared" si="14"/>
        <v>0</v>
      </c>
      <c r="AB63" s="19">
        <f t="shared" si="15"/>
        <v>0</v>
      </c>
      <c r="AC63" s="16">
        <v>20</v>
      </c>
      <c r="AD63" s="18"/>
      <c r="AE63" s="17"/>
      <c r="AF63" s="23">
        <f t="shared" si="16"/>
        <v>15</v>
      </c>
      <c r="AG63" s="16">
        <v>45</v>
      </c>
      <c r="AH63" s="23">
        <f t="shared" si="17"/>
        <v>80</v>
      </c>
      <c r="AI63" s="14">
        <f t="shared" si="18"/>
        <v>0.93</v>
      </c>
      <c r="AJ63" s="13"/>
      <c r="AK63" s="12">
        <v>0.01</v>
      </c>
      <c r="AL63" s="11">
        <f t="shared" si="19"/>
        <v>1.01</v>
      </c>
      <c r="AM63" s="10">
        <f t="shared" si="20"/>
        <v>9903469000</v>
      </c>
      <c r="AN63" s="9"/>
      <c r="AO63" s="8"/>
      <c r="AP63" s="8"/>
      <c r="AQ63" s="8"/>
      <c r="AR63" s="8"/>
      <c r="AS63" s="7"/>
      <c r="AT63" s="6">
        <f t="shared" si="21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11"/>
        <v>1</v>
      </c>
      <c r="O64" s="44">
        <v>15</v>
      </c>
      <c r="P64" s="43">
        <v>15</v>
      </c>
      <c r="Q64" s="42"/>
      <c r="R64" s="42"/>
      <c r="S64" s="42"/>
      <c r="T64" s="20">
        <f t="shared" si="12"/>
        <v>15</v>
      </c>
      <c r="U64" s="19">
        <f t="shared" si="13"/>
        <v>15</v>
      </c>
      <c r="V64" s="52"/>
      <c r="W64" s="41"/>
      <c r="X64" s="48"/>
      <c r="Y64" s="48"/>
      <c r="Z64" s="21"/>
      <c r="AA64" s="20">
        <f t="shared" si="14"/>
        <v>0</v>
      </c>
      <c r="AB64" s="19">
        <f t="shared" si="15"/>
        <v>0</v>
      </c>
      <c r="AC64" s="16">
        <v>20</v>
      </c>
      <c r="AD64" s="18"/>
      <c r="AE64" s="17"/>
      <c r="AF64" s="23">
        <f t="shared" si="16"/>
        <v>15</v>
      </c>
      <c r="AG64" s="16">
        <v>45</v>
      </c>
      <c r="AH64" s="23">
        <f t="shared" si="17"/>
        <v>80</v>
      </c>
      <c r="AI64" s="14">
        <f t="shared" si="18"/>
        <v>0.93</v>
      </c>
      <c r="AJ64" s="13"/>
      <c r="AK64" s="12">
        <v>0.01</v>
      </c>
      <c r="AL64" s="11">
        <f t="shared" si="19"/>
        <v>1.01</v>
      </c>
      <c r="AM64" s="10">
        <f t="shared" si="20"/>
        <v>9903469000</v>
      </c>
      <c r="AN64" s="9"/>
      <c r="AO64" s="8"/>
      <c r="AP64" s="8"/>
      <c r="AQ64" s="8"/>
      <c r="AR64" s="8"/>
      <c r="AS64" s="7"/>
      <c r="AT64" s="6">
        <f t="shared" si="21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11"/>
        <v>1</v>
      </c>
      <c r="O65" s="44">
        <v>15</v>
      </c>
      <c r="P65" s="43">
        <v>15</v>
      </c>
      <c r="Q65" s="42"/>
      <c r="R65" s="42"/>
      <c r="S65" s="42"/>
      <c r="T65" s="20">
        <f t="shared" si="12"/>
        <v>15</v>
      </c>
      <c r="U65" s="19">
        <f t="shared" si="13"/>
        <v>15</v>
      </c>
      <c r="V65" s="22"/>
      <c r="W65" s="48"/>
      <c r="X65" s="41"/>
      <c r="Y65" s="48"/>
      <c r="Z65" s="21"/>
      <c r="AA65" s="20">
        <f t="shared" si="14"/>
        <v>0</v>
      </c>
      <c r="AB65" s="19">
        <f t="shared" si="15"/>
        <v>0</v>
      </c>
      <c r="AC65" s="16">
        <v>20</v>
      </c>
      <c r="AD65" s="18"/>
      <c r="AE65" s="17"/>
      <c r="AF65" s="23">
        <f t="shared" si="16"/>
        <v>15</v>
      </c>
      <c r="AG65" s="16">
        <v>45</v>
      </c>
      <c r="AH65" s="23">
        <f t="shared" si="17"/>
        <v>80</v>
      </c>
      <c r="AI65" s="14">
        <f t="shared" si="18"/>
        <v>0.93</v>
      </c>
      <c r="AJ65" s="13"/>
      <c r="AK65" s="12">
        <v>0.01</v>
      </c>
      <c r="AL65" s="11">
        <f t="shared" si="19"/>
        <v>1.01</v>
      </c>
      <c r="AM65" s="10">
        <f t="shared" si="20"/>
        <v>9903469000</v>
      </c>
      <c r="AN65" s="9"/>
      <c r="AO65" s="8"/>
      <c r="AP65" s="8"/>
      <c r="AQ65" s="8"/>
      <c r="AR65" s="8"/>
      <c r="AS65" s="7"/>
      <c r="AT65" s="6">
        <f t="shared" si="21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11"/>
        <v>1</v>
      </c>
      <c r="O66" s="44">
        <v>15</v>
      </c>
      <c r="P66" s="43">
        <v>15</v>
      </c>
      <c r="Q66" s="42"/>
      <c r="R66" s="42"/>
      <c r="S66" s="42"/>
      <c r="T66" s="20">
        <f t="shared" si="12"/>
        <v>15</v>
      </c>
      <c r="U66" s="19">
        <f t="shared" si="13"/>
        <v>15</v>
      </c>
      <c r="V66" s="22"/>
      <c r="W66" s="41"/>
      <c r="X66" s="22"/>
      <c r="Y66" s="48"/>
      <c r="Z66" s="21"/>
      <c r="AA66" s="20">
        <f t="shared" si="14"/>
        <v>0</v>
      </c>
      <c r="AB66" s="19">
        <f t="shared" si="15"/>
        <v>0</v>
      </c>
      <c r="AC66" s="16">
        <v>20</v>
      </c>
      <c r="AD66" s="18"/>
      <c r="AE66" s="17"/>
      <c r="AF66" s="23">
        <f t="shared" si="16"/>
        <v>15</v>
      </c>
      <c r="AG66" s="16">
        <v>45</v>
      </c>
      <c r="AH66" s="23">
        <f t="shared" si="17"/>
        <v>80</v>
      </c>
      <c r="AI66" s="14">
        <f t="shared" si="18"/>
        <v>0.93</v>
      </c>
      <c r="AJ66" s="13"/>
      <c r="AK66" s="12">
        <v>0.01</v>
      </c>
      <c r="AL66" s="11">
        <f t="shared" si="19"/>
        <v>1.01</v>
      </c>
      <c r="AM66" s="10">
        <f t="shared" si="20"/>
        <v>9903469000</v>
      </c>
      <c r="AN66" s="9"/>
      <c r="AO66" s="8"/>
      <c r="AP66" s="8"/>
      <c r="AQ66" s="8"/>
      <c r="AR66" s="8"/>
      <c r="AS66" s="7"/>
      <c r="AT66" s="6">
        <f t="shared" si="21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11"/>
        <v>1</v>
      </c>
      <c r="O67" s="25">
        <v>15</v>
      </c>
      <c r="P67" s="23">
        <v>15</v>
      </c>
      <c r="Q67" s="24"/>
      <c r="R67" s="24"/>
      <c r="S67" s="23"/>
      <c r="T67" s="20">
        <f t="shared" si="12"/>
        <v>15</v>
      </c>
      <c r="U67" s="19">
        <f t="shared" si="13"/>
        <v>15</v>
      </c>
      <c r="V67" s="22"/>
      <c r="W67" s="22"/>
      <c r="X67" s="22"/>
      <c r="Y67" s="22"/>
      <c r="Z67" s="21"/>
      <c r="AA67" s="20">
        <f t="shared" si="14"/>
        <v>0</v>
      </c>
      <c r="AB67" s="19">
        <f t="shared" si="15"/>
        <v>0</v>
      </c>
      <c r="AC67" s="16">
        <v>20</v>
      </c>
      <c r="AD67" s="18"/>
      <c r="AE67" s="17"/>
      <c r="AF67" s="23">
        <f t="shared" si="16"/>
        <v>15</v>
      </c>
      <c r="AG67" s="16">
        <v>45</v>
      </c>
      <c r="AH67" s="23">
        <f t="shared" si="17"/>
        <v>80</v>
      </c>
      <c r="AI67" s="14">
        <f t="shared" si="18"/>
        <v>0.93</v>
      </c>
      <c r="AJ67" s="13"/>
      <c r="AK67" s="12">
        <v>0.01</v>
      </c>
      <c r="AL67" s="11">
        <f t="shared" si="19"/>
        <v>1.01</v>
      </c>
      <c r="AM67" s="10">
        <f t="shared" si="20"/>
        <v>9903469000</v>
      </c>
      <c r="AN67" s="9"/>
      <c r="AO67" s="8"/>
      <c r="AP67" s="8"/>
      <c r="AQ67" s="8"/>
      <c r="AR67" s="8"/>
      <c r="AS67" s="7"/>
      <c r="AT67" s="6">
        <f t="shared" si="21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11"/>
        <v>1</v>
      </c>
      <c r="O68" s="44">
        <v>15</v>
      </c>
      <c r="P68" s="43">
        <v>15</v>
      </c>
      <c r="Q68" s="42"/>
      <c r="R68" s="42"/>
      <c r="S68" s="42"/>
      <c r="T68" s="20">
        <f t="shared" si="12"/>
        <v>15</v>
      </c>
      <c r="U68" s="19">
        <f t="shared" si="13"/>
        <v>15</v>
      </c>
      <c r="V68" s="22"/>
      <c r="W68" s="41"/>
      <c r="X68" s="41"/>
      <c r="Y68" s="40"/>
      <c r="Z68" s="21"/>
      <c r="AA68" s="20">
        <f t="shared" si="14"/>
        <v>0</v>
      </c>
      <c r="AB68" s="19">
        <f t="shared" si="15"/>
        <v>0</v>
      </c>
      <c r="AC68" s="16">
        <v>20</v>
      </c>
      <c r="AD68" s="18"/>
      <c r="AE68" s="17"/>
      <c r="AF68" s="23">
        <f t="shared" si="16"/>
        <v>15</v>
      </c>
      <c r="AG68" s="16">
        <v>45</v>
      </c>
      <c r="AH68" s="23">
        <f t="shared" si="17"/>
        <v>80</v>
      </c>
      <c r="AI68" s="14">
        <f t="shared" si="18"/>
        <v>0.93</v>
      </c>
      <c r="AJ68" s="13"/>
      <c r="AK68" s="12">
        <v>0.01</v>
      </c>
      <c r="AL68" s="11">
        <f t="shared" si="19"/>
        <v>1.01</v>
      </c>
      <c r="AM68" s="10">
        <f t="shared" si="20"/>
        <v>9903469000</v>
      </c>
      <c r="AN68" s="9"/>
      <c r="AO68" s="8"/>
      <c r="AP68" s="8"/>
      <c r="AQ68" s="8"/>
      <c r="AR68" s="8"/>
      <c r="AS68" s="7"/>
      <c r="AT68" s="6">
        <f t="shared" si="21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00" si="22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00" si="23">ROUND(((O69*I69)+(P69*J69)+(Q69*K69)+(R69*L69)+(S69*M69)),2)</f>
        <v>15</v>
      </c>
      <c r="U69" s="19">
        <f t="shared" ref="U69:U100" si="24">IF(T69&gt;=15,15,T69)</f>
        <v>15</v>
      </c>
      <c r="V69" s="22"/>
      <c r="W69" s="22"/>
      <c r="X69" s="22"/>
      <c r="Y69" s="22"/>
      <c r="Z69" s="21"/>
      <c r="AA69" s="20">
        <f t="shared" ref="AA69:AA100" si="25">ROUND((((V69*I69)+(W69*J69)+(X69*K69)+(Y69*L69)+(Z69*M69))/$I$2*15),2)</f>
        <v>0</v>
      </c>
      <c r="AB69" s="19">
        <f t="shared" ref="AB69:AB100" si="26">IF(AA69&gt;=15,15,AA69)</f>
        <v>0</v>
      </c>
      <c r="AC69" s="16">
        <v>20</v>
      </c>
      <c r="AD69" s="18"/>
      <c r="AE69" s="17"/>
      <c r="AF69" s="23">
        <f t="shared" ref="AF69:AF100" si="27">IF((U69+AB69+AD69)&gt;=30,30,(U69+AB69+AD69))</f>
        <v>15</v>
      </c>
      <c r="AG69" s="16">
        <v>45</v>
      </c>
      <c r="AH69" s="23">
        <f t="shared" ref="AH69:AH100" si="28">AC69+AF69+AG69+AE69</f>
        <v>80</v>
      </c>
      <c r="AI69" s="14">
        <f t="shared" ref="AI69:AI100" si="29">-((50-((176+(45+(30-AF69)))))/200)</f>
        <v>0.93</v>
      </c>
      <c r="AJ69" s="13"/>
      <c r="AK69" s="12">
        <v>0.01</v>
      </c>
      <c r="AL69" s="11">
        <f t="shared" ref="AL69:AL100" si="30">100%+AK69</f>
        <v>1.01</v>
      </c>
      <c r="AM69" s="10">
        <f t="shared" ref="AM69:AM100" si="31">ROUNDUP($D$2*AI69*AL69,-3)</f>
        <v>9903469000</v>
      </c>
      <c r="AN69" s="9"/>
      <c r="AO69" s="8"/>
      <c r="AP69" s="8"/>
      <c r="AQ69" s="8"/>
      <c r="AR69" s="8"/>
      <c r="AS69" s="7"/>
      <c r="AT69" s="6">
        <f t="shared" ref="AT69:AT100" si="32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22"/>
        <v>1</v>
      </c>
      <c r="O70" s="25">
        <v>15</v>
      </c>
      <c r="P70" s="23">
        <v>15</v>
      </c>
      <c r="Q70" s="24"/>
      <c r="R70" s="24"/>
      <c r="S70" s="23"/>
      <c r="T70" s="20">
        <f t="shared" si="23"/>
        <v>15</v>
      </c>
      <c r="U70" s="19">
        <f t="shared" si="24"/>
        <v>15</v>
      </c>
      <c r="V70" s="22"/>
      <c r="W70" s="22"/>
      <c r="X70" s="22"/>
      <c r="Y70" s="22"/>
      <c r="Z70" s="21"/>
      <c r="AA70" s="20">
        <f t="shared" si="25"/>
        <v>0</v>
      </c>
      <c r="AB70" s="19">
        <f t="shared" si="26"/>
        <v>0</v>
      </c>
      <c r="AC70" s="16">
        <v>20</v>
      </c>
      <c r="AD70" s="18"/>
      <c r="AE70" s="17"/>
      <c r="AF70" s="23">
        <f t="shared" si="27"/>
        <v>15</v>
      </c>
      <c r="AG70" s="16">
        <v>45</v>
      </c>
      <c r="AH70" s="23">
        <f t="shared" si="28"/>
        <v>80</v>
      </c>
      <c r="AI70" s="14">
        <f t="shared" si="29"/>
        <v>0.93</v>
      </c>
      <c r="AJ70" s="13"/>
      <c r="AK70" s="12">
        <v>0.01</v>
      </c>
      <c r="AL70" s="11">
        <f t="shared" si="30"/>
        <v>1.01</v>
      </c>
      <c r="AM70" s="10">
        <f t="shared" si="31"/>
        <v>9903469000</v>
      </c>
      <c r="AN70" s="9"/>
      <c r="AO70" s="8"/>
      <c r="AP70" s="8"/>
      <c r="AQ70" s="8"/>
      <c r="AR70" s="8"/>
      <c r="AS70" s="7"/>
      <c r="AT70" s="6">
        <f t="shared" si="32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22"/>
        <v>1</v>
      </c>
      <c r="O71" s="25">
        <v>15</v>
      </c>
      <c r="P71" s="23">
        <v>15</v>
      </c>
      <c r="Q71" s="24"/>
      <c r="R71" s="24"/>
      <c r="S71" s="23"/>
      <c r="T71" s="20">
        <f t="shared" si="23"/>
        <v>15</v>
      </c>
      <c r="U71" s="19">
        <f t="shared" si="24"/>
        <v>15</v>
      </c>
      <c r="V71" s="22"/>
      <c r="W71" s="22"/>
      <c r="X71" s="22"/>
      <c r="Y71" s="22"/>
      <c r="Z71" s="21"/>
      <c r="AA71" s="20">
        <f t="shared" si="25"/>
        <v>0</v>
      </c>
      <c r="AB71" s="19">
        <f t="shared" si="26"/>
        <v>0</v>
      </c>
      <c r="AC71" s="16">
        <v>20</v>
      </c>
      <c r="AD71" s="18"/>
      <c r="AE71" s="17"/>
      <c r="AF71" s="23">
        <f t="shared" si="27"/>
        <v>15</v>
      </c>
      <c r="AG71" s="16">
        <v>45</v>
      </c>
      <c r="AH71" s="23">
        <f t="shared" si="28"/>
        <v>80</v>
      </c>
      <c r="AI71" s="14">
        <f t="shared" si="29"/>
        <v>0.93</v>
      </c>
      <c r="AJ71" s="13"/>
      <c r="AK71" s="12">
        <v>0.01</v>
      </c>
      <c r="AL71" s="11">
        <f t="shared" si="30"/>
        <v>1.01</v>
      </c>
      <c r="AM71" s="10">
        <f t="shared" si="31"/>
        <v>9903469000</v>
      </c>
      <c r="AN71" s="9"/>
      <c r="AO71" s="8"/>
      <c r="AP71" s="8"/>
      <c r="AQ71" s="8"/>
      <c r="AR71" s="8"/>
      <c r="AS71" s="7"/>
      <c r="AT71" s="6">
        <f t="shared" si="32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22"/>
        <v>1</v>
      </c>
      <c r="O72" s="25">
        <v>15</v>
      </c>
      <c r="P72" s="23">
        <v>15</v>
      </c>
      <c r="Q72" s="24"/>
      <c r="R72" s="24"/>
      <c r="S72" s="23"/>
      <c r="T72" s="20">
        <f t="shared" si="23"/>
        <v>15</v>
      </c>
      <c r="U72" s="19">
        <f t="shared" si="24"/>
        <v>15</v>
      </c>
      <c r="V72" s="22"/>
      <c r="W72" s="22"/>
      <c r="X72" s="22"/>
      <c r="Y72" s="22"/>
      <c r="Z72" s="21"/>
      <c r="AA72" s="20">
        <f t="shared" si="25"/>
        <v>0</v>
      </c>
      <c r="AB72" s="19">
        <f t="shared" si="26"/>
        <v>0</v>
      </c>
      <c r="AC72" s="16">
        <v>20</v>
      </c>
      <c r="AD72" s="18"/>
      <c r="AE72" s="17"/>
      <c r="AF72" s="23">
        <f t="shared" si="27"/>
        <v>15</v>
      </c>
      <c r="AG72" s="16">
        <v>45</v>
      </c>
      <c r="AH72" s="23">
        <f t="shared" si="28"/>
        <v>80</v>
      </c>
      <c r="AI72" s="14">
        <f t="shared" si="29"/>
        <v>0.93</v>
      </c>
      <c r="AJ72" s="13"/>
      <c r="AK72" s="12">
        <v>0.01</v>
      </c>
      <c r="AL72" s="11">
        <f t="shared" si="30"/>
        <v>1.01</v>
      </c>
      <c r="AM72" s="10">
        <f t="shared" si="31"/>
        <v>9903469000</v>
      </c>
      <c r="AN72" s="9"/>
      <c r="AO72" s="8"/>
      <c r="AP72" s="8"/>
      <c r="AQ72" s="8"/>
      <c r="AR72" s="8"/>
      <c r="AS72" s="7"/>
      <c r="AT72" s="6">
        <f t="shared" si="32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22"/>
        <v>1</v>
      </c>
      <c r="O73" s="25">
        <v>15</v>
      </c>
      <c r="P73" s="23">
        <v>15</v>
      </c>
      <c r="Q73" s="24"/>
      <c r="R73" s="24"/>
      <c r="S73" s="23"/>
      <c r="T73" s="20">
        <f t="shared" si="23"/>
        <v>15</v>
      </c>
      <c r="U73" s="19">
        <f t="shared" si="24"/>
        <v>15</v>
      </c>
      <c r="V73" s="22"/>
      <c r="W73" s="22"/>
      <c r="X73" s="22"/>
      <c r="Y73" s="22"/>
      <c r="Z73" s="21"/>
      <c r="AA73" s="20">
        <f t="shared" si="25"/>
        <v>0</v>
      </c>
      <c r="AB73" s="19">
        <f t="shared" si="26"/>
        <v>0</v>
      </c>
      <c r="AC73" s="16">
        <v>20</v>
      </c>
      <c r="AD73" s="18"/>
      <c r="AE73" s="17"/>
      <c r="AF73" s="23">
        <f t="shared" si="27"/>
        <v>15</v>
      </c>
      <c r="AG73" s="16">
        <v>45</v>
      </c>
      <c r="AH73" s="23">
        <f t="shared" si="28"/>
        <v>80</v>
      </c>
      <c r="AI73" s="14">
        <f t="shared" si="29"/>
        <v>0.93</v>
      </c>
      <c r="AJ73" s="13"/>
      <c r="AK73" s="12">
        <v>0.01</v>
      </c>
      <c r="AL73" s="11">
        <f t="shared" si="30"/>
        <v>1.01</v>
      </c>
      <c r="AM73" s="10">
        <f t="shared" si="31"/>
        <v>9903469000</v>
      </c>
      <c r="AN73" s="9"/>
      <c r="AO73" s="8"/>
      <c r="AP73" s="8"/>
      <c r="AQ73" s="8"/>
      <c r="AR73" s="8"/>
      <c r="AS73" s="7"/>
      <c r="AT73" s="6">
        <f t="shared" si="32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22"/>
        <v>1</v>
      </c>
      <c r="O74" s="25">
        <v>15</v>
      </c>
      <c r="P74" s="23">
        <v>15</v>
      </c>
      <c r="Q74" s="24"/>
      <c r="R74" s="24"/>
      <c r="S74" s="23"/>
      <c r="T74" s="20">
        <f t="shared" si="23"/>
        <v>15</v>
      </c>
      <c r="U74" s="19">
        <f t="shared" si="24"/>
        <v>15</v>
      </c>
      <c r="V74" s="22"/>
      <c r="W74" s="22"/>
      <c r="X74" s="22"/>
      <c r="Y74" s="22"/>
      <c r="Z74" s="21"/>
      <c r="AA74" s="20">
        <f t="shared" si="25"/>
        <v>0</v>
      </c>
      <c r="AB74" s="19">
        <f t="shared" si="26"/>
        <v>0</v>
      </c>
      <c r="AC74" s="16">
        <v>20</v>
      </c>
      <c r="AD74" s="18"/>
      <c r="AE74" s="17"/>
      <c r="AF74" s="23">
        <f t="shared" si="27"/>
        <v>15</v>
      </c>
      <c r="AG74" s="16">
        <v>45</v>
      </c>
      <c r="AH74" s="23">
        <f t="shared" si="28"/>
        <v>80</v>
      </c>
      <c r="AI74" s="14">
        <f t="shared" si="29"/>
        <v>0.93</v>
      </c>
      <c r="AJ74" s="13"/>
      <c r="AK74" s="12">
        <v>0.01</v>
      </c>
      <c r="AL74" s="11">
        <f t="shared" si="30"/>
        <v>1.01</v>
      </c>
      <c r="AM74" s="10">
        <f t="shared" si="31"/>
        <v>9903469000</v>
      </c>
      <c r="AN74" s="9"/>
      <c r="AO74" s="8"/>
      <c r="AP74" s="8"/>
      <c r="AQ74" s="8"/>
      <c r="AR74" s="8"/>
      <c r="AS74" s="7"/>
      <c r="AT74" s="6">
        <f t="shared" si="32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22"/>
        <v>1</v>
      </c>
      <c r="O75" s="25">
        <v>15</v>
      </c>
      <c r="P75" s="23">
        <v>15</v>
      </c>
      <c r="Q75" s="24"/>
      <c r="R75" s="24"/>
      <c r="S75" s="23"/>
      <c r="T75" s="20">
        <f t="shared" si="23"/>
        <v>15</v>
      </c>
      <c r="U75" s="19">
        <f t="shared" si="24"/>
        <v>15</v>
      </c>
      <c r="V75" s="22"/>
      <c r="W75" s="22"/>
      <c r="X75" s="22"/>
      <c r="Y75" s="22"/>
      <c r="Z75" s="21"/>
      <c r="AA75" s="20">
        <f t="shared" si="25"/>
        <v>0</v>
      </c>
      <c r="AB75" s="19">
        <f t="shared" si="26"/>
        <v>0</v>
      </c>
      <c r="AC75" s="16">
        <v>20</v>
      </c>
      <c r="AD75" s="18"/>
      <c r="AE75" s="17"/>
      <c r="AF75" s="23">
        <f t="shared" si="27"/>
        <v>15</v>
      </c>
      <c r="AG75" s="16">
        <v>45</v>
      </c>
      <c r="AH75" s="23">
        <f t="shared" si="28"/>
        <v>80</v>
      </c>
      <c r="AI75" s="14">
        <f t="shared" si="29"/>
        <v>0.93</v>
      </c>
      <c r="AJ75" s="13"/>
      <c r="AK75" s="12">
        <v>0.01</v>
      </c>
      <c r="AL75" s="11">
        <f t="shared" si="30"/>
        <v>1.01</v>
      </c>
      <c r="AM75" s="10">
        <f t="shared" si="31"/>
        <v>9903469000</v>
      </c>
      <c r="AN75" s="9"/>
      <c r="AO75" s="8"/>
      <c r="AP75" s="8"/>
      <c r="AQ75" s="8"/>
      <c r="AR75" s="8"/>
      <c r="AS75" s="7"/>
      <c r="AT75" s="6">
        <f t="shared" si="32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22"/>
        <v>1</v>
      </c>
      <c r="O76" s="25">
        <v>15</v>
      </c>
      <c r="P76" s="23">
        <v>15</v>
      </c>
      <c r="Q76" s="24"/>
      <c r="R76" s="24"/>
      <c r="S76" s="23"/>
      <c r="T76" s="20">
        <f t="shared" si="23"/>
        <v>15</v>
      </c>
      <c r="U76" s="19">
        <f t="shared" si="24"/>
        <v>15</v>
      </c>
      <c r="V76" s="22"/>
      <c r="W76" s="22"/>
      <c r="X76" s="22"/>
      <c r="Y76" s="22"/>
      <c r="Z76" s="21"/>
      <c r="AA76" s="20">
        <f t="shared" si="25"/>
        <v>0</v>
      </c>
      <c r="AB76" s="19">
        <f t="shared" si="26"/>
        <v>0</v>
      </c>
      <c r="AC76" s="16">
        <v>20</v>
      </c>
      <c r="AD76" s="18"/>
      <c r="AE76" s="17"/>
      <c r="AF76" s="23">
        <f t="shared" si="27"/>
        <v>15</v>
      </c>
      <c r="AG76" s="16">
        <v>45</v>
      </c>
      <c r="AH76" s="23">
        <f t="shared" si="28"/>
        <v>80</v>
      </c>
      <c r="AI76" s="14">
        <f t="shared" si="29"/>
        <v>0.93</v>
      </c>
      <c r="AJ76" s="13"/>
      <c r="AK76" s="12">
        <v>0.01</v>
      </c>
      <c r="AL76" s="11">
        <f t="shared" si="30"/>
        <v>1.01</v>
      </c>
      <c r="AM76" s="10">
        <f t="shared" si="31"/>
        <v>9903469000</v>
      </c>
      <c r="AN76" s="9"/>
      <c r="AO76" s="8"/>
      <c r="AP76" s="8"/>
      <c r="AQ76" s="8"/>
      <c r="AR76" s="8"/>
      <c r="AS76" s="7"/>
      <c r="AT76" s="6">
        <f t="shared" si="32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22"/>
        <v>1</v>
      </c>
      <c r="O77" s="25">
        <v>15</v>
      </c>
      <c r="P77" s="23">
        <v>15</v>
      </c>
      <c r="Q77" s="24"/>
      <c r="R77" s="24"/>
      <c r="S77" s="23"/>
      <c r="T77" s="20">
        <f t="shared" si="23"/>
        <v>15</v>
      </c>
      <c r="U77" s="19">
        <f t="shared" si="24"/>
        <v>15</v>
      </c>
      <c r="V77" s="22"/>
      <c r="W77" s="22"/>
      <c r="X77" s="22"/>
      <c r="Y77" s="22"/>
      <c r="Z77" s="21"/>
      <c r="AA77" s="20">
        <f t="shared" si="25"/>
        <v>0</v>
      </c>
      <c r="AB77" s="19">
        <f t="shared" si="26"/>
        <v>0</v>
      </c>
      <c r="AC77" s="16">
        <v>20</v>
      </c>
      <c r="AD77" s="18"/>
      <c r="AE77" s="17"/>
      <c r="AF77" s="23">
        <f t="shared" si="27"/>
        <v>15</v>
      </c>
      <c r="AG77" s="16">
        <v>45</v>
      </c>
      <c r="AH77" s="23">
        <f t="shared" si="28"/>
        <v>80</v>
      </c>
      <c r="AI77" s="14">
        <f t="shared" si="29"/>
        <v>0.93</v>
      </c>
      <c r="AJ77" s="13"/>
      <c r="AK77" s="12">
        <v>0.01</v>
      </c>
      <c r="AL77" s="11">
        <f t="shared" si="30"/>
        <v>1.01</v>
      </c>
      <c r="AM77" s="10">
        <f t="shared" si="31"/>
        <v>9903469000</v>
      </c>
      <c r="AN77" s="9"/>
      <c r="AO77" s="8"/>
      <c r="AP77" s="8"/>
      <c r="AQ77" s="8"/>
      <c r="AR77" s="8"/>
      <c r="AS77" s="7"/>
      <c r="AT77" s="6">
        <f t="shared" si="32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22"/>
        <v>1</v>
      </c>
      <c r="O78" s="25">
        <v>15</v>
      </c>
      <c r="P78" s="23">
        <v>15</v>
      </c>
      <c r="Q78" s="24"/>
      <c r="R78" s="24"/>
      <c r="S78" s="23"/>
      <c r="T78" s="20">
        <f t="shared" si="23"/>
        <v>15</v>
      </c>
      <c r="U78" s="19">
        <f t="shared" si="24"/>
        <v>15</v>
      </c>
      <c r="V78" s="22"/>
      <c r="W78" s="22"/>
      <c r="X78" s="22"/>
      <c r="Y78" s="22"/>
      <c r="Z78" s="21"/>
      <c r="AA78" s="20">
        <f t="shared" si="25"/>
        <v>0</v>
      </c>
      <c r="AB78" s="19">
        <f t="shared" si="26"/>
        <v>0</v>
      </c>
      <c r="AC78" s="16">
        <v>20</v>
      </c>
      <c r="AD78" s="18"/>
      <c r="AE78" s="17"/>
      <c r="AF78" s="23">
        <f t="shared" si="27"/>
        <v>15</v>
      </c>
      <c r="AG78" s="16">
        <v>45</v>
      </c>
      <c r="AH78" s="23">
        <f t="shared" si="28"/>
        <v>80</v>
      </c>
      <c r="AI78" s="14">
        <f t="shared" si="29"/>
        <v>0.93</v>
      </c>
      <c r="AJ78" s="13"/>
      <c r="AK78" s="12">
        <v>0.01</v>
      </c>
      <c r="AL78" s="11">
        <f t="shared" si="30"/>
        <v>1.01</v>
      </c>
      <c r="AM78" s="10">
        <f t="shared" si="31"/>
        <v>9903469000</v>
      </c>
      <c r="AN78" s="9"/>
      <c r="AO78" s="8"/>
      <c r="AP78" s="8"/>
      <c r="AQ78" s="8"/>
      <c r="AR78" s="8"/>
      <c r="AS78" s="7"/>
      <c r="AT78" s="6">
        <f t="shared" si="32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22"/>
        <v>1</v>
      </c>
      <c r="O79" s="25">
        <v>15</v>
      </c>
      <c r="P79" s="23">
        <v>15</v>
      </c>
      <c r="Q79" s="24"/>
      <c r="R79" s="24"/>
      <c r="S79" s="23"/>
      <c r="T79" s="20">
        <f t="shared" si="23"/>
        <v>15</v>
      </c>
      <c r="U79" s="19">
        <f t="shared" si="24"/>
        <v>15</v>
      </c>
      <c r="V79" s="22"/>
      <c r="W79" s="22"/>
      <c r="X79" s="22"/>
      <c r="Y79" s="22"/>
      <c r="Z79" s="21"/>
      <c r="AA79" s="20">
        <f t="shared" si="25"/>
        <v>0</v>
      </c>
      <c r="AB79" s="19">
        <f t="shared" si="26"/>
        <v>0</v>
      </c>
      <c r="AC79" s="16">
        <v>20</v>
      </c>
      <c r="AD79" s="18"/>
      <c r="AE79" s="17"/>
      <c r="AF79" s="23">
        <f t="shared" si="27"/>
        <v>15</v>
      </c>
      <c r="AG79" s="16">
        <v>45</v>
      </c>
      <c r="AH79" s="23">
        <f t="shared" si="28"/>
        <v>80</v>
      </c>
      <c r="AI79" s="14">
        <f t="shared" si="29"/>
        <v>0.93</v>
      </c>
      <c r="AJ79" s="13"/>
      <c r="AK79" s="12">
        <v>0.01</v>
      </c>
      <c r="AL79" s="11">
        <f t="shared" si="30"/>
        <v>1.01</v>
      </c>
      <c r="AM79" s="10">
        <f t="shared" si="31"/>
        <v>9903469000</v>
      </c>
      <c r="AN79" s="9"/>
      <c r="AO79" s="8"/>
      <c r="AP79" s="8"/>
      <c r="AQ79" s="8"/>
      <c r="AR79" s="8"/>
      <c r="AS79" s="7"/>
      <c r="AT79" s="6">
        <f t="shared" si="32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22"/>
        <v>1</v>
      </c>
      <c r="O80" s="25">
        <v>15</v>
      </c>
      <c r="P80" s="23">
        <v>15</v>
      </c>
      <c r="Q80" s="24"/>
      <c r="R80" s="24"/>
      <c r="S80" s="23"/>
      <c r="T80" s="20">
        <f t="shared" si="23"/>
        <v>15</v>
      </c>
      <c r="U80" s="19">
        <f t="shared" si="24"/>
        <v>15</v>
      </c>
      <c r="V80" s="22"/>
      <c r="W80" s="22"/>
      <c r="X80" s="22"/>
      <c r="Y80" s="22"/>
      <c r="Z80" s="21"/>
      <c r="AA80" s="20">
        <f t="shared" si="25"/>
        <v>0</v>
      </c>
      <c r="AB80" s="19">
        <f t="shared" si="26"/>
        <v>0</v>
      </c>
      <c r="AC80" s="16">
        <v>20</v>
      </c>
      <c r="AD80" s="18"/>
      <c r="AE80" s="17"/>
      <c r="AF80" s="23">
        <f t="shared" si="27"/>
        <v>15</v>
      </c>
      <c r="AG80" s="16">
        <v>45</v>
      </c>
      <c r="AH80" s="23">
        <f t="shared" si="28"/>
        <v>80</v>
      </c>
      <c r="AI80" s="14">
        <f t="shared" si="29"/>
        <v>0.93</v>
      </c>
      <c r="AJ80" s="13"/>
      <c r="AK80" s="12">
        <v>0.01</v>
      </c>
      <c r="AL80" s="11">
        <f t="shared" si="30"/>
        <v>1.01</v>
      </c>
      <c r="AM80" s="10">
        <f t="shared" si="31"/>
        <v>9903469000</v>
      </c>
      <c r="AN80" s="9"/>
      <c r="AO80" s="8"/>
      <c r="AP80" s="8"/>
      <c r="AQ80" s="8"/>
      <c r="AR80" s="8"/>
      <c r="AS80" s="7"/>
      <c r="AT80" s="6">
        <f t="shared" si="32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22"/>
        <v>1</v>
      </c>
      <c r="O81" s="25">
        <v>15</v>
      </c>
      <c r="P81" s="23">
        <v>15</v>
      </c>
      <c r="Q81" s="24"/>
      <c r="R81" s="24"/>
      <c r="S81" s="23"/>
      <c r="T81" s="20">
        <f t="shared" si="23"/>
        <v>15</v>
      </c>
      <c r="U81" s="19">
        <f t="shared" si="24"/>
        <v>15</v>
      </c>
      <c r="V81" s="22"/>
      <c r="W81" s="22"/>
      <c r="X81" s="22"/>
      <c r="Y81" s="22"/>
      <c r="Z81" s="21"/>
      <c r="AA81" s="20">
        <f t="shared" si="25"/>
        <v>0</v>
      </c>
      <c r="AB81" s="19">
        <f t="shared" si="26"/>
        <v>0</v>
      </c>
      <c r="AC81" s="16">
        <v>20</v>
      </c>
      <c r="AD81" s="18"/>
      <c r="AE81" s="17"/>
      <c r="AF81" s="23">
        <f t="shared" si="27"/>
        <v>15</v>
      </c>
      <c r="AG81" s="16">
        <v>45</v>
      </c>
      <c r="AH81" s="23">
        <f t="shared" si="28"/>
        <v>80</v>
      </c>
      <c r="AI81" s="14">
        <f t="shared" si="29"/>
        <v>0.93</v>
      </c>
      <c r="AJ81" s="13"/>
      <c r="AK81" s="12">
        <v>0.01</v>
      </c>
      <c r="AL81" s="11">
        <f t="shared" si="30"/>
        <v>1.01</v>
      </c>
      <c r="AM81" s="10">
        <f t="shared" si="31"/>
        <v>9903469000</v>
      </c>
      <c r="AN81" s="9"/>
      <c r="AO81" s="8"/>
      <c r="AP81" s="8"/>
      <c r="AQ81" s="8"/>
      <c r="AR81" s="8"/>
      <c r="AS81" s="7"/>
      <c r="AT81" s="6">
        <f t="shared" si="32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22"/>
        <v>1</v>
      </c>
      <c r="O82" s="25">
        <v>15</v>
      </c>
      <c r="P82" s="23">
        <v>15</v>
      </c>
      <c r="Q82" s="24"/>
      <c r="R82" s="24"/>
      <c r="S82" s="23"/>
      <c r="T82" s="20">
        <f t="shared" si="23"/>
        <v>15</v>
      </c>
      <c r="U82" s="19">
        <f t="shared" si="24"/>
        <v>15</v>
      </c>
      <c r="V82" s="22"/>
      <c r="W82" s="22"/>
      <c r="X82" s="22"/>
      <c r="Y82" s="22"/>
      <c r="Z82" s="21"/>
      <c r="AA82" s="20">
        <f t="shared" si="25"/>
        <v>0</v>
      </c>
      <c r="AB82" s="19">
        <f t="shared" si="26"/>
        <v>0</v>
      </c>
      <c r="AC82" s="16">
        <v>20</v>
      </c>
      <c r="AD82" s="18"/>
      <c r="AE82" s="17"/>
      <c r="AF82" s="23">
        <f t="shared" si="27"/>
        <v>15</v>
      </c>
      <c r="AG82" s="16">
        <v>45</v>
      </c>
      <c r="AH82" s="23">
        <f t="shared" si="28"/>
        <v>80</v>
      </c>
      <c r="AI82" s="14">
        <f t="shared" si="29"/>
        <v>0.93</v>
      </c>
      <c r="AJ82" s="13"/>
      <c r="AK82" s="12">
        <v>0.01</v>
      </c>
      <c r="AL82" s="11">
        <f t="shared" si="30"/>
        <v>1.01</v>
      </c>
      <c r="AM82" s="10">
        <f t="shared" si="31"/>
        <v>9903469000</v>
      </c>
      <c r="AN82" s="9"/>
      <c r="AO82" s="8"/>
      <c r="AP82" s="8"/>
      <c r="AQ82" s="8"/>
      <c r="AR82" s="8"/>
      <c r="AS82" s="7"/>
      <c r="AT82" s="6">
        <f t="shared" si="32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22"/>
        <v>1</v>
      </c>
      <c r="O83" s="25">
        <v>15</v>
      </c>
      <c r="P83" s="23">
        <v>15</v>
      </c>
      <c r="Q83" s="24"/>
      <c r="R83" s="24"/>
      <c r="S83" s="23"/>
      <c r="T83" s="20">
        <f t="shared" si="23"/>
        <v>15</v>
      </c>
      <c r="U83" s="19">
        <f t="shared" si="24"/>
        <v>15</v>
      </c>
      <c r="V83" s="22"/>
      <c r="W83" s="22"/>
      <c r="X83" s="22"/>
      <c r="Y83" s="22"/>
      <c r="Z83" s="21"/>
      <c r="AA83" s="20">
        <f t="shared" si="25"/>
        <v>0</v>
      </c>
      <c r="AB83" s="19">
        <f t="shared" si="26"/>
        <v>0</v>
      </c>
      <c r="AC83" s="16">
        <v>20</v>
      </c>
      <c r="AD83" s="18"/>
      <c r="AE83" s="17"/>
      <c r="AF83" s="23">
        <f t="shared" si="27"/>
        <v>15</v>
      </c>
      <c r="AG83" s="16">
        <v>45</v>
      </c>
      <c r="AH83" s="23">
        <f t="shared" si="28"/>
        <v>80</v>
      </c>
      <c r="AI83" s="14">
        <f t="shared" si="29"/>
        <v>0.93</v>
      </c>
      <c r="AJ83" s="13"/>
      <c r="AK83" s="12">
        <v>0.01</v>
      </c>
      <c r="AL83" s="11">
        <f t="shared" si="30"/>
        <v>1.01</v>
      </c>
      <c r="AM83" s="10">
        <f t="shared" si="31"/>
        <v>9903469000</v>
      </c>
      <c r="AN83" s="9"/>
      <c r="AO83" s="8"/>
      <c r="AP83" s="8"/>
      <c r="AQ83" s="8"/>
      <c r="AR83" s="8"/>
      <c r="AS83" s="7"/>
      <c r="AT83" s="6">
        <f t="shared" si="32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22"/>
        <v>1</v>
      </c>
      <c r="O84" s="25">
        <v>15</v>
      </c>
      <c r="P84" s="23">
        <v>15</v>
      </c>
      <c r="Q84" s="24"/>
      <c r="R84" s="24"/>
      <c r="S84" s="23"/>
      <c r="T84" s="20">
        <f t="shared" si="23"/>
        <v>15</v>
      </c>
      <c r="U84" s="19">
        <f t="shared" si="24"/>
        <v>15</v>
      </c>
      <c r="V84" s="22"/>
      <c r="W84" s="22"/>
      <c r="X84" s="22"/>
      <c r="Y84" s="22"/>
      <c r="Z84" s="21"/>
      <c r="AA84" s="20">
        <f t="shared" si="25"/>
        <v>0</v>
      </c>
      <c r="AB84" s="19">
        <f t="shared" si="26"/>
        <v>0</v>
      </c>
      <c r="AC84" s="16">
        <v>20</v>
      </c>
      <c r="AD84" s="18"/>
      <c r="AE84" s="17"/>
      <c r="AF84" s="23">
        <f t="shared" si="27"/>
        <v>15</v>
      </c>
      <c r="AG84" s="16">
        <v>45</v>
      </c>
      <c r="AH84" s="23">
        <f t="shared" si="28"/>
        <v>80</v>
      </c>
      <c r="AI84" s="14">
        <f t="shared" si="29"/>
        <v>0.93</v>
      </c>
      <c r="AJ84" s="13"/>
      <c r="AK84" s="12">
        <v>0.01</v>
      </c>
      <c r="AL84" s="11">
        <f t="shared" si="30"/>
        <v>1.01</v>
      </c>
      <c r="AM84" s="10">
        <f t="shared" si="31"/>
        <v>9903469000</v>
      </c>
      <c r="AN84" s="9"/>
      <c r="AO84" s="8"/>
      <c r="AP84" s="8"/>
      <c r="AQ84" s="8"/>
      <c r="AR84" s="8"/>
      <c r="AS84" s="7"/>
      <c r="AT84" s="6">
        <f t="shared" si="32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22"/>
        <v>1</v>
      </c>
      <c r="O85" s="25">
        <v>15</v>
      </c>
      <c r="P85" s="23">
        <v>15</v>
      </c>
      <c r="Q85" s="24"/>
      <c r="R85" s="24"/>
      <c r="S85" s="23"/>
      <c r="T85" s="20">
        <f t="shared" si="23"/>
        <v>15</v>
      </c>
      <c r="U85" s="19">
        <f t="shared" si="24"/>
        <v>15</v>
      </c>
      <c r="V85" s="22"/>
      <c r="W85" s="22"/>
      <c r="X85" s="22"/>
      <c r="Y85" s="22"/>
      <c r="Z85" s="21"/>
      <c r="AA85" s="20">
        <f t="shared" si="25"/>
        <v>0</v>
      </c>
      <c r="AB85" s="19">
        <f t="shared" si="26"/>
        <v>0</v>
      </c>
      <c r="AC85" s="16">
        <v>20</v>
      </c>
      <c r="AD85" s="18"/>
      <c r="AE85" s="17"/>
      <c r="AF85" s="23">
        <f t="shared" si="27"/>
        <v>15</v>
      </c>
      <c r="AG85" s="16">
        <v>45</v>
      </c>
      <c r="AH85" s="23">
        <f t="shared" si="28"/>
        <v>80</v>
      </c>
      <c r="AI85" s="14">
        <f t="shared" si="29"/>
        <v>0.93</v>
      </c>
      <c r="AJ85" s="13"/>
      <c r="AK85" s="12">
        <v>0.01</v>
      </c>
      <c r="AL85" s="11">
        <f t="shared" si="30"/>
        <v>1.01</v>
      </c>
      <c r="AM85" s="10">
        <f t="shared" si="31"/>
        <v>9903469000</v>
      </c>
      <c r="AN85" s="9"/>
      <c r="AO85" s="8"/>
      <c r="AP85" s="8"/>
      <c r="AQ85" s="8"/>
      <c r="AR85" s="8"/>
      <c r="AS85" s="7"/>
      <c r="AT85" s="6">
        <f t="shared" si="32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22"/>
        <v>1</v>
      </c>
      <c r="O86" s="25">
        <v>15</v>
      </c>
      <c r="P86" s="23">
        <v>15</v>
      </c>
      <c r="Q86" s="24"/>
      <c r="R86" s="24"/>
      <c r="S86" s="23"/>
      <c r="T86" s="20">
        <f t="shared" si="23"/>
        <v>15</v>
      </c>
      <c r="U86" s="19">
        <f t="shared" si="24"/>
        <v>15</v>
      </c>
      <c r="V86" s="22"/>
      <c r="W86" s="22"/>
      <c r="X86" s="22"/>
      <c r="Y86" s="22"/>
      <c r="Z86" s="21"/>
      <c r="AA86" s="20">
        <f t="shared" si="25"/>
        <v>0</v>
      </c>
      <c r="AB86" s="19">
        <f t="shared" si="26"/>
        <v>0</v>
      </c>
      <c r="AC86" s="16">
        <v>20</v>
      </c>
      <c r="AD86" s="18"/>
      <c r="AE86" s="17"/>
      <c r="AF86" s="23">
        <f t="shared" si="27"/>
        <v>15</v>
      </c>
      <c r="AG86" s="16">
        <v>45</v>
      </c>
      <c r="AH86" s="23">
        <f t="shared" si="28"/>
        <v>80</v>
      </c>
      <c r="AI86" s="14">
        <f t="shared" si="29"/>
        <v>0.93</v>
      </c>
      <c r="AJ86" s="13"/>
      <c r="AK86" s="12">
        <v>0.01</v>
      </c>
      <c r="AL86" s="11">
        <f t="shared" si="30"/>
        <v>1.01</v>
      </c>
      <c r="AM86" s="10">
        <f t="shared" si="31"/>
        <v>9903469000</v>
      </c>
      <c r="AN86" s="9"/>
      <c r="AO86" s="8"/>
      <c r="AP86" s="8"/>
      <c r="AQ86" s="8"/>
      <c r="AR86" s="8"/>
      <c r="AS86" s="7"/>
      <c r="AT86" s="6">
        <f t="shared" si="32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22"/>
        <v>1</v>
      </c>
      <c r="O87" s="25">
        <v>15</v>
      </c>
      <c r="P87" s="23">
        <v>15</v>
      </c>
      <c r="Q87" s="24"/>
      <c r="R87" s="24"/>
      <c r="S87" s="23"/>
      <c r="T87" s="20">
        <f t="shared" si="23"/>
        <v>15</v>
      </c>
      <c r="U87" s="19">
        <f t="shared" si="24"/>
        <v>15</v>
      </c>
      <c r="V87" s="22"/>
      <c r="W87" s="22"/>
      <c r="X87" s="22"/>
      <c r="Y87" s="22"/>
      <c r="Z87" s="21"/>
      <c r="AA87" s="20">
        <f t="shared" si="25"/>
        <v>0</v>
      </c>
      <c r="AB87" s="19">
        <f t="shared" si="26"/>
        <v>0</v>
      </c>
      <c r="AC87" s="16">
        <v>20</v>
      </c>
      <c r="AD87" s="18"/>
      <c r="AE87" s="17"/>
      <c r="AF87" s="23">
        <f t="shared" si="27"/>
        <v>15</v>
      </c>
      <c r="AG87" s="16">
        <v>45</v>
      </c>
      <c r="AH87" s="23">
        <f t="shared" si="28"/>
        <v>80</v>
      </c>
      <c r="AI87" s="14">
        <f t="shared" si="29"/>
        <v>0.93</v>
      </c>
      <c r="AJ87" s="13"/>
      <c r="AK87" s="12">
        <v>0.01</v>
      </c>
      <c r="AL87" s="11">
        <f t="shared" si="30"/>
        <v>1.01</v>
      </c>
      <c r="AM87" s="10">
        <f t="shared" si="31"/>
        <v>9903469000</v>
      </c>
      <c r="AN87" s="9"/>
      <c r="AO87" s="8"/>
      <c r="AP87" s="8"/>
      <c r="AQ87" s="8"/>
      <c r="AR87" s="8"/>
      <c r="AS87" s="7"/>
      <c r="AT87" s="6">
        <f t="shared" si="32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22"/>
        <v>1</v>
      </c>
      <c r="O88" s="25">
        <v>15</v>
      </c>
      <c r="P88" s="23">
        <v>15</v>
      </c>
      <c r="Q88" s="24"/>
      <c r="R88" s="24"/>
      <c r="S88" s="23"/>
      <c r="T88" s="20">
        <f t="shared" si="23"/>
        <v>15</v>
      </c>
      <c r="U88" s="19">
        <f t="shared" si="24"/>
        <v>15</v>
      </c>
      <c r="V88" s="22"/>
      <c r="W88" s="22"/>
      <c r="X88" s="22"/>
      <c r="Y88" s="22"/>
      <c r="Z88" s="21"/>
      <c r="AA88" s="20">
        <f t="shared" si="25"/>
        <v>0</v>
      </c>
      <c r="AB88" s="19">
        <f t="shared" si="26"/>
        <v>0</v>
      </c>
      <c r="AC88" s="16">
        <v>20</v>
      </c>
      <c r="AD88" s="18"/>
      <c r="AE88" s="17"/>
      <c r="AF88" s="23">
        <f t="shared" si="27"/>
        <v>15</v>
      </c>
      <c r="AG88" s="16">
        <v>45</v>
      </c>
      <c r="AH88" s="23">
        <f t="shared" si="28"/>
        <v>80</v>
      </c>
      <c r="AI88" s="14">
        <f t="shared" si="29"/>
        <v>0.93</v>
      </c>
      <c r="AJ88" s="13"/>
      <c r="AK88" s="12">
        <v>0.01</v>
      </c>
      <c r="AL88" s="11">
        <f t="shared" si="30"/>
        <v>1.01</v>
      </c>
      <c r="AM88" s="10">
        <f t="shared" si="31"/>
        <v>9903469000</v>
      </c>
      <c r="AN88" s="9"/>
      <c r="AO88" s="8"/>
      <c r="AP88" s="8"/>
      <c r="AQ88" s="8"/>
      <c r="AR88" s="8"/>
      <c r="AS88" s="7"/>
      <c r="AT88" s="6">
        <f t="shared" si="32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22"/>
        <v>1</v>
      </c>
      <c r="O89" s="25">
        <v>15</v>
      </c>
      <c r="P89" s="23">
        <v>15</v>
      </c>
      <c r="Q89" s="24"/>
      <c r="R89" s="24"/>
      <c r="S89" s="23"/>
      <c r="T89" s="20">
        <f t="shared" si="23"/>
        <v>15</v>
      </c>
      <c r="U89" s="19">
        <f t="shared" si="24"/>
        <v>15</v>
      </c>
      <c r="V89" s="22"/>
      <c r="W89" s="22"/>
      <c r="X89" s="22"/>
      <c r="Y89" s="22"/>
      <c r="Z89" s="21"/>
      <c r="AA89" s="20">
        <f t="shared" si="25"/>
        <v>0</v>
      </c>
      <c r="AB89" s="19">
        <f t="shared" si="26"/>
        <v>0</v>
      </c>
      <c r="AC89" s="16">
        <v>20</v>
      </c>
      <c r="AD89" s="18"/>
      <c r="AE89" s="17"/>
      <c r="AF89" s="23">
        <f t="shared" si="27"/>
        <v>15</v>
      </c>
      <c r="AG89" s="16">
        <v>45</v>
      </c>
      <c r="AH89" s="23">
        <f t="shared" si="28"/>
        <v>80</v>
      </c>
      <c r="AI89" s="14">
        <f t="shared" si="29"/>
        <v>0.93</v>
      </c>
      <c r="AJ89" s="13"/>
      <c r="AK89" s="12">
        <v>0.01</v>
      </c>
      <c r="AL89" s="11">
        <f t="shared" si="30"/>
        <v>1.01</v>
      </c>
      <c r="AM89" s="10">
        <f t="shared" si="31"/>
        <v>9903469000</v>
      </c>
      <c r="AN89" s="9"/>
      <c r="AO89" s="8"/>
      <c r="AP89" s="8"/>
      <c r="AQ89" s="8"/>
      <c r="AR89" s="8"/>
      <c r="AS89" s="7"/>
      <c r="AT89" s="6">
        <f t="shared" si="32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22"/>
        <v>1</v>
      </c>
      <c r="O90" s="25">
        <v>15</v>
      </c>
      <c r="P90" s="23">
        <v>15</v>
      </c>
      <c r="Q90" s="24"/>
      <c r="R90" s="24"/>
      <c r="S90" s="23"/>
      <c r="T90" s="20">
        <f t="shared" si="23"/>
        <v>15</v>
      </c>
      <c r="U90" s="19">
        <f t="shared" si="24"/>
        <v>15</v>
      </c>
      <c r="V90" s="22"/>
      <c r="W90" s="22"/>
      <c r="X90" s="22"/>
      <c r="Y90" s="22"/>
      <c r="Z90" s="21"/>
      <c r="AA90" s="20">
        <f t="shared" si="25"/>
        <v>0</v>
      </c>
      <c r="AB90" s="19">
        <f t="shared" si="26"/>
        <v>0</v>
      </c>
      <c r="AC90" s="16">
        <v>20</v>
      </c>
      <c r="AD90" s="18"/>
      <c r="AE90" s="17"/>
      <c r="AF90" s="23">
        <f t="shared" si="27"/>
        <v>15</v>
      </c>
      <c r="AG90" s="16">
        <v>45</v>
      </c>
      <c r="AH90" s="23">
        <f t="shared" si="28"/>
        <v>80</v>
      </c>
      <c r="AI90" s="14">
        <f t="shared" si="29"/>
        <v>0.93</v>
      </c>
      <c r="AJ90" s="13"/>
      <c r="AK90" s="12">
        <v>0.01</v>
      </c>
      <c r="AL90" s="11">
        <f t="shared" si="30"/>
        <v>1.01</v>
      </c>
      <c r="AM90" s="10">
        <f t="shared" si="31"/>
        <v>9903469000</v>
      </c>
      <c r="AN90" s="9"/>
      <c r="AO90" s="8"/>
      <c r="AP90" s="8"/>
      <c r="AQ90" s="8"/>
      <c r="AR90" s="8"/>
      <c r="AS90" s="7"/>
      <c r="AT90" s="6">
        <f t="shared" si="32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22"/>
        <v>1</v>
      </c>
      <c r="O91" s="25">
        <v>15</v>
      </c>
      <c r="P91" s="23">
        <v>15</v>
      </c>
      <c r="Q91" s="24"/>
      <c r="R91" s="24"/>
      <c r="S91" s="23"/>
      <c r="T91" s="20">
        <f t="shared" si="23"/>
        <v>15</v>
      </c>
      <c r="U91" s="19">
        <f t="shared" si="24"/>
        <v>15</v>
      </c>
      <c r="V91" s="22"/>
      <c r="W91" s="22"/>
      <c r="X91" s="22"/>
      <c r="Y91" s="22"/>
      <c r="Z91" s="21"/>
      <c r="AA91" s="20">
        <f t="shared" si="25"/>
        <v>0</v>
      </c>
      <c r="AB91" s="19">
        <f t="shared" si="26"/>
        <v>0</v>
      </c>
      <c r="AC91" s="16">
        <v>20</v>
      </c>
      <c r="AD91" s="18"/>
      <c r="AE91" s="17"/>
      <c r="AF91" s="23">
        <f t="shared" si="27"/>
        <v>15</v>
      </c>
      <c r="AG91" s="16">
        <v>45</v>
      </c>
      <c r="AH91" s="23">
        <f t="shared" si="28"/>
        <v>80</v>
      </c>
      <c r="AI91" s="14">
        <f t="shared" si="29"/>
        <v>0.93</v>
      </c>
      <c r="AJ91" s="13"/>
      <c r="AK91" s="12">
        <v>0.01</v>
      </c>
      <c r="AL91" s="11">
        <f t="shared" si="30"/>
        <v>1.01</v>
      </c>
      <c r="AM91" s="10">
        <f t="shared" si="31"/>
        <v>9903469000</v>
      </c>
      <c r="AN91" s="9"/>
      <c r="AO91" s="8"/>
      <c r="AP91" s="8"/>
      <c r="AQ91" s="8"/>
      <c r="AR91" s="8"/>
      <c r="AS91" s="7"/>
      <c r="AT91" s="6">
        <f t="shared" si="32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22"/>
        <v>1</v>
      </c>
      <c r="O92" s="25">
        <v>15</v>
      </c>
      <c r="P92" s="23">
        <v>15</v>
      </c>
      <c r="Q92" s="24"/>
      <c r="R92" s="24"/>
      <c r="S92" s="23"/>
      <c r="T92" s="20">
        <f t="shared" si="23"/>
        <v>15</v>
      </c>
      <c r="U92" s="19">
        <f t="shared" si="24"/>
        <v>15</v>
      </c>
      <c r="V92" s="22"/>
      <c r="W92" s="22"/>
      <c r="X92" s="22"/>
      <c r="Y92" s="22"/>
      <c r="Z92" s="21"/>
      <c r="AA92" s="20">
        <f t="shared" si="25"/>
        <v>0</v>
      </c>
      <c r="AB92" s="19">
        <f t="shared" si="26"/>
        <v>0</v>
      </c>
      <c r="AC92" s="16">
        <v>20</v>
      </c>
      <c r="AD92" s="18"/>
      <c r="AE92" s="17"/>
      <c r="AF92" s="23">
        <f t="shared" si="27"/>
        <v>15</v>
      </c>
      <c r="AG92" s="16">
        <v>45</v>
      </c>
      <c r="AH92" s="23">
        <f t="shared" si="28"/>
        <v>80</v>
      </c>
      <c r="AI92" s="14">
        <f t="shared" si="29"/>
        <v>0.93</v>
      </c>
      <c r="AJ92" s="13"/>
      <c r="AK92" s="12">
        <v>0.01</v>
      </c>
      <c r="AL92" s="11">
        <f t="shared" si="30"/>
        <v>1.01</v>
      </c>
      <c r="AM92" s="10">
        <f t="shared" si="31"/>
        <v>9903469000</v>
      </c>
      <c r="AN92" s="9"/>
      <c r="AO92" s="8"/>
      <c r="AP92" s="8"/>
      <c r="AQ92" s="8"/>
      <c r="AR92" s="8"/>
      <c r="AS92" s="7"/>
      <c r="AT92" s="6">
        <f t="shared" si="32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22"/>
        <v>1</v>
      </c>
      <c r="O93" s="25">
        <v>15</v>
      </c>
      <c r="P93" s="23">
        <v>15</v>
      </c>
      <c r="Q93" s="24"/>
      <c r="R93" s="24"/>
      <c r="S93" s="23"/>
      <c r="T93" s="20">
        <f t="shared" si="23"/>
        <v>15</v>
      </c>
      <c r="U93" s="19">
        <f t="shared" si="24"/>
        <v>15</v>
      </c>
      <c r="V93" s="22"/>
      <c r="W93" s="22"/>
      <c r="X93" s="22"/>
      <c r="Y93" s="22"/>
      <c r="Z93" s="21"/>
      <c r="AA93" s="20">
        <f t="shared" si="25"/>
        <v>0</v>
      </c>
      <c r="AB93" s="19">
        <f t="shared" si="26"/>
        <v>0</v>
      </c>
      <c r="AC93" s="16">
        <v>20</v>
      </c>
      <c r="AD93" s="18"/>
      <c r="AE93" s="17"/>
      <c r="AF93" s="23">
        <f t="shared" si="27"/>
        <v>15</v>
      </c>
      <c r="AG93" s="16">
        <v>45</v>
      </c>
      <c r="AH93" s="23">
        <f t="shared" si="28"/>
        <v>80</v>
      </c>
      <c r="AI93" s="14">
        <f t="shared" si="29"/>
        <v>0.93</v>
      </c>
      <c r="AJ93" s="13"/>
      <c r="AK93" s="12">
        <v>0.01</v>
      </c>
      <c r="AL93" s="11">
        <f t="shared" si="30"/>
        <v>1.01</v>
      </c>
      <c r="AM93" s="10">
        <f t="shared" si="31"/>
        <v>9903469000</v>
      </c>
      <c r="AN93" s="9"/>
      <c r="AO93" s="8"/>
      <c r="AP93" s="8"/>
      <c r="AQ93" s="8"/>
      <c r="AR93" s="8"/>
      <c r="AS93" s="7"/>
      <c r="AT93" s="6">
        <f t="shared" si="32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22"/>
        <v>1</v>
      </c>
      <c r="O94" s="25">
        <v>15</v>
      </c>
      <c r="P94" s="23">
        <v>15</v>
      </c>
      <c r="Q94" s="24"/>
      <c r="R94" s="24"/>
      <c r="S94" s="23"/>
      <c r="T94" s="20">
        <f t="shared" si="23"/>
        <v>15</v>
      </c>
      <c r="U94" s="19">
        <f t="shared" si="24"/>
        <v>15</v>
      </c>
      <c r="V94" s="22"/>
      <c r="W94" s="22"/>
      <c r="X94" s="22"/>
      <c r="Y94" s="22"/>
      <c r="Z94" s="21"/>
      <c r="AA94" s="20">
        <f t="shared" si="25"/>
        <v>0</v>
      </c>
      <c r="AB94" s="19">
        <f t="shared" si="26"/>
        <v>0</v>
      </c>
      <c r="AC94" s="16">
        <v>20</v>
      </c>
      <c r="AD94" s="18"/>
      <c r="AE94" s="17"/>
      <c r="AF94" s="23">
        <f t="shared" si="27"/>
        <v>15</v>
      </c>
      <c r="AG94" s="16">
        <v>45</v>
      </c>
      <c r="AH94" s="23">
        <f t="shared" si="28"/>
        <v>80</v>
      </c>
      <c r="AI94" s="14">
        <f t="shared" si="29"/>
        <v>0.93</v>
      </c>
      <c r="AJ94" s="13"/>
      <c r="AK94" s="12">
        <v>0.01</v>
      </c>
      <c r="AL94" s="11">
        <f t="shared" si="30"/>
        <v>1.01</v>
      </c>
      <c r="AM94" s="10">
        <f t="shared" si="31"/>
        <v>9903469000</v>
      </c>
      <c r="AN94" s="9"/>
      <c r="AO94" s="8"/>
      <c r="AP94" s="8"/>
      <c r="AQ94" s="8"/>
      <c r="AR94" s="8"/>
      <c r="AS94" s="7"/>
      <c r="AT94" s="6">
        <f t="shared" si="32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22"/>
        <v>1</v>
      </c>
      <c r="O95" s="25">
        <v>15</v>
      </c>
      <c r="P95" s="23">
        <v>15</v>
      </c>
      <c r="Q95" s="24"/>
      <c r="R95" s="24"/>
      <c r="S95" s="23"/>
      <c r="T95" s="20">
        <f t="shared" si="23"/>
        <v>15</v>
      </c>
      <c r="U95" s="19">
        <f t="shared" si="24"/>
        <v>15</v>
      </c>
      <c r="V95" s="22"/>
      <c r="W95" s="22"/>
      <c r="X95" s="22"/>
      <c r="Y95" s="22"/>
      <c r="Z95" s="21"/>
      <c r="AA95" s="20">
        <f t="shared" si="25"/>
        <v>0</v>
      </c>
      <c r="AB95" s="19">
        <f t="shared" si="26"/>
        <v>0</v>
      </c>
      <c r="AC95" s="16">
        <v>20</v>
      </c>
      <c r="AD95" s="18"/>
      <c r="AE95" s="17"/>
      <c r="AF95" s="23">
        <f t="shared" si="27"/>
        <v>15</v>
      </c>
      <c r="AG95" s="16">
        <v>45</v>
      </c>
      <c r="AH95" s="23">
        <f t="shared" si="28"/>
        <v>80</v>
      </c>
      <c r="AI95" s="14">
        <f t="shared" si="29"/>
        <v>0.93</v>
      </c>
      <c r="AJ95" s="13"/>
      <c r="AK95" s="12">
        <v>0.01</v>
      </c>
      <c r="AL95" s="11">
        <f t="shared" si="30"/>
        <v>1.01</v>
      </c>
      <c r="AM95" s="10">
        <f t="shared" si="31"/>
        <v>9903469000</v>
      </c>
      <c r="AN95" s="9"/>
      <c r="AO95" s="8"/>
      <c r="AP95" s="8"/>
      <c r="AQ95" s="8"/>
      <c r="AR95" s="8"/>
      <c r="AS95" s="7"/>
      <c r="AT95" s="6">
        <f t="shared" si="32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22"/>
        <v>1</v>
      </c>
      <c r="O96" s="25">
        <v>15</v>
      </c>
      <c r="P96" s="23">
        <v>15</v>
      </c>
      <c r="Q96" s="24"/>
      <c r="R96" s="24"/>
      <c r="S96" s="23"/>
      <c r="T96" s="20">
        <f t="shared" si="23"/>
        <v>15</v>
      </c>
      <c r="U96" s="19">
        <f t="shared" si="24"/>
        <v>15</v>
      </c>
      <c r="V96" s="22"/>
      <c r="W96" s="22"/>
      <c r="X96" s="22"/>
      <c r="Y96" s="22"/>
      <c r="Z96" s="21"/>
      <c r="AA96" s="20">
        <f t="shared" si="25"/>
        <v>0</v>
      </c>
      <c r="AB96" s="19">
        <f t="shared" si="26"/>
        <v>0</v>
      </c>
      <c r="AC96" s="16">
        <v>20</v>
      </c>
      <c r="AD96" s="18"/>
      <c r="AE96" s="17"/>
      <c r="AF96" s="23">
        <f t="shared" si="27"/>
        <v>15</v>
      </c>
      <c r="AG96" s="16">
        <v>45</v>
      </c>
      <c r="AH96" s="23">
        <f t="shared" si="28"/>
        <v>80</v>
      </c>
      <c r="AI96" s="14">
        <f t="shared" si="29"/>
        <v>0.93</v>
      </c>
      <c r="AJ96" s="13"/>
      <c r="AK96" s="12">
        <v>0.01</v>
      </c>
      <c r="AL96" s="11">
        <f t="shared" si="30"/>
        <v>1.01</v>
      </c>
      <c r="AM96" s="10">
        <f t="shared" si="31"/>
        <v>9903469000</v>
      </c>
      <c r="AN96" s="9"/>
      <c r="AO96" s="8"/>
      <c r="AP96" s="8"/>
      <c r="AQ96" s="8"/>
      <c r="AR96" s="8"/>
      <c r="AS96" s="7"/>
      <c r="AT96" s="6">
        <f t="shared" si="32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22"/>
        <v>1</v>
      </c>
      <c r="O97" s="25">
        <v>15</v>
      </c>
      <c r="P97" s="23">
        <v>15</v>
      </c>
      <c r="Q97" s="24"/>
      <c r="R97" s="24"/>
      <c r="S97" s="23"/>
      <c r="T97" s="20">
        <f t="shared" si="23"/>
        <v>15</v>
      </c>
      <c r="U97" s="19">
        <f t="shared" si="24"/>
        <v>15</v>
      </c>
      <c r="V97" s="22"/>
      <c r="W97" s="22"/>
      <c r="X97" s="22"/>
      <c r="Y97" s="22"/>
      <c r="Z97" s="21"/>
      <c r="AA97" s="20">
        <f t="shared" si="25"/>
        <v>0</v>
      </c>
      <c r="AB97" s="19">
        <f t="shared" si="26"/>
        <v>0</v>
      </c>
      <c r="AC97" s="16">
        <v>20</v>
      </c>
      <c r="AD97" s="18"/>
      <c r="AE97" s="17"/>
      <c r="AF97" s="23">
        <f t="shared" si="27"/>
        <v>15</v>
      </c>
      <c r="AG97" s="16">
        <v>45</v>
      </c>
      <c r="AH97" s="23">
        <f t="shared" si="28"/>
        <v>80</v>
      </c>
      <c r="AI97" s="14">
        <f t="shared" si="29"/>
        <v>0.93</v>
      </c>
      <c r="AJ97" s="13"/>
      <c r="AK97" s="12">
        <v>0.01</v>
      </c>
      <c r="AL97" s="11">
        <f t="shared" si="30"/>
        <v>1.01</v>
      </c>
      <c r="AM97" s="10">
        <f t="shared" si="31"/>
        <v>9903469000</v>
      </c>
      <c r="AN97" s="9"/>
      <c r="AO97" s="8"/>
      <c r="AP97" s="8"/>
      <c r="AQ97" s="8"/>
      <c r="AR97" s="8"/>
      <c r="AS97" s="7"/>
      <c r="AT97" s="6">
        <f t="shared" si="32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22"/>
        <v>1</v>
      </c>
      <c r="O98" s="25">
        <v>15</v>
      </c>
      <c r="P98" s="23">
        <v>15</v>
      </c>
      <c r="Q98" s="24"/>
      <c r="R98" s="24"/>
      <c r="S98" s="23"/>
      <c r="T98" s="20">
        <f t="shared" si="23"/>
        <v>15</v>
      </c>
      <c r="U98" s="19">
        <f t="shared" si="24"/>
        <v>15</v>
      </c>
      <c r="V98" s="22"/>
      <c r="W98" s="22"/>
      <c r="X98" s="22"/>
      <c r="Y98" s="22"/>
      <c r="Z98" s="21"/>
      <c r="AA98" s="20">
        <f t="shared" si="25"/>
        <v>0</v>
      </c>
      <c r="AB98" s="19">
        <f t="shared" si="26"/>
        <v>0</v>
      </c>
      <c r="AC98" s="16">
        <v>20</v>
      </c>
      <c r="AD98" s="18"/>
      <c r="AE98" s="17"/>
      <c r="AF98" s="23">
        <f t="shared" si="27"/>
        <v>15</v>
      </c>
      <c r="AG98" s="16">
        <v>45</v>
      </c>
      <c r="AH98" s="23">
        <f t="shared" si="28"/>
        <v>80</v>
      </c>
      <c r="AI98" s="14">
        <f t="shared" si="29"/>
        <v>0.93</v>
      </c>
      <c r="AJ98" s="13"/>
      <c r="AK98" s="12">
        <v>0.01</v>
      </c>
      <c r="AL98" s="11">
        <f t="shared" si="30"/>
        <v>1.01</v>
      </c>
      <c r="AM98" s="10">
        <f t="shared" si="31"/>
        <v>9903469000</v>
      </c>
      <c r="AN98" s="9"/>
      <c r="AO98" s="8"/>
      <c r="AP98" s="8"/>
      <c r="AQ98" s="8"/>
      <c r="AR98" s="8"/>
      <c r="AS98" s="7"/>
      <c r="AT98" s="6">
        <f t="shared" si="32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22"/>
        <v>1</v>
      </c>
      <c r="O99" s="25">
        <v>15</v>
      </c>
      <c r="P99" s="23">
        <v>15</v>
      </c>
      <c r="Q99" s="24"/>
      <c r="R99" s="24"/>
      <c r="S99" s="23"/>
      <c r="T99" s="20">
        <f t="shared" si="23"/>
        <v>15</v>
      </c>
      <c r="U99" s="19">
        <f t="shared" si="24"/>
        <v>15</v>
      </c>
      <c r="V99" s="22"/>
      <c r="W99" s="22"/>
      <c r="X99" s="22"/>
      <c r="Y99" s="22"/>
      <c r="Z99" s="21"/>
      <c r="AA99" s="20">
        <f t="shared" si="25"/>
        <v>0</v>
      </c>
      <c r="AB99" s="19">
        <f t="shared" si="26"/>
        <v>0</v>
      </c>
      <c r="AC99" s="16">
        <v>20</v>
      </c>
      <c r="AD99" s="18"/>
      <c r="AE99" s="17"/>
      <c r="AF99" s="23">
        <f t="shared" si="27"/>
        <v>15</v>
      </c>
      <c r="AG99" s="16">
        <v>45</v>
      </c>
      <c r="AH99" s="23">
        <f t="shared" si="28"/>
        <v>80</v>
      </c>
      <c r="AI99" s="14">
        <f t="shared" si="29"/>
        <v>0.93</v>
      </c>
      <c r="AJ99" s="13"/>
      <c r="AK99" s="12">
        <v>0.01</v>
      </c>
      <c r="AL99" s="11">
        <f t="shared" si="30"/>
        <v>1.01</v>
      </c>
      <c r="AM99" s="10">
        <f t="shared" si="31"/>
        <v>9903469000</v>
      </c>
      <c r="AN99" s="9"/>
      <c r="AO99" s="8"/>
      <c r="AP99" s="8"/>
      <c r="AQ99" s="8"/>
      <c r="AR99" s="8"/>
      <c r="AS99" s="7"/>
      <c r="AT99" s="6">
        <f t="shared" si="32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22"/>
        <v>1</v>
      </c>
      <c r="O100" s="25">
        <v>15</v>
      </c>
      <c r="P100" s="23">
        <v>15</v>
      </c>
      <c r="Q100" s="24"/>
      <c r="R100" s="24"/>
      <c r="S100" s="23"/>
      <c r="T100" s="20">
        <f t="shared" si="23"/>
        <v>15</v>
      </c>
      <c r="U100" s="19">
        <f t="shared" si="24"/>
        <v>15</v>
      </c>
      <c r="V100" s="22"/>
      <c r="W100" s="22"/>
      <c r="X100" s="22"/>
      <c r="Y100" s="22"/>
      <c r="Z100" s="21"/>
      <c r="AA100" s="20">
        <f t="shared" si="25"/>
        <v>0</v>
      </c>
      <c r="AB100" s="19">
        <f t="shared" si="26"/>
        <v>0</v>
      </c>
      <c r="AC100" s="16">
        <v>20</v>
      </c>
      <c r="AD100" s="18"/>
      <c r="AE100" s="17"/>
      <c r="AF100" s="23">
        <f t="shared" si="27"/>
        <v>15</v>
      </c>
      <c r="AG100" s="16">
        <v>45</v>
      </c>
      <c r="AH100" s="23">
        <f t="shared" si="28"/>
        <v>80</v>
      </c>
      <c r="AI100" s="14">
        <f t="shared" si="29"/>
        <v>0.93</v>
      </c>
      <c r="AJ100" s="13"/>
      <c r="AK100" s="12">
        <v>0.01</v>
      </c>
      <c r="AL100" s="11">
        <f t="shared" si="30"/>
        <v>1.01</v>
      </c>
      <c r="AM100" s="10">
        <f t="shared" si="31"/>
        <v>9903469000</v>
      </c>
      <c r="AN100" s="9"/>
      <c r="AO100" s="8"/>
      <c r="AP100" s="8"/>
      <c r="AQ100" s="8"/>
      <c r="AR100" s="8"/>
      <c r="AS100" s="7"/>
      <c r="AT100" s="6">
        <f t="shared" si="32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ref="N101:N132" si="33">SUM(I101:M101)</f>
        <v>1</v>
      </c>
      <c r="O101" s="25">
        <v>15</v>
      </c>
      <c r="P101" s="23">
        <v>15</v>
      </c>
      <c r="Q101" s="24"/>
      <c r="R101" s="24"/>
      <c r="S101" s="23"/>
      <c r="T101" s="20">
        <f t="shared" ref="T101:T132" si="34">ROUND(((O101*I101)+(P101*J101)+(Q101*K101)+(R101*L101)+(S101*M101)),2)</f>
        <v>15</v>
      </c>
      <c r="U101" s="19">
        <f t="shared" ref="U101:U132" si="35">IF(T101&gt;=15,15,T101)</f>
        <v>15</v>
      </c>
      <c r="V101" s="22"/>
      <c r="W101" s="22"/>
      <c r="X101" s="22"/>
      <c r="Y101" s="22"/>
      <c r="Z101" s="21"/>
      <c r="AA101" s="20">
        <f t="shared" ref="AA101:AA132" si="36">ROUND((((V101*I101)+(W101*J101)+(X101*K101)+(Y101*L101)+(Z101*M101))/$I$2*15),2)</f>
        <v>0</v>
      </c>
      <c r="AB101" s="19">
        <f t="shared" ref="AB101:AB132" si="37">IF(AA101&gt;=15,15,AA101)</f>
        <v>0</v>
      </c>
      <c r="AC101" s="16">
        <v>20</v>
      </c>
      <c r="AD101" s="18"/>
      <c r="AE101" s="17"/>
      <c r="AF101" s="23">
        <f t="shared" ref="AF101:AF132" si="38">IF((U101+AB101+AD101)&gt;=30,30,(U101+AB101+AD101))</f>
        <v>15</v>
      </c>
      <c r="AG101" s="16">
        <v>45</v>
      </c>
      <c r="AH101" s="23">
        <f t="shared" ref="AH101:AH132" si="39">AC101+AF101+AG101+AE101</f>
        <v>80</v>
      </c>
      <c r="AI101" s="14">
        <f t="shared" ref="AI101:AI132" si="40">-((50-((176+(45+(30-AF101)))))/200)</f>
        <v>0.93</v>
      </c>
      <c r="AJ101" s="13"/>
      <c r="AK101" s="12">
        <v>0.01</v>
      </c>
      <c r="AL101" s="11">
        <f t="shared" ref="AL101:AL132" si="41">100%+AK101</f>
        <v>1.01</v>
      </c>
      <c r="AM101" s="10">
        <f t="shared" ref="AM101:AM132" si="42">ROUNDUP($D$2*AI101*AL101,-3)</f>
        <v>9903469000</v>
      </c>
      <c r="AN101" s="9"/>
      <c r="AO101" s="8"/>
      <c r="AP101" s="8"/>
      <c r="AQ101" s="8"/>
      <c r="AR101" s="8"/>
      <c r="AS101" s="7"/>
      <c r="AT101" s="6">
        <f t="shared" ref="AT101:AT132" si="43">(AO101*J101)+(AP101*K101)+(AQ101*L101)+(AR101*M101)+(AS101*N101)</f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33"/>
        <v>1</v>
      </c>
      <c r="O102" s="25">
        <v>15</v>
      </c>
      <c r="P102" s="23">
        <v>15</v>
      </c>
      <c r="Q102" s="24"/>
      <c r="R102" s="24"/>
      <c r="S102" s="23"/>
      <c r="T102" s="20">
        <f t="shared" si="34"/>
        <v>15</v>
      </c>
      <c r="U102" s="19">
        <f t="shared" si="35"/>
        <v>15</v>
      </c>
      <c r="V102" s="22"/>
      <c r="W102" s="22"/>
      <c r="X102" s="22"/>
      <c r="Y102" s="22"/>
      <c r="Z102" s="21"/>
      <c r="AA102" s="20">
        <f t="shared" si="36"/>
        <v>0</v>
      </c>
      <c r="AB102" s="19">
        <f t="shared" si="37"/>
        <v>0</v>
      </c>
      <c r="AC102" s="16">
        <v>20</v>
      </c>
      <c r="AD102" s="18"/>
      <c r="AE102" s="17"/>
      <c r="AF102" s="23">
        <f t="shared" si="38"/>
        <v>15</v>
      </c>
      <c r="AG102" s="16">
        <v>45</v>
      </c>
      <c r="AH102" s="23">
        <f t="shared" si="39"/>
        <v>80</v>
      </c>
      <c r="AI102" s="14">
        <f t="shared" si="40"/>
        <v>0.93</v>
      </c>
      <c r="AJ102" s="13"/>
      <c r="AK102" s="12">
        <v>0.01</v>
      </c>
      <c r="AL102" s="11">
        <f t="shared" si="41"/>
        <v>1.01</v>
      </c>
      <c r="AM102" s="10">
        <f t="shared" si="42"/>
        <v>9903469000</v>
      </c>
      <c r="AN102" s="9"/>
      <c r="AO102" s="8"/>
      <c r="AP102" s="8"/>
      <c r="AQ102" s="8"/>
      <c r="AR102" s="8"/>
      <c r="AS102" s="7"/>
      <c r="AT102" s="6">
        <f t="shared" si="43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33"/>
        <v>1</v>
      </c>
      <c r="O103" s="25">
        <v>15</v>
      </c>
      <c r="P103" s="23">
        <v>15</v>
      </c>
      <c r="Q103" s="24"/>
      <c r="R103" s="24"/>
      <c r="S103" s="23"/>
      <c r="T103" s="20">
        <f t="shared" si="34"/>
        <v>15</v>
      </c>
      <c r="U103" s="19">
        <f t="shared" si="35"/>
        <v>15</v>
      </c>
      <c r="V103" s="22"/>
      <c r="W103" s="22"/>
      <c r="X103" s="22"/>
      <c r="Y103" s="22"/>
      <c r="Z103" s="21"/>
      <c r="AA103" s="20">
        <f t="shared" si="36"/>
        <v>0</v>
      </c>
      <c r="AB103" s="19">
        <f t="shared" si="37"/>
        <v>0</v>
      </c>
      <c r="AC103" s="16">
        <v>20</v>
      </c>
      <c r="AD103" s="18"/>
      <c r="AE103" s="17"/>
      <c r="AF103" s="23">
        <f t="shared" si="38"/>
        <v>15</v>
      </c>
      <c r="AG103" s="16">
        <v>45</v>
      </c>
      <c r="AH103" s="23">
        <f t="shared" si="39"/>
        <v>80</v>
      </c>
      <c r="AI103" s="14">
        <f t="shared" si="40"/>
        <v>0.93</v>
      </c>
      <c r="AJ103" s="13"/>
      <c r="AK103" s="12">
        <v>0.01</v>
      </c>
      <c r="AL103" s="11">
        <f t="shared" si="41"/>
        <v>1.01</v>
      </c>
      <c r="AM103" s="10">
        <f t="shared" si="42"/>
        <v>9903469000</v>
      </c>
      <c r="AN103" s="9"/>
      <c r="AO103" s="8"/>
      <c r="AP103" s="8"/>
      <c r="AQ103" s="8"/>
      <c r="AR103" s="8"/>
      <c r="AS103" s="7"/>
      <c r="AT103" s="6">
        <f t="shared" si="43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33"/>
        <v>1</v>
      </c>
      <c r="O104" s="25">
        <v>15</v>
      </c>
      <c r="P104" s="23">
        <v>15</v>
      </c>
      <c r="Q104" s="24"/>
      <c r="R104" s="24"/>
      <c r="S104" s="23"/>
      <c r="T104" s="20">
        <f t="shared" si="34"/>
        <v>15</v>
      </c>
      <c r="U104" s="19">
        <f t="shared" si="35"/>
        <v>15</v>
      </c>
      <c r="V104" s="22"/>
      <c r="W104" s="22"/>
      <c r="X104" s="22"/>
      <c r="Y104" s="22"/>
      <c r="Z104" s="21"/>
      <c r="AA104" s="20">
        <f t="shared" si="36"/>
        <v>0</v>
      </c>
      <c r="AB104" s="19">
        <f t="shared" si="37"/>
        <v>0</v>
      </c>
      <c r="AC104" s="16">
        <v>20</v>
      </c>
      <c r="AD104" s="18"/>
      <c r="AE104" s="17"/>
      <c r="AF104" s="23">
        <f t="shared" si="38"/>
        <v>15</v>
      </c>
      <c r="AG104" s="16">
        <v>45</v>
      </c>
      <c r="AH104" s="23">
        <f t="shared" si="39"/>
        <v>80</v>
      </c>
      <c r="AI104" s="14">
        <f t="shared" si="40"/>
        <v>0.93</v>
      </c>
      <c r="AJ104" s="13"/>
      <c r="AK104" s="12">
        <v>0.01</v>
      </c>
      <c r="AL104" s="11">
        <f t="shared" si="41"/>
        <v>1.01</v>
      </c>
      <c r="AM104" s="10">
        <f t="shared" si="42"/>
        <v>9903469000</v>
      </c>
      <c r="AN104" s="9"/>
      <c r="AO104" s="8"/>
      <c r="AP104" s="8"/>
      <c r="AQ104" s="8"/>
      <c r="AR104" s="8"/>
      <c r="AS104" s="7"/>
      <c r="AT104" s="6">
        <f t="shared" si="43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33"/>
        <v>1</v>
      </c>
      <c r="O105" s="25">
        <v>15</v>
      </c>
      <c r="P105" s="23">
        <v>15</v>
      </c>
      <c r="Q105" s="24"/>
      <c r="R105" s="24"/>
      <c r="S105" s="23"/>
      <c r="T105" s="20">
        <f t="shared" si="34"/>
        <v>15</v>
      </c>
      <c r="U105" s="19">
        <f t="shared" si="35"/>
        <v>15</v>
      </c>
      <c r="V105" s="22"/>
      <c r="W105" s="22"/>
      <c r="X105" s="22"/>
      <c r="Y105" s="22"/>
      <c r="Z105" s="21"/>
      <c r="AA105" s="20">
        <f t="shared" si="36"/>
        <v>0</v>
      </c>
      <c r="AB105" s="19">
        <f t="shared" si="37"/>
        <v>0</v>
      </c>
      <c r="AC105" s="16">
        <v>20</v>
      </c>
      <c r="AD105" s="18"/>
      <c r="AE105" s="17"/>
      <c r="AF105" s="23">
        <f t="shared" si="38"/>
        <v>15</v>
      </c>
      <c r="AG105" s="16">
        <v>45</v>
      </c>
      <c r="AH105" s="23">
        <f t="shared" si="39"/>
        <v>80</v>
      </c>
      <c r="AI105" s="14">
        <f t="shared" si="40"/>
        <v>0.93</v>
      </c>
      <c r="AJ105" s="13"/>
      <c r="AK105" s="12">
        <v>0.01</v>
      </c>
      <c r="AL105" s="11">
        <f t="shared" si="41"/>
        <v>1.01</v>
      </c>
      <c r="AM105" s="10">
        <f t="shared" si="42"/>
        <v>9903469000</v>
      </c>
      <c r="AN105" s="9"/>
      <c r="AO105" s="8"/>
      <c r="AP105" s="8"/>
      <c r="AQ105" s="8"/>
      <c r="AR105" s="8"/>
      <c r="AS105" s="7"/>
      <c r="AT105" s="6">
        <f t="shared" si="43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33"/>
        <v>1</v>
      </c>
      <c r="O106" s="25">
        <v>15</v>
      </c>
      <c r="P106" s="23">
        <v>15</v>
      </c>
      <c r="Q106" s="24"/>
      <c r="R106" s="24"/>
      <c r="S106" s="23"/>
      <c r="T106" s="20">
        <f t="shared" si="34"/>
        <v>15</v>
      </c>
      <c r="U106" s="19">
        <f t="shared" si="35"/>
        <v>15</v>
      </c>
      <c r="V106" s="22"/>
      <c r="W106" s="22"/>
      <c r="X106" s="22"/>
      <c r="Y106" s="22"/>
      <c r="Z106" s="21"/>
      <c r="AA106" s="20">
        <f t="shared" si="36"/>
        <v>0</v>
      </c>
      <c r="AB106" s="19">
        <f t="shared" si="37"/>
        <v>0</v>
      </c>
      <c r="AC106" s="16">
        <v>20</v>
      </c>
      <c r="AD106" s="18"/>
      <c r="AE106" s="17"/>
      <c r="AF106" s="23">
        <f t="shared" si="38"/>
        <v>15</v>
      </c>
      <c r="AG106" s="16">
        <v>45</v>
      </c>
      <c r="AH106" s="23">
        <f t="shared" si="39"/>
        <v>80</v>
      </c>
      <c r="AI106" s="14">
        <f t="shared" si="40"/>
        <v>0.93</v>
      </c>
      <c r="AJ106" s="13"/>
      <c r="AK106" s="12">
        <v>0.01</v>
      </c>
      <c r="AL106" s="11">
        <f t="shared" si="41"/>
        <v>1.01</v>
      </c>
      <c r="AM106" s="10">
        <f t="shared" si="42"/>
        <v>9903469000</v>
      </c>
      <c r="AN106" s="9"/>
      <c r="AO106" s="8"/>
      <c r="AP106" s="8"/>
      <c r="AQ106" s="8"/>
      <c r="AR106" s="8"/>
      <c r="AS106" s="7"/>
      <c r="AT106" s="6">
        <f t="shared" si="43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33"/>
        <v>1</v>
      </c>
      <c r="O107" s="25">
        <v>15</v>
      </c>
      <c r="P107" s="23">
        <v>15</v>
      </c>
      <c r="Q107" s="24"/>
      <c r="R107" s="24"/>
      <c r="S107" s="23"/>
      <c r="T107" s="20">
        <f t="shared" si="34"/>
        <v>15</v>
      </c>
      <c r="U107" s="19">
        <f t="shared" si="35"/>
        <v>15</v>
      </c>
      <c r="V107" s="22"/>
      <c r="W107" s="22"/>
      <c r="X107" s="22"/>
      <c r="Y107" s="22"/>
      <c r="Z107" s="21"/>
      <c r="AA107" s="20">
        <f t="shared" si="36"/>
        <v>0</v>
      </c>
      <c r="AB107" s="19">
        <f t="shared" si="37"/>
        <v>0</v>
      </c>
      <c r="AC107" s="16">
        <v>20</v>
      </c>
      <c r="AD107" s="18"/>
      <c r="AE107" s="17"/>
      <c r="AF107" s="23">
        <f t="shared" si="38"/>
        <v>15</v>
      </c>
      <c r="AG107" s="16">
        <v>45</v>
      </c>
      <c r="AH107" s="23">
        <f t="shared" si="39"/>
        <v>80</v>
      </c>
      <c r="AI107" s="14">
        <f t="shared" si="40"/>
        <v>0.93</v>
      </c>
      <c r="AJ107" s="13"/>
      <c r="AK107" s="12">
        <v>0.01</v>
      </c>
      <c r="AL107" s="11">
        <f t="shared" si="41"/>
        <v>1.01</v>
      </c>
      <c r="AM107" s="10">
        <f t="shared" si="42"/>
        <v>9903469000</v>
      </c>
      <c r="AN107" s="9"/>
      <c r="AO107" s="8"/>
      <c r="AP107" s="8"/>
      <c r="AQ107" s="8"/>
      <c r="AR107" s="8"/>
      <c r="AS107" s="7"/>
      <c r="AT107" s="6">
        <f t="shared" si="43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33"/>
        <v>1</v>
      </c>
      <c r="O108" s="25">
        <v>15</v>
      </c>
      <c r="P108" s="23">
        <v>15</v>
      </c>
      <c r="Q108" s="24"/>
      <c r="R108" s="24"/>
      <c r="S108" s="23"/>
      <c r="T108" s="20">
        <f t="shared" si="34"/>
        <v>15</v>
      </c>
      <c r="U108" s="19">
        <f t="shared" si="35"/>
        <v>15</v>
      </c>
      <c r="V108" s="22"/>
      <c r="W108" s="22"/>
      <c r="X108" s="22"/>
      <c r="Y108" s="22"/>
      <c r="Z108" s="21"/>
      <c r="AA108" s="20">
        <f t="shared" si="36"/>
        <v>0</v>
      </c>
      <c r="AB108" s="19">
        <f t="shared" si="37"/>
        <v>0</v>
      </c>
      <c r="AC108" s="16">
        <v>20</v>
      </c>
      <c r="AD108" s="18"/>
      <c r="AE108" s="17"/>
      <c r="AF108" s="23">
        <f t="shared" si="38"/>
        <v>15</v>
      </c>
      <c r="AG108" s="16">
        <v>45</v>
      </c>
      <c r="AH108" s="23">
        <f t="shared" si="39"/>
        <v>80</v>
      </c>
      <c r="AI108" s="14">
        <f t="shared" si="40"/>
        <v>0.93</v>
      </c>
      <c r="AJ108" s="13"/>
      <c r="AK108" s="12">
        <v>0.01</v>
      </c>
      <c r="AL108" s="11">
        <f t="shared" si="41"/>
        <v>1.01</v>
      </c>
      <c r="AM108" s="10">
        <f t="shared" si="42"/>
        <v>9903469000</v>
      </c>
      <c r="AN108" s="9"/>
      <c r="AO108" s="8"/>
      <c r="AP108" s="8"/>
      <c r="AQ108" s="8"/>
      <c r="AR108" s="8"/>
      <c r="AS108" s="7"/>
      <c r="AT108" s="6">
        <f t="shared" si="43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33"/>
        <v>1</v>
      </c>
      <c r="O109" s="25">
        <v>15</v>
      </c>
      <c r="P109" s="23">
        <v>15</v>
      </c>
      <c r="Q109" s="24"/>
      <c r="R109" s="24"/>
      <c r="S109" s="23"/>
      <c r="T109" s="20">
        <f t="shared" si="34"/>
        <v>15</v>
      </c>
      <c r="U109" s="19">
        <f t="shared" si="35"/>
        <v>15</v>
      </c>
      <c r="V109" s="22"/>
      <c r="W109" s="22"/>
      <c r="X109" s="22"/>
      <c r="Y109" s="22"/>
      <c r="Z109" s="21"/>
      <c r="AA109" s="20">
        <f t="shared" si="36"/>
        <v>0</v>
      </c>
      <c r="AB109" s="19">
        <f t="shared" si="37"/>
        <v>0</v>
      </c>
      <c r="AC109" s="16">
        <v>20</v>
      </c>
      <c r="AD109" s="18"/>
      <c r="AE109" s="17"/>
      <c r="AF109" s="23">
        <f t="shared" si="38"/>
        <v>15</v>
      </c>
      <c r="AG109" s="16">
        <v>45</v>
      </c>
      <c r="AH109" s="23">
        <f t="shared" si="39"/>
        <v>80</v>
      </c>
      <c r="AI109" s="14">
        <f t="shared" si="40"/>
        <v>0.93</v>
      </c>
      <c r="AJ109" s="13"/>
      <c r="AK109" s="12">
        <v>0.01</v>
      </c>
      <c r="AL109" s="11">
        <f t="shared" si="41"/>
        <v>1.01</v>
      </c>
      <c r="AM109" s="10">
        <f t="shared" si="42"/>
        <v>9903469000</v>
      </c>
      <c r="AN109" s="9"/>
      <c r="AO109" s="8"/>
      <c r="AP109" s="8"/>
      <c r="AQ109" s="8"/>
      <c r="AR109" s="8"/>
      <c r="AS109" s="7"/>
      <c r="AT109" s="6">
        <f t="shared" si="43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33"/>
        <v>1</v>
      </c>
      <c r="O110" s="25">
        <v>15</v>
      </c>
      <c r="P110" s="23">
        <v>15</v>
      </c>
      <c r="Q110" s="24"/>
      <c r="R110" s="24"/>
      <c r="S110" s="23"/>
      <c r="T110" s="20">
        <f t="shared" si="34"/>
        <v>15</v>
      </c>
      <c r="U110" s="19">
        <f t="shared" si="35"/>
        <v>15</v>
      </c>
      <c r="V110" s="22"/>
      <c r="W110" s="22"/>
      <c r="X110" s="22"/>
      <c r="Y110" s="22"/>
      <c r="Z110" s="21"/>
      <c r="AA110" s="20">
        <f t="shared" si="36"/>
        <v>0</v>
      </c>
      <c r="AB110" s="19">
        <f t="shared" si="37"/>
        <v>0</v>
      </c>
      <c r="AC110" s="16">
        <v>20</v>
      </c>
      <c r="AD110" s="18"/>
      <c r="AE110" s="17"/>
      <c r="AF110" s="23">
        <f t="shared" si="38"/>
        <v>15</v>
      </c>
      <c r="AG110" s="16">
        <v>45</v>
      </c>
      <c r="AH110" s="23">
        <f t="shared" si="39"/>
        <v>80</v>
      </c>
      <c r="AI110" s="14">
        <f t="shared" si="40"/>
        <v>0.93</v>
      </c>
      <c r="AJ110" s="13"/>
      <c r="AK110" s="12">
        <v>0.01</v>
      </c>
      <c r="AL110" s="11">
        <f t="shared" si="41"/>
        <v>1.01</v>
      </c>
      <c r="AM110" s="10">
        <f t="shared" si="42"/>
        <v>9903469000</v>
      </c>
      <c r="AN110" s="9"/>
      <c r="AO110" s="8"/>
      <c r="AP110" s="8"/>
      <c r="AQ110" s="8"/>
      <c r="AR110" s="8"/>
      <c r="AS110" s="7"/>
      <c r="AT110" s="6">
        <f t="shared" si="43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33"/>
        <v>1</v>
      </c>
      <c r="O111" s="25">
        <v>15</v>
      </c>
      <c r="P111" s="23">
        <v>15</v>
      </c>
      <c r="Q111" s="24"/>
      <c r="R111" s="24"/>
      <c r="S111" s="23"/>
      <c r="T111" s="20">
        <f t="shared" si="34"/>
        <v>15</v>
      </c>
      <c r="U111" s="19">
        <f t="shared" si="35"/>
        <v>15</v>
      </c>
      <c r="V111" s="22"/>
      <c r="W111" s="22"/>
      <c r="X111" s="22"/>
      <c r="Y111" s="22"/>
      <c r="Z111" s="21"/>
      <c r="AA111" s="20">
        <f t="shared" si="36"/>
        <v>0</v>
      </c>
      <c r="AB111" s="19">
        <f t="shared" si="37"/>
        <v>0</v>
      </c>
      <c r="AC111" s="16">
        <v>20</v>
      </c>
      <c r="AD111" s="18"/>
      <c r="AE111" s="17"/>
      <c r="AF111" s="23">
        <f t="shared" si="38"/>
        <v>15</v>
      </c>
      <c r="AG111" s="16">
        <v>45</v>
      </c>
      <c r="AH111" s="23">
        <f t="shared" si="39"/>
        <v>80</v>
      </c>
      <c r="AI111" s="14">
        <f t="shared" si="40"/>
        <v>0.93</v>
      </c>
      <c r="AJ111" s="13"/>
      <c r="AK111" s="12">
        <v>0.01</v>
      </c>
      <c r="AL111" s="11">
        <f t="shared" si="41"/>
        <v>1.01</v>
      </c>
      <c r="AM111" s="10">
        <f t="shared" si="42"/>
        <v>9903469000</v>
      </c>
      <c r="AN111" s="9"/>
      <c r="AO111" s="8"/>
      <c r="AP111" s="8"/>
      <c r="AQ111" s="8"/>
      <c r="AR111" s="8"/>
      <c r="AS111" s="7"/>
      <c r="AT111" s="6">
        <f t="shared" si="43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33"/>
        <v>1</v>
      </c>
      <c r="O112" s="25">
        <v>15</v>
      </c>
      <c r="P112" s="23">
        <v>15</v>
      </c>
      <c r="Q112" s="24"/>
      <c r="R112" s="24"/>
      <c r="S112" s="23"/>
      <c r="T112" s="20">
        <f t="shared" si="34"/>
        <v>15</v>
      </c>
      <c r="U112" s="19">
        <f t="shared" si="35"/>
        <v>15</v>
      </c>
      <c r="V112" s="22"/>
      <c r="W112" s="22"/>
      <c r="X112" s="22"/>
      <c r="Y112" s="22"/>
      <c r="Z112" s="21"/>
      <c r="AA112" s="20">
        <f t="shared" si="36"/>
        <v>0</v>
      </c>
      <c r="AB112" s="19">
        <f t="shared" si="37"/>
        <v>0</v>
      </c>
      <c r="AC112" s="16">
        <v>20</v>
      </c>
      <c r="AD112" s="18"/>
      <c r="AE112" s="17"/>
      <c r="AF112" s="23">
        <f t="shared" si="38"/>
        <v>15</v>
      </c>
      <c r="AG112" s="16">
        <v>45</v>
      </c>
      <c r="AH112" s="23">
        <f t="shared" si="39"/>
        <v>80</v>
      </c>
      <c r="AI112" s="14">
        <f t="shared" si="40"/>
        <v>0.93</v>
      </c>
      <c r="AJ112" s="13"/>
      <c r="AK112" s="12">
        <v>0.01</v>
      </c>
      <c r="AL112" s="11">
        <f t="shared" si="41"/>
        <v>1.01</v>
      </c>
      <c r="AM112" s="10">
        <f t="shared" si="42"/>
        <v>9903469000</v>
      </c>
      <c r="AN112" s="9"/>
      <c r="AO112" s="8"/>
      <c r="AP112" s="8"/>
      <c r="AQ112" s="8"/>
      <c r="AR112" s="8"/>
      <c r="AS112" s="7"/>
      <c r="AT112" s="6">
        <f t="shared" si="43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33"/>
        <v>1</v>
      </c>
      <c r="O113" s="25">
        <v>15</v>
      </c>
      <c r="P113" s="23">
        <v>15</v>
      </c>
      <c r="Q113" s="24"/>
      <c r="R113" s="24"/>
      <c r="S113" s="23"/>
      <c r="T113" s="20">
        <f t="shared" si="34"/>
        <v>15</v>
      </c>
      <c r="U113" s="19">
        <f t="shared" si="35"/>
        <v>15</v>
      </c>
      <c r="V113" s="22"/>
      <c r="W113" s="22"/>
      <c r="X113" s="22"/>
      <c r="Y113" s="22"/>
      <c r="Z113" s="21"/>
      <c r="AA113" s="20">
        <f t="shared" si="36"/>
        <v>0</v>
      </c>
      <c r="AB113" s="19">
        <f t="shared" si="37"/>
        <v>0</v>
      </c>
      <c r="AC113" s="16">
        <v>20</v>
      </c>
      <c r="AD113" s="18"/>
      <c r="AE113" s="17"/>
      <c r="AF113" s="23">
        <f t="shared" si="38"/>
        <v>15</v>
      </c>
      <c r="AG113" s="16">
        <v>45</v>
      </c>
      <c r="AH113" s="23">
        <f t="shared" si="39"/>
        <v>80</v>
      </c>
      <c r="AI113" s="14">
        <f t="shared" si="40"/>
        <v>0.93</v>
      </c>
      <c r="AJ113" s="13"/>
      <c r="AK113" s="12">
        <v>0.01</v>
      </c>
      <c r="AL113" s="11">
        <f t="shared" si="41"/>
        <v>1.01</v>
      </c>
      <c r="AM113" s="10">
        <f t="shared" si="42"/>
        <v>9903469000</v>
      </c>
      <c r="AN113" s="9"/>
      <c r="AO113" s="8"/>
      <c r="AP113" s="8"/>
      <c r="AQ113" s="8"/>
      <c r="AR113" s="8"/>
      <c r="AS113" s="7"/>
      <c r="AT113" s="6">
        <f t="shared" si="43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33"/>
        <v>1</v>
      </c>
      <c r="O114" s="25">
        <v>15</v>
      </c>
      <c r="P114" s="23">
        <v>15</v>
      </c>
      <c r="Q114" s="24"/>
      <c r="R114" s="24"/>
      <c r="S114" s="23"/>
      <c r="T114" s="20">
        <f t="shared" si="34"/>
        <v>15</v>
      </c>
      <c r="U114" s="19">
        <f t="shared" si="35"/>
        <v>15</v>
      </c>
      <c r="V114" s="22"/>
      <c r="W114" s="22"/>
      <c r="X114" s="22"/>
      <c r="Y114" s="22"/>
      <c r="Z114" s="21"/>
      <c r="AA114" s="20">
        <f t="shared" si="36"/>
        <v>0</v>
      </c>
      <c r="AB114" s="19">
        <f t="shared" si="37"/>
        <v>0</v>
      </c>
      <c r="AC114" s="16">
        <v>20</v>
      </c>
      <c r="AD114" s="18"/>
      <c r="AE114" s="17"/>
      <c r="AF114" s="23">
        <f t="shared" si="38"/>
        <v>15</v>
      </c>
      <c r="AG114" s="16">
        <v>45</v>
      </c>
      <c r="AH114" s="23">
        <f t="shared" si="39"/>
        <v>80</v>
      </c>
      <c r="AI114" s="14">
        <f t="shared" si="40"/>
        <v>0.93</v>
      </c>
      <c r="AJ114" s="13"/>
      <c r="AK114" s="12">
        <v>0.01</v>
      </c>
      <c r="AL114" s="11">
        <f t="shared" si="41"/>
        <v>1.01</v>
      </c>
      <c r="AM114" s="10">
        <f t="shared" si="42"/>
        <v>9903469000</v>
      </c>
      <c r="AN114" s="9"/>
      <c r="AO114" s="8"/>
      <c r="AP114" s="8"/>
      <c r="AQ114" s="8"/>
      <c r="AR114" s="8"/>
      <c r="AS114" s="7"/>
      <c r="AT114" s="6">
        <f t="shared" si="43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33"/>
        <v>1</v>
      </c>
      <c r="O115" s="25">
        <v>15</v>
      </c>
      <c r="P115" s="23">
        <v>15</v>
      </c>
      <c r="Q115" s="24"/>
      <c r="R115" s="24"/>
      <c r="S115" s="23"/>
      <c r="T115" s="20">
        <f t="shared" si="34"/>
        <v>15</v>
      </c>
      <c r="U115" s="19">
        <f t="shared" si="35"/>
        <v>15</v>
      </c>
      <c r="V115" s="22"/>
      <c r="W115" s="22"/>
      <c r="X115" s="22"/>
      <c r="Y115" s="22"/>
      <c r="Z115" s="21"/>
      <c r="AA115" s="20">
        <f t="shared" si="36"/>
        <v>0</v>
      </c>
      <c r="AB115" s="19">
        <f t="shared" si="37"/>
        <v>0</v>
      </c>
      <c r="AC115" s="16">
        <v>20</v>
      </c>
      <c r="AD115" s="18"/>
      <c r="AE115" s="17"/>
      <c r="AF115" s="23">
        <f t="shared" si="38"/>
        <v>15</v>
      </c>
      <c r="AG115" s="16">
        <v>45</v>
      </c>
      <c r="AH115" s="23">
        <f t="shared" si="39"/>
        <v>80</v>
      </c>
      <c r="AI115" s="14">
        <f t="shared" si="40"/>
        <v>0.93</v>
      </c>
      <c r="AJ115" s="13"/>
      <c r="AK115" s="12">
        <v>0.01</v>
      </c>
      <c r="AL115" s="11">
        <f t="shared" si="41"/>
        <v>1.01</v>
      </c>
      <c r="AM115" s="10">
        <f t="shared" si="42"/>
        <v>9903469000</v>
      </c>
      <c r="AN115" s="9"/>
      <c r="AO115" s="8"/>
      <c r="AP115" s="8"/>
      <c r="AQ115" s="8"/>
      <c r="AR115" s="8"/>
      <c r="AS115" s="7"/>
      <c r="AT115" s="6">
        <f t="shared" si="43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33"/>
        <v>1</v>
      </c>
      <c r="O116" s="25">
        <v>15</v>
      </c>
      <c r="P116" s="23">
        <v>15</v>
      </c>
      <c r="Q116" s="24"/>
      <c r="R116" s="24"/>
      <c r="S116" s="23"/>
      <c r="T116" s="20">
        <f t="shared" si="34"/>
        <v>15</v>
      </c>
      <c r="U116" s="19">
        <f t="shared" si="35"/>
        <v>15</v>
      </c>
      <c r="V116" s="22"/>
      <c r="W116" s="22"/>
      <c r="X116" s="22"/>
      <c r="Y116" s="22"/>
      <c r="Z116" s="21"/>
      <c r="AA116" s="20">
        <f t="shared" si="36"/>
        <v>0</v>
      </c>
      <c r="AB116" s="19">
        <f t="shared" si="37"/>
        <v>0</v>
      </c>
      <c r="AC116" s="16">
        <v>20</v>
      </c>
      <c r="AD116" s="18"/>
      <c r="AE116" s="17"/>
      <c r="AF116" s="23">
        <f t="shared" si="38"/>
        <v>15</v>
      </c>
      <c r="AG116" s="16">
        <v>45</v>
      </c>
      <c r="AH116" s="23">
        <f t="shared" si="39"/>
        <v>80</v>
      </c>
      <c r="AI116" s="14">
        <f t="shared" si="40"/>
        <v>0.93</v>
      </c>
      <c r="AJ116" s="13"/>
      <c r="AK116" s="12">
        <v>0.01</v>
      </c>
      <c r="AL116" s="11">
        <f t="shared" si="41"/>
        <v>1.01</v>
      </c>
      <c r="AM116" s="10">
        <f t="shared" si="42"/>
        <v>9903469000</v>
      </c>
      <c r="AN116" s="9"/>
      <c r="AO116" s="8"/>
      <c r="AP116" s="8"/>
      <c r="AQ116" s="8"/>
      <c r="AR116" s="8"/>
      <c r="AS116" s="7"/>
      <c r="AT116" s="6">
        <f t="shared" si="43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33"/>
        <v>1</v>
      </c>
      <c r="O117" s="25">
        <v>15</v>
      </c>
      <c r="P117" s="23">
        <v>15</v>
      </c>
      <c r="Q117" s="24"/>
      <c r="R117" s="24"/>
      <c r="S117" s="23"/>
      <c r="T117" s="20">
        <f t="shared" si="34"/>
        <v>15</v>
      </c>
      <c r="U117" s="19">
        <f t="shared" si="35"/>
        <v>15</v>
      </c>
      <c r="V117" s="22"/>
      <c r="W117" s="22"/>
      <c r="X117" s="22"/>
      <c r="Y117" s="22"/>
      <c r="Z117" s="21"/>
      <c r="AA117" s="20">
        <f t="shared" si="36"/>
        <v>0</v>
      </c>
      <c r="AB117" s="19">
        <f t="shared" si="37"/>
        <v>0</v>
      </c>
      <c r="AC117" s="16">
        <v>20</v>
      </c>
      <c r="AD117" s="18"/>
      <c r="AE117" s="17"/>
      <c r="AF117" s="23">
        <f t="shared" si="38"/>
        <v>15</v>
      </c>
      <c r="AG117" s="16">
        <v>45</v>
      </c>
      <c r="AH117" s="23">
        <f t="shared" si="39"/>
        <v>80</v>
      </c>
      <c r="AI117" s="14">
        <f t="shared" si="40"/>
        <v>0.93</v>
      </c>
      <c r="AJ117" s="13"/>
      <c r="AK117" s="12">
        <v>0.01</v>
      </c>
      <c r="AL117" s="11">
        <f t="shared" si="41"/>
        <v>1.01</v>
      </c>
      <c r="AM117" s="10">
        <f t="shared" si="42"/>
        <v>9903469000</v>
      </c>
      <c r="AN117" s="9"/>
      <c r="AO117" s="8"/>
      <c r="AP117" s="8"/>
      <c r="AQ117" s="8"/>
      <c r="AR117" s="8"/>
      <c r="AS117" s="7"/>
      <c r="AT117" s="6">
        <f t="shared" si="43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33"/>
        <v>1</v>
      </c>
      <c r="O118" s="25">
        <v>15</v>
      </c>
      <c r="P118" s="23">
        <v>15</v>
      </c>
      <c r="Q118" s="24"/>
      <c r="R118" s="24"/>
      <c r="S118" s="23"/>
      <c r="T118" s="20">
        <f t="shared" si="34"/>
        <v>15</v>
      </c>
      <c r="U118" s="19">
        <f t="shared" si="35"/>
        <v>15</v>
      </c>
      <c r="V118" s="22"/>
      <c r="W118" s="22"/>
      <c r="X118" s="22"/>
      <c r="Y118" s="22"/>
      <c r="Z118" s="21"/>
      <c r="AA118" s="20">
        <f t="shared" si="36"/>
        <v>0</v>
      </c>
      <c r="AB118" s="19">
        <f t="shared" si="37"/>
        <v>0</v>
      </c>
      <c r="AC118" s="16">
        <v>20</v>
      </c>
      <c r="AD118" s="18"/>
      <c r="AE118" s="17"/>
      <c r="AF118" s="23">
        <f t="shared" si="38"/>
        <v>15</v>
      </c>
      <c r="AG118" s="16">
        <v>45</v>
      </c>
      <c r="AH118" s="23">
        <f t="shared" si="39"/>
        <v>80</v>
      </c>
      <c r="AI118" s="14">
        <f t="shared" si="40"/>
        <v>0.93</v>
      </c>
      <c r="AJ118" s="13"/>
      <c r="AK118" s="12">
        <v>0.01</v>
      </c>
      <c r="AL118" s="11">
        <f t="shared" si="41"/>
        <v>1.01</v>
      </c>
      <c r="AM118" s="10">
        <f t="shared" si="42"/>
        <v>9903469000</v>
      </c>
      <c r="AN118" s="9"/>
      <c r="AO118" s="8"/>
      <c r="AP118" s="8"/>
      <c r="AQ118" s="8"/>
      <c r="AR118" s="8"/>
      <c r="AS118" s="7"/>
      <c r="AT118" s="6">
        <f t="shared" si="43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33"/>
        <v>1</v>
      </c>
      <c r="O119" s="25">
        <v>15</v>
      </c>
      <c r="P119" s="23">
        <v>15</v>
      </c>
      <c r="Q119" s="24"/>
      <c r="R119" s="24"/>
      <c r="S119" s="23"/>
      <c r="T119" s="20">
        <f t="shared" si="34"/>
        <v>15</v>
      </c>
      <c r="U119" s="19">
        <f t="shared" si="35"/>
        <v>15</v>
      </c>
      <c r="V119" s="22"/>
      <c r="W119" s="22"/>
      <c r="X119" s="22"/>
      <c r="Y119" s="22"/>
      <c r="Z119" s="21"/>
      <c r="AA119" s="20">
        <f t="shared" si="36"/>
        <v>0</v>
      </c>
      <c r="AB119" s="19">
        <f t="shared" si="37"/>
        <v>0</v>
      </c>
      <c r="AC119" s="16">
        <v>20</v>
      </c>
      <c r="AD119" s="18"/>
      <c r="AE119" s="17"/>
      <c r="AF119" s="23">
        <f t="shared" si="38"/>
        <v>15</v>
      </c>
      <c r="AG119" s="16">
        <v>45</v>
      </c>
      <c r="AH119" s="23">
        <f t="shared" si="39"/>
        <v>80</v>
      </c>
      <c r="AI119" s="14">
        <f t="shared" si="40"/>
        <v>0.93</v>
      </c>
      <c r="AJ119" s="13"/>
      <c r="AK119" s="12">
        <v>0.01</v>
      </c>
      <c r="AL119" s="11">
        <f t="shared" si="41"/>
        <v>1.01</v>
      </c>
      <c r="AM119" s="10">
        <f t="shared" si="42"/>
        <v>9903469000</v>
      </c>
      <c r="AN119" s="9"/>
      <c r="AO119" s="8"/>
      <c r="AP119" s="8"/>
      <c r="AQ119" s="8"/>
      <c r="AR119" s="8"/>
      <c r="AS119" s="7"/>
      <c r="AT119" s="6">
        <f t="shared" si="43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33"/>
        <v>1</v>
      </c>
      <c r="O120" s="25">
        <v>15</v>
      </c>
      <c r="P120" s="23">
        <v>15</v>
      </c>
      <c r="Q120" s="24"/>
      <c r="R120" s="24"/>
      <c r="S120" s="23"/>
      <c r="T120" s="20">
        <f t="shared" si="34"/>
        <v>15</v>
      </c>
      <c r="U120" s="19">
        <f t="shared" si="35"/>
        <v>15</v>
      </c>
      <c r="V120" s="22"/>
      <c r="W120" s="22"/>
      <c r="X120" s="22"/>
      <c r="Y120" s="22"/>
      <c r="Z120" s="21"/>
      <c r="AA120" s="20">
        <f t="shared" si="36"/>
        <v>0</v>
      </c>
      <c r="AB120" s="19">
        <f t="shared" si="37"/>
        <v>0</v>
      </c>
      <c r="AC120" s="16">
        <v>20</v>
      </c>
      <c r="AD120" s="18"/>
      <c r="AE120" s="17"/>
      <c r="AF120" s="23">
        <f t="shared" si="38"/>
        <v>15</v>
      </c>
      <c r="AG120" s="16">
        <v>45</v>
      </c>
      <c r="AH120" s="23">
        <f t="shared" si="39"/>
        <v>80</v>
      </c>
      <c r="AI120" s="14">
        <f t="shared" si="40"/>
        <v>0.93</v>
      </c>
      <c r="AJ120" s="13"/>
      <c r="AK120" s="12">
        <v>0.01</v>
      </c>
      <c r="AL120" s="11">
        <f t="shared" si="41"/>
        <v>1.01</v>
      </c>
      <c r="AM120" s="10">
        <f t="shared" si="42"/>
        <v>9903469000</v>
      </c>
      <c r="AN120" s="9"/>
      <c r="AO120" s="8"/>
      <c r="AP120" s="8"/>
      <c r="AQ120" s="8"/>
      <c r="AR120" s="8"/>
      <c r="AS120" s="7"/>
      <c r="AT120" s="6">
        <f t="shared" si="43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33"/>
        <v>1</v>
      </c>
      <c r="O121" s="25">
        <v>15</v>
      </c>
      <c r="P121" s="23">
        <v>15</v>
      </c>
      <c r="Q121" s="24"/>
      <c r="R121" s="24"/>
      <c r="S121" s="23"/>
      <c r="T121" s="20">
        <f t="shared" si="34"/>
        <v>15</v>
      </c>
      <c r="U121" s="19">
        <f t="shared" si="35"/>
        <v>15</v>
      </c>
      <c r="V121" s="22"/>
      <c r="W121" s="22"/>
      <c r="X121" s="22"/>
      <c r="Y121" s="22"/>
      <c r="Z121" s="21"/>
      <c r="AA121" s="20">
        <f t="shared" si="36"/>
        <v>0</v>
      </c>
      <c r="AB121" s="19">
        <f t="shared" si="37"/>
        <v>0</v>
      </c>
      <c r="AC121" s="16">
        <v>20</v>
      </c>
      <c r="AD121" s="18"/>
      <c r="AE121" s="17"/>
      <c r="AF121" s="23">
        <f t="shared" si="38"/>
        <v>15</v>
      </c>
      <c r="AG121" s="16">
        <v>45</v>
      </c>
      <c r="AH121" s="23">
        <f t="shared" si="39"/>
        <v>80</v>
      </c>
      <c r="AI121" s="14">
        <f t="shared" si="40"/>
        <v>0.93</v>
      </c>
      <c r="AJ121" s="13"/>
      <c r="AK121" s="12">
        <v>0.01</v>
      </c>
      <c r="AL121" s="11">
        <f t="shared" si="41"/>
        <v>1.01</v>
      </c>
      <c r="AM121" s="10">
        <f t="shared" si="42"/>
        <v>9903469000</v>
      </c>
      <c r="AN121" s="9"/>
      <c r="AO121" s="8"/>
      <c r="AP121" s="8"/>
      <c r="AQ121" s="8"/>
      <c r="AR121" s="8"/>
      <c r="AS121" s="7"/>
      <c r="AT121" s="6">
        <f t="shared" si="43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33"/>
        <v>1</v>
      </c>
      <c r="O122" s="25">
        <v>15</v>
      </c>
      <c r="P122" s="23">
        <v>15</v>
      </c>
      <c r="Q122" s="24"/>
      <c r="R122" s="24"/>
      <c r="S122" s="23"/>
      <c r="T122" s="20">
        <f t="shared" si="34"/>
        <v>15</v>
      </c>
      <c r="U122" s="19">
        <f t="shared" si="35"/>
        <v>15</v>
      </c>
      <c r="V122" s="22"/>
      <c r="W122" s="22"/>
      <c r="X122" s="22"/>
      <c r="Y122" s="22"/>
      <c r="Z122" s="21"/>
      <c r="AA122" s="20">
        <f t="shared" si="36"/>
        <v>0</v>
      </c>
      <c r="AB122" s="19">
        <f t="shared" si="37"/>
        <v>0</v>
      </c>
      <c r="AC122" s="16">
        <v>20</v>
      </c>
      <c r="AD122" s="18"/>
      <c r="AE122" s="17"/>
      <c r="AF122" s="23">
        <f t="shared" si="38"/>
        <v>15</v>
      </c>
      <c r="AG122" s="16">
        <v>45</v>
      </c>
      <c r="AH122" s="23">
        <f t="shared" si="39"/>
        <v>80</v>
      </c>
      <c r="AI122" s="14">
        <f t="shared" si="40"/>
        <v>0.93</v>
      </c>
      <c r="AJ122" s="13"/>
      <c r="AK122" s="12">
        <v>0.01</v>
      </c>
      <c r="AL122" s="11">
        <f t="shared" si="41"/>
        <v>1.01</v>
      </c>
      <c r="AM122" s="10">
        <f t="shared" si="42"/>
        <v>9903469000</v>
      </c>
      <c r="AN122" s="9"/>
      <c r="AO122" s="8"/>
      <c r="AP122" s="8"/>
      <c r="AQ122" s="8"/>
      <c r="AR122" s="8"/>
      <c r="AS122" s="7"/>
      <c r="AT122" s="6">
        <f t="shared" si="43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33"/>
        <v>1</v>
      </c>
      <c r="O123" s="25">
        <v>15</v>
      </c>
      <c r="P123" s="23">
        <v>15</v>
      </c>
      <c r="Q123" s="24"/>
      <c r="R123" s="24"/>
      <c r="S123" s="23"/>
      <c r="T123" s="20">
        <f t="shared" si="34"/>
        <v>15</v>
      </c>
      <c r="U123" s="19">
        <f t="shared" si="35"/>
        <v>15</v>
      </c>
      <c r="V123" s="22"/>
      <c r="W123" s="22"/>
      <c r="X123" s="22"/>
      <c r="Y123" s="22"/>
      <c r="Z123" s="21"/>
      <c r="AA123" s="20">
        <f t="shared" si="36"/>
        <v>0</v>
      </c>
      <c r="AB123" s="19">
        <f t="shared" si="37"/>
        <v>0</v>
      </c>
      <c r="AC123" s="16">
        <v>20</v>
      </c>
      <c r="AD123" s="18"/>
      <c r="AE123" s="17"/>
      <c r="AF123" s="23">
        <f t="shared" si="38"/>
        <v>15</v>
      </c>
      <c r="AG123" s="16">
        <v>45</v>
      </c>
      <c r="AH123" s="23">
        <f t="shared" si="39"/>
        <v>80</v>
      </c>
      <c r="AI123" s="14">
        <f t="shared" si="40"/>
        <v>0.93</v>
      </c>
      <c r="AJ123" s="13"/>
      <c r="AK123" s="12">
        <v>0.01</v>
      </c>
      <c r="AL123" s="11">
        <f t="shared" si="41"/>
        <v>1.01</v>
      </c>
      <c r="AM123" s="10">
        <f t="shared" si="42"/>
        <v>9903469000</v>
      </c>
      <c r="AN123" s="9"/>
      <c r="AO123" s="8"/>
      <c r="AP123" s="8"/>
      <c r="AQ123" s="8"/>
      <c r="AR123" s="8"/>
      <c r="AS123" s="7"/>
      <c r="AT123" s="6">
        <f t="shared" si="43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33"/>
        <v>1</v>
      </c>
      <c r="O124" s="25">
        <v>15</v>
      </c>
      <c r="P124" s="23">
        <v>15</v>
      </c>
      <c r="Q124" s="24"/>
      <c r="R124" s="24"/>
      <c r="S124" s="23"/>
      <c r="T124" s="20">
        <f t="shared" si="34"/>
        <v>15</v>
      </c>
      <c r="U124" s="19">
        <f t="shared" si="35"/>
        <v>15</v>
      </c>
      <c r="V124" s="22"/>
      <c r="W124" s="22"/>
      <c r="X124" s="22"/>
      <c r="Y124" s="22"/>
      <c r="Z124" s="21"/>
      <c r="AA124" s="20">
        <f t="shared" si="36"/>
        <v>0</v>
      </c>
      <c r="AB124" s="19">
        <f t="shared" si="37"/>
        <v>0</v>
      </c>
      <c r="AC124" s="16">
        <v>20</v>
      </c>
      <c r="AD124" s="18"/>
      <c r="AE124" s="17"/>
      <c r="AF124" s="23">
        <f t="shared" si="38"/>
        <v>15</v>
      </c>
      <c r="AG124" s="16">
        <v>45</v>
      </c>
      <c r="AH124" s="23">
        <f t="shared" si="39"/>
        <v>80</v>
      </c>
      <c r="AI124" s="14">
        <f t="shared" si="40"/>
        <v>0.93</v>
      </c>
      <c r="AJ124" s="13"/>
      <c r="AK124" s="12">
        <v>0.01</v>
      </c>
      <c r="AL124" s="11">
        <f t="shared" si="41"/>
        <v>1.01</v>
      </c>
      <c r="AM124" s="10">
        <f t="shared" si="42"/>
        <v>9903469000</v>
      </c>
      <c r="AN124" s="9"/>
      <c r="AO124" s="8"/>
      <c r="AP124" s="8"/>
      <c r="AQ124" s="8"/>
      <c r="AR124" s="8"/>
      <c r="AS124" s="7"/>
      <c r="AT124" s="6">
        <f t="shared" si="43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33"/>
        <v>1</v>
      </c>
      <c r="O125" s="25">
        <v>15</v>
      </c>
      <c r="P125" s="23">
        <v>15</v>
      </c>
      <c r="Q125" s="24"/>
      <c r="R125" s="24"/>
      <c r="S125" s="23"/>
      <c r="T125" s="20">
        <f t="shared" si="34"/>
        <v>15</v>
      </c>
      <c r="U125" s="19">
        <f t="shared" si="35"/>
        <v>15</v>
      </c>
      <c r="V125" s="22"/>
      <c r="W125" s="22"/>
      <c r="X125" s="22"/>
      <c r="Y125" s="22"/>
      <c r="Z125" s="21"/>
      <c r="AA125" s="20">
        <f t="shared" si="36"/>
        <v>0</v>
      </c>
      <c r="AB125" s="19">
        <f t="shared" si="37"/>
        <v>0</v>
      </c>
      <c r="AC125" s="16">
        <v>20</v>
      </c>
      <c r="AD125" s="18"/>
      <c r="AE125" s="17"/>
      <c r="AF125" s="23">
        <f t="shared" si="38"/>
        <v>15</v>
      </c>
      <c r="AG125" s="16">
        <v>45</v>
      </c>
      <c r="AH125" s="23">
        <f t="shared" si="39"/>
        <v>80</v>
      </c>
      <c r="AI125" s="14">
        <f t="shared" si="40"/>
        <v>0.93</v>
      </c>
      <c r="AJ125" s="13"/>
      <c r="AK125" s="12">
        <v>0.01</v>
      </c>
      <c r="AL125" s="11">
        <f t="shared" si="41"/>
        <v>1.01</v>
      </c>
      <c r="AM125" s="10">
        <f t="shared" si="42"/>
        <v>9903469000</v>
      </c>
      <c r="AN125" s="9"/>
      <c r="AO125" s="8"/>
      <c r="AP125" s="8"/>
      <c r="AQ125" s="8"/>
      <c r="AR125" s="8"/>
      <c r="AS125" s="7"/>
      <c r="AT125" s="6">
        <f t="shared" si="43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33"/>
        <v>1</v>
      </c>
      <c r="O126" s="25">
        <v>15</v>
      </c>
      <c r="P126" s="23">
        <v>15</v>
      </c>
      <c r="Q126" s="24"/>
      <c r="R126" s="24"/>
      <c r="S126" s="23"/>
      <c r="T126" s="20">
        <f t="shared" si="34"/>
        <v>15</v>
      </c>
      <c r="U126" s="19">
        <f t="shared" si="35"/>
        <v>15</v>
      </c>
      <c r="V126" s="22"/>
      <c r="W126" s="22"/>
      <c r="X126" s="22"/>
      <c r="Y126" s="22"/>
      <c r="Z126" s="21"/>
      <c r="AA126" s="20">
        <f t="shared" si="36"/>
        <v>0</v>
      </c>
      <c r="AB126" s="19">
        <f t="shared" si="37"/>
        <v>0</v>
      </c>
      <c r="AC126" s="16">
        <v>20</v>
      </c>
      <c r="AD126" s="18"/>
      <c r="AE126" s="17"/>
      <c r="AF126" s="23">
        <f t="shared" si="38"/>
        <v>15</v>
      </c>
      <c r="AG126" s="16">
        <v>45</v>
      </c>
      <c r="AH126" s="23">
        <f t="shared" si="39"/>
        <v>80</v>
      </c>
      <c r="AI126" s="14">
        <f t="shared" si="40"/>
        <v>0.93</v>
      </c>
      <c r="AJ126" s="13"/>
      <c r="AK126" s="12">
        <v>0.01</v>
      </c>
      <c r="AL126" s="11">
        <f t="shared" si="41"/>
        <v>1.01</v>
      </c>
      <c r="AM126" s="10">
        <f t="shared" si="42"/>
        <v>9903469000</v>
      </c>
      <c r="AN126" s="9"/>
      <c r="AO126" s="8"/>
      <c r="AP126" s="8"/>
      <c r="AQ126" s="8"/>
      <c r="AR126" s="8"/>
      <c r="AS126" s="7"/>
      <c r="AT126" s="6">
        <f t="shared" si="43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33"/>
        <v>1</v>
      </c>
      <c r="O127" s="25">
        <v>15</v>
      </c>
      <c r="P127" s="23">
        <v>15</v>
      </c>
      <c r="Q127" s="24"/>
      <c r="R127" s="24"/>
      <c r="S127" s="23"/>
      <c r="T127" s="20">
        <f t="shared" si="34"/>
        <v>15</v>
      </c>
      <c r="U127" s="19">
        <f t="shared" si="35"/>
        <v>15</v>
      </c>
      <c r="V127" s="22"/>
      <c r="W127" s="22"/>
      <c r="X127" s="22"/>
      <c r="Y127" s="22"/>
      <c r="Z127" s="21"/>
      <c r="AA127" s="20">
        <f t="shared" si="36"/>
        <v>0</v>
      </c>
      <c r="AB127" s="19">
        <f t="shared" si="37"/>
        <v>0</v>
      </c>
      <c r="AC127" s="16">
        <v>20</v>
      </c>
      <c r="AD127" s="18"/>
      <c r="AE127" s="17"/>
      <c r="AF127" s="23">
        <f t="shared" si="38"/>
        <v>15</v>
      </c>
      <c r="AG127" s="16">
        <v>45</v>
      </c>
      <c r="AH127" s="23">
        <f t="shared" si="39"/>
        <v>80</v>
      </c>
      <c r="AI127" s="14">
        <f t="shared" si="40"/>
        <v>0.93</v>
      </c>
      <c r="AJ127" s="13"/>
      <c r="AK127" s="12">
        <v>0.01</v>
      </c>
      <c r="AL127" s="11">
        <f t="shared" si="41"/>
        <v>1.01</v>
      </c>
      <c r="AM127" s="10">
        <f t="shared" si="42"/>
        <v>9903469000</v>
      </c>
      <c r="AN127" s="9"/>
      <c r="AO127" s="8"/>
      <c r="AP127" s="8"/>
      <c r="AQ127" s="8"/>
      <c r="AR127" s="8"/>
      <c r="AS127" s="7"/>
      <c r="AT127" s="6">
        <f t="shared" si="43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33"/>
        <v>1</v>
      </c>
      <c r="O128" s="25">
        <v>15</v>
      </c>
      <c r="P128" s="23">
        <v>15</v>
      </c>
      <c r="Q128" s="24"/>
      <c r="R128" s="24"/>
      <c r="S128" s="23"/>
      <c r="T128" s="20">
        <f t="shared" si="34"/>
        <v>15</v>
      </c>
      <c r="U128" s="19">
        <f t="shared" si="35"/>
        <v>15</v>
      </c>
      <c r="V128" s="22"/>
      <c r="W128" s="22"/>
      <c r="X128" s="22"/>
      <c r="Y128" s="22"/>
      <c r="Z128" s="21"/>
      <c r="AA128" s="20">
        <f t="shared" si="36"/>
        <v>0</v>
      </c>
      <c r="AB128" s="19">
        <f t="shared" si="37"/>
        <v>0</v>
      </c>
      <c r="AC128" s="16">
        <v>20</v>
      </c>
      <c r="AD128" s="18"/>
      <c r="AE128" s="17"/>
      <c r="AF128" s="23">
        <f t="shared" si="38"/>
        <v>15</v>
      </c>
      <c r="AG128" s="16">
        <v>45</v>
      </c>
      <c r="AH128" s="23">
        <f t="shared" si="39"/>
        <v>80</v>
      </c>
      <c r="AI128" s="14">
        <f t="shared" si="40"/>
        <v>0.93</v>
      </c>
      <c r="AJ128" s="13"/>
      <c r="AK128" s="12">
        <v>0.01</v>
      </c>
      <c r="AL128" s="11">
        <f t="shared" si="41"/>
        <v>1.01</v>
      </c>
      <c r="AM128" s="10">
        <f t="shared" si="42"/>
        <v>9903469000</v>
      </c>
      <c r="AN128" s="9"/>
      <c r="AO128" s="8"/>
      <c r="AP128" s="8"/>
      <c r="AQ128" s="8"/>
      <c r="AR128" s="8"/>
      <c r="AS128" s="7"/>
      <c r="AT128" s="6">
        <f t="shared" si="43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33"/>
        <v>1</v>
      </c>
      <c r="O129" s="25">
        <v>15</v>
      </c>
      <c r="P129" s="23">
        <v>15</v>
      </c>
      <c r="Q129" s="24"/>
      <c r="R129" s="24"/>
      <c r="S129" s="23"/>
      <c r="T129" s="20">
        <f t="shared" si="34"/>
        <v>15</v>
      </c>
      <c r="U129" s="19">
        <f t="shared" si="35"/>
        <v>15</v>
      </c>
      <c r="V129" s="22"/>
      <c r="W129" s="22"/>
      <c r="X129" s="22"/>
      <c r="Y129" s="22"/>
      <c r="Z129" s="21"/>
      <c r="AA129" s="20">
        <f t="shared" si="36"/>
        <v>0</v>
      </c>
      <c r="AB129" s="19">
        <f t="shared" si="37"/>
        <v>0</v>
      </c>
      <c r="AC129" s="16">
        <v>20</v>
      </c>
      <c r="AD129" s="18"/>
      <c r="AE129" s="17"/>
      <c r="AF129" s="23">
        <f t="shared" si="38"/>
        <v>15</v>
      </c>
      <c r="AG129" s="16">
        <v>45</v>
      </c>
      <c r="AH129" s="23">
        <f t="shared" si="39"/>
        <v>80</v>
      </c>
      <c r="AI129" s="14">
        <f t="shared" si="40"/>
        <v>0.93</v>
      </c>
      <c r="AJ129" s="13"/>
      <c r="AK129" s="12">
        <v>0.01</v>
      </c>
      <c r="AL129" s="11">
        <f t="shared" si="41"/>
        <v>1.01</v>
      </c>
      <c r="AM129" s="10">
        <f t="shared" si="42"/>
        <v>9903469000</v>
      </c>
      <c r="AN129" s="9"/>
      <c r="AO129" s="8"/>
      <c r="AP129" s="8"/>
      <c r="AQ129" s="8"/>
      <c r="AR129" s="8"/>
      <c r="AS129" s="7"/>
      <c r="AT129" s="6">
        <f t="shared" si="43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33"/>
        <v>1</v>
      </c>
      <c r="O130" s="25">
        <v>15</v>
      </c>
      <c r="P130" s="23">
        <v>15</v>
      </c>
      <c r="Q130" s="24"/>
      <c r="R130" s="24"/>
      <c r="S130" s="23"/>
      <c r="T130" s="20">
        <f t="shared" si="34"/>
        <v>15</v>
      </c>
      <c r="U130" s="19">
        <f t="shared" si="35"/>
        <v>15</v>
      </c>
      <c r="V130" s="22"/>
      <c r="W130" s="22"/>
      <c r="X130" s="22"/>
      <c r="Y130" s="22"/>
      <c r="Z130" s="21"/>
      <c r="AA130" s="20">
        <f t="shared" si="36"/>
        <v>0</v>
      </c>
      <c r="AB130" s="19">
        <f t="shared" si="37"/>
        <v>0</v>
      </c>
      <c r="AC130" s="16">
        <v>20</v>
      </c>
      <c r="AD130" s="18"/>
      <c r="AE130" s="17"/>
      <c r="AF130" s="23">
        <f t="shared" si="38"/>
        <v>15</v>
      </c>
      <c r="AG130" s="16">
        <v>45</v>
      </c>
      <c r="AH130" s="23">
        <f t="shared" si="39"/>
        <v>80</v>
      </c>
      <c r="AI130" s="14">
        <f t="shared" si="40"/>
        <v>0.93</v>
      </c>
      <c r="AJ130" s="13"/>
      <c r="AK130" s="12">
        <v>0.01</v>
      </c>
      <c r="AL130" s="11">
        <f t="shared" si="41"/>
        <v>1.01</v>
      </c>
      <c r="AM130" s="10">
        <f t="shared" si="42"/>
        <v>9903469000</v>
      </c>
      <c r="AN130" s="9"/>
      <c r="AO130" s="8"/>
      <c r="AP130" s="8"/>
      <c r="AQ130" s="8"/>
      <c r="AR130" s="8"/>
      <c r="AS130" s="7"/>
      <c r="AT130" s="6">
        <f t="shared" si="43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33"/>
        <v>1</v>
      </c>
      <c r="O131" s="25">
        <v>15</v>
      </c>
      <c r="P131" s="23">
        <v>15</v>
      </c>
      <c r="Q131" s="24"/>
      <c r="R131" s="24"/>
      <c r="S131" s="23"/>
      <c r="T131" s="20">
        <f t="shared" si="34"/>
        <v>15</v>
      </c>
      <c r="U131" s="19">
        <f t="shared" si="35"/>
        <v>15</v>
      </c>
      <c r="V131" s="22"/>
      <c r="W131" s="22"/>
      <c r="X131" s="22"/>
      <c r="Y131" s="22"/>
      <c r="Z131" s="21"/>
      <c r="AA131" s="20">
        <f t="shared" si="36"/>
        <v>0</v>
      </c>
      <c r="AB131" s="19">
        <f t="shared" si="37"/>
        <v>0</v>
      </c>
      <c r="AC131" s="16">
        <v>20</v>
      </c>
      <c r="AD131" s="18"/>
      <c r="AE131" s="17"/>
      <c r="AF131" s="23">
        <f t="shared" si="38"/>
        <v>15</v>
      </c>
      <c r="AG131" s="16">
        <v>45</v>
      </c>
      <c r="AH131" s="23">
        <f t="shared" si="39"/>
        <v>80</v>
      </c>
      <c r="AI131" s="14">
        <f t="shared" si="40"/>
        <v>0.93</v>
      </c>
      <c r="AJ131" s="13"/>
      <c r="AK131" s="12">
        <v>0.01</v>
      </c>
      <c r="AL131" s="11">
        <f t="shared" si="41"/>
        <v>1.01</v>
      </c>
      <c r="AM131" s="10">
        <f t="shared" si="42"/>
        <v>9903469000</v>
      </c>
      <c r="AN131" s="9"/>
      <c r="AO131" s="8"/>
      <c r="AP131" s="8"/>
      <c r="AQ131" s="8"/>
      <c r="AR131" s="8"/>
      <c r="AS131" s="7"/>
      <c r="AT131" s="6">
        <f t="shared" si="43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33"/>
        <v>1</v>
      </c>
      <c r="O132" s="25">
        <v>15</v>
      </c>
      <c r="P132" s="23">
        <v>15</v>
      </c>
      <c r="Q132" s="24"/>
      <c r="R132" s="24"/>
      <c r="S132" s="23"/>
      <c r="T132" s="20">
        <f t="shared" si="34"/>
        <v>15</v>
      </c>
      <c r="U132" s="19">
        <f t="shared" si="35"/>
        <v>15</v>
      </c>
      <c r="V132" s="22"/>
      <c r="W132" s="22"/>
      <c r="X132" s="22"/>
      <c r="Y132" s="22"/>
      <c r="Z132" s="21"/>
      <c r="AA132" s="20">
        <f t="shared" si="36"/>
        <v>0</v>
      </c>
      <c r="AB132" s="19">
        <f t="shared" si="37"/>
        <v>0</v>
      </c>
      <c r="AC132" s="16">
        <v>20</v>
      </c>
      <c r="AD132" s="18"/>
      <c r="AE132" s="17"/>
      <c r="AF132" s="23">
        <f t="shared" si="38"/>
        <v>15</v>
      </c>
      <c r="AG132" s="16">
        <v>45</v>
      </c>
      <c r="AH132" s="23">
        <f t="shared" si="39"/>
        <v>80</v>
      </c>
      <c r="AI132" s="14">
        <f t="shared" si="40"/>
        <v>0.93</v>
      </c>
      <c r="AJ132" s="13"/>
      <c r="AK132" s="12">
        <v>0.01</v>
      </c>
      <c r="AL132" s="11">
        <f t="shared" si="41"/>
        <v>1.01</v>
      </c>
      <c r="AM132" s="10">
        <f t="shared" si="42"/>
        <v>9903469000</v>
      </c>
      <c r="AN132" s="9"/>
      <c r="AO132" s="8"/>
      <c r="AP132" s="8"/>
      <c r="AQ132" s="8"/>
      <c r="AR132" s="8"/>
      <c r="AS132" s="7"/>
      <c r="AT132" s="6">
        <f t="shared" si="43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44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45">ROUND(((O133*I133)+(P133*J133)+(Q133*K133)+(R133*L133)+(S133*M133)),2)</f>
        <v>15</v>
      </c>
      <c r="U133" s="19">
        <f t="shared" ref="U133:U140" si="46">IF(T133&gt;=15,15,T133)</f>
        <v>15</v>
      </c>
      <c r="V133" s="22"/>
      <c r="W133" s="22"/>
      <c r="X133" s="22"/>
      <c r="Y133" s="22"/>
      <c r="Z133" s="21"/>
      <c r="AA133" s="20">
        <f t="shared" ref="AA133:AA140" si="47">ROUND((((V133*I133)+(W133*J133)+(X133*K133)+(Y133*L133)+(Z133*M133))/$I$2*15),2)</f>
        <v>0</v>
      </c>
      <c r="AB133" s="19">
        <f t="shared" ref="AB133:AB140" si="48">IF(AA133&gt;=15,15,AA133)</f>
        <v>0</v>
      </c>
      <c r="AC133" s="16">
        <v>20</v>
      </c>
      <c r="AD133" s="18"/>
      <c r="AE133" s="17"/>
      <c r="AF133" s="23">
        <f t="shared" ref="AF133:AF140" si="49">IF((U133+AB133+AD133)&gt;=30,30,(U133+AB133+AD133))</f>
        <v>15</v>
      </c>
      <c r="AG133" s="16">
        <v>45</v>
      </c>
      <c r="AH133" s="23">
        <f t="shared" ref="AH133:AH140" si="50">AC133+AF133+AG133+AE133</f>
        <v>80</v>
      </c>
      <c r="AI133" s="14">
        <f t="shared" ref="AI133:AI140" si="51">-((50-((176+(45+(30-AF133)))))/200)</f>
        <v>0.93</v>
      </c>
      <c r="AJ133" s="13"/>
      <c r="AK133" s="12">
        <v>0.01</v>
      </c>
      <c r="AL133" s="11">
        <f t="shared" ref="AL133:AL140" si="52">100%+AK133</f>
        <v>1.01</v>
      </c>
      <c r="AM133" s="10">
        <f t="shared" ref="AM133:AM140" si="53">ROUNDUP($D$2*AI133*AL133,-3)</f>
        <v>9903469000</v>
      </c>
      <c r="AN133" s="9"/>
      <c r="AO133" s="8"/>
      <c r="AP133" s="8"/>
      <c r="AQ133" s="8"/>
      <c r="AR133" s="8"/>
      <c r="AS133" s="7"/>
      <c r="AT133" s="6">
        <f t="shared" ref="AT133:AT140" si="54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44"/>
        <v>1</v>
      </c>
      <c r="O134" s="25">
        <v>15</v>
      </c>
      <c r="P134" s="23">
        <v>15</v>
      </c>
      <c r="Q134" s="24"/>
      <c r="R134" s="24"/>
      <c r="S134" s="23"/>
      <c r="T134" s="20">
        <f t="shared" si="45"/>
        <v>15</v>
      </c>
      <c r="U134" s="19">
        <f t="shared" si="46"/>
        <v>15</v>
      </c>
      <c r="V134" s="22"/>
      <c r="W134" s="22"/>
      <c r="X134" s="22"/>
      <c r="Y134" s="22"/>
      <c r="Z134" s="21"/>
      <c r="AA134" s="20">
        <f t="shared" si="47"/>
        <v>0</v>
      </c>
      <c r="AB134" s="19">
        <f t="shared" si="48"/>
        <v>0</v>
      </c>
      <c r="AC134" s="16">
        <v>20</v>
      </c>
      <c r="AD134" s="18"/>
      <c r="AE134" s="17"/>
      <c r="AF134" s="23">
        <f t="shared" si="49"/>
        <v>15</v>
      </c>
      <c r="AG134" s="16">
        <v>45</v>
      </c>
      <c r="AH134" s="23">
        <f t="shared" si="50"/>
        <v>80</v>
      </c>
      <c r="AI134" s="14">
        <f t="shared" si="51"/>
        <v>0.93</v>
      </c>
      <c r="AJ134" s="13"/>
      <c r="AK134" s="12">
        <v>0.01</v>
      </c>
      <c r="AL134" s="11">
        <f t="shared" si="52"/>
        <v>1.01</v>
      </c>
      <c r="AM134" s="10">
        <f t="shared" si="53"/>
        <v>9903469000</v>
      </c>
      <c r="AN134" s="9"/>
      <c r="AO134" s="8"/>
      <c r="AP134" s="8"/>
      <c r="AQ134" s="8"/>
      <c r="AR134" s="8"/>
      <c r="AS134" s="7"/>
      <c r="AT134" s="6">
        <f t="shared" si="54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44"/>
        <v>1</v>
      </c>
      <c r="O135" s="25">
        <v>15</v>
      </c>
      <c r="P135" s="23">
        <v>15</v>
      </c>
      <c r="Q135" s="24"/>
      <c r="R135" s="24"/>
      <c r="S135" s="23"/>
      <c r="T135" s="20">
        <f t="shared" si="45"/>
        <v>15</v>
      </c>
      <c r="U135" s="19">
        <f t="shared" si="46"/>
        <v>15</v>
      </c>
      <c r="V135" s="22"/>
      <c r="W135" s="22"/>
      <c r="X135" s="22"/>
      <c r="Y135" s="22"/>
      <c r="Z135" s="21"/>
      <c r="AA135" s="20">
        <f t="shared" si="47"/>
        <v>0</v>
      </c>
      <c r="AB135" s="19">
        <f t="shared" si="48"/>
        <v>0</v>
      </c>
      <c r="AC135" s="16">
        <v>20</v>
      </c>
      <c r="AD135" s="18"/>
      <c r="AE135" s="17"/>
      <c r="AF135" s="23">
        <f t="shared" si="49"/>
        <v>15</v>
      </c>
      <c r="AG135" s="16">
        <v>45</v>
      </c>
      <c r="AH135" s="23">
        <f t="shared" si="50"/>
        <v>80</v>
      </c>
      <c r="AI135" s="14">
        <f t="shared" si="51"/>
        <v>0.93</v>
      </c>
      <c r="AJ135" s="13"/>
      <c r="AK135" s="12">
        <v>0.01</v>
      </c>
      <c r="AL135" s="11">
        <f t="shared" si="52"/>
        <v>1.01</v>
      </c>
      <c r="AM135" s="10">
        <f t="shared" si="53"/>
        <v>9903469000</v>
      </c>
      <c r="AN135" s="9"/>
      <c r="AO135" s="8"/>
      <c r="AP135" s="8"/>
      <c r="AQ135" s="8"/>
      <c r="AR135" s="8"/>
      <c r="AS135" s="7"/>
      <c r="AT135" s="6">
        <f t="shared" si="54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44"/>
        <v>1</v>
      </c>
      <c r="O136" s="25">
        <v>15</v>
      </c>
      <c r="P136" s="23">
        <v>15</v>
      </c>
      <c r="Q136" s="24"/>
      <c r="R136" s="24"/>
      <c r="S136" s="23"/>
      <c r="T136" s="20">
        <f t="shared" si="45"/>
        <v>15</v>
      </c>
      <c r="U136" s="19">
        <f t="shared" si="46"/>
        <v>15</v>
      </c>
      <c r="V136" s="22"/>
      <c r="W136" s="22"/>
      <c r="X136" s="22"/>
      <c r="Y136" s="22"/>
      <c r="Z136" s="21"/>
      <c r="AA136" s="20">
        <f t="shared" si="47"/>
        <v>0</v>
      </c>
      <c r="AB136" s="19">
        <f t="shared" si="48"/>
        <v>0</v>
      </c>
      <c r="AC136" s="16">
        <v>20</v>
      </c>
      <c r="AD136" s="18"/>
      <c r="AE136" s="17"/>
      <c r="AF136" s="23">
        <f t="shared" si="49"/>
        <v>15</v>
      </c>
      <c r="AG136" s="16">
        <v>45</v>
      </c>
      <c r="AH136" s="23">
        <f t="shared" si="50"/>
        <v>80</v>
      </c>
      <c r="AI136" s="14">
        <f t="shared" si="51"/>
        <v>0.93</v>
      </c>
      <c r="AJ136" s="13"/>
      <c r="AK136" s="12">
        <v>0.01</v>
      </c>
      <c r="AL136" s="11">
        <f t="shared" si="52"/>
        <v>1.01</v>
      </c>
      <c r="AM136" s="10">
        <f t="shared" si="53"/>
        <v>9903469000</v>
      </c>
      <c r="AN136" s="9"/>
      <c r="AO136" s="8"/>
      <c r="AP136" s="8"/>
      <c r="AQ136" s="8"/>
      <c r="AR136" s="8"/>
      <c r="AS136" s="7"/>
      <c r="AT136" s="6">
        <f t="shared" si="54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44"/>
        <v>1</v>
      </c>
      <c r="O137" s="25">
        <v>15</v>
      </c>
      <c r="P137" s="23">
        <v>15</v>
      </c>
      <c r="Q137" s="24"/>
      <c r="R137" s="24"/>
      <c r="S137" s="23"/>
      <c r="T137" s="20">
        <f t="shared" si="45"/>
        <v>15</v>
      </c>
      <c r="U137" s="19">
        <f t="shared" si="46"/>
        <v>15</v>
      </c>
      <c r="V137" s="22"/>
      <c r="W137" s="22"/>
      <c r="X137" s="22"/>
      <c r="Y137" s="22"/>
      <c r="Z137" s="21"/>
      <c r="AA137" s="20">
        <f t="shared" si="47"/>
        <v>0</v>
      </c>
      <c r="AB137" s="19">
        <f t="shared" si="48"/>
        <v>0</v>
      </c>
      <c r="AC137" s="16">
        <v>20</v>
      </c>
      <c r="AD137" s="18"/>
      <c r="AE137" s="17"/>
      <c r="AF137" s="23">
        <f t="shared" si="49"/>
        <v>15</v>
      </c>
      <c r="AG137" s="16">
        <v>45</v>
      </c>
      <c r="AH137" s="23">
        <f t="shared" si="50"/>
        <v>80</v>
      </c>
      <c r="AI137" s="14">
        <f t="shared" si="51"/>
        <v>0.93</v>
      </c>
      <c r="AJ137" s="13"/>
      <c r="AK137" s="12">
        <v>0.01</v>
      </c>
      <c r="AL137" s="11">
        <f t="shared" si="52"/>
        <v>1.01</v>
      </c>
      <c r="AM137" s="10">
        <f t="shared" si="53"/>
        <v>9903469000</v>
      </c>
      <c r="AN137" s="9"/>
      <c r="AO137" s="8"/>
      <c r="AP137" s="8"/>
      <c r="AQ137" s="8"/>
      <c r="AR137" s="8"/>
      <c r="AS137" s="7"/>
      <c r="AT137" s="6">
        <f t="shared" si="54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44"/>
        <v>1</v>
      </c>
      <c r="O138" s="25">
        <v>15</v>
      </c>
      <c r="P138" s="23">
        <v>15</v>
      </c>
      <c r="Q138" s="24"/>
      <c r="R138" s="24"/>
      <c r="S138" s="23"/>
      <c r="T138" s="20">
        <f t="shared" si="45"/>
        <v>15</v>
      </c>
      <c r="U138" s="19">
        <f t="shared" si="46"/>
        <v>15</v>
      </c>
      <c r="V138" s="22"/>
      <c r="W138" s="22"/>
      <c r="X138" s="22"/>
      <c r="Y138" s="22"/>
      <c r="Z138" s="21"/>
      <c r="AA138" s="20">
        <f t="shared" si="47"/>
        <v>0</v>
      </c>
      <c r="AB138" s="19">
        <f t="shared" si="48"/>
        <v>0</v>
      </c>
      <c r="AC138" s="16">
        <v>20</v>
      </c>
      <c r="AD138" s="18"/>
      <c r="AE138" s="17"/>
      <c r="AF138" s="23">
        <f t="shared" si="49"/>
        <v>15</v>
      </c>
      <c r="AG138" s="16">
        <v>45</v>
      </c>
      <c r="AH138" s="23">
        <f t="shared" si="50"/>
        <v>80</v>
      </c>
      <c r="AI138" s="14">
        <f t="shared" si="51"/>
        <v>0.93</v>
      </c>
      <c r="AJ138" s="13"/>
      <c r="AK138" s="12">
        <v>0.01</v>
      </c>
      <c r="AL138" s="11">
        <f t="shared" si="52"/>
        <v>1.01</v>
      </c>
      <c r="AM138" s="10">
        <f t="shared" si="53"/>
        <v>9903469000</v>
      </c>
      <c r="AN138" s="9"/>
      <c r="AO138" s="8"/>
      <c r="AP138" s="8"/>
      <c r="AQ138" s="8"/>
      <c r="AR138" s="8"/>
      <c r="AS138" s="7"/>
      <c r="AT138" s="6">
        <f t="shared" si="54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44"/>
        <v>1</v>
      </c>
      <c r="O139" s="25">
        <v>15</v>
      </c>
      <c r="P139" s="23">
        <v>15</v>
      </c>
      <c r="Q139" s="24"/>
      <c r="R139" s="24"/>
      <c r="S139" s="23"/>
      <c r="T139" s="20">
        <f t="shared" si="45"/>
        <v>15</v>
      </c>
      <c r="U139" s="19">
        <f t="shared" si="46"/>
        <v>15</v>
      </c>
      <c r="V139" s="22"/>
      <c r="W139" s="22"/>
      <c r="X139" s="22"/>
      <c r="Y139" s="22"/>
      <c r="Z139" s="21"/>
      <c r="AA139" s="20">
        <f t="shared" si="47"/>
        <v>0</v>
      </c>
      <c r="AB139" s="19">
        <f t="shared" si="48"/>
        <v>0</v>
      </c>
      <c r="AC139" s="16">
        <v>20</v>
      </c>
      <c r="AD139" s="18"/>
      <c r="AE139" s="17"/>
      <c r="AF139" s="23">
        <f t="shared" si="49"/>
        <v>15</v>
      </c>
      <c r="AG139" s="16">
        <v>45</v>
      </c>
      <c r="AH139" s="23">
        <f t="shared" si="50"/>
        <v>80</v>
      </c>
      <c r="AI139" s="14">
        <f t="shared" si="51"/>
        <v>0.93</v>
      </c>
      <c r="AJ139" s="13"/>
      <c r="AK139" s="12">
        <v>0.01</v>
      </c>
      <c r="AL139" s="11">
        <f t="shared" si="52"/>
        <v>1.01</v>
      </c>
      <c r="AM139" s="10">
        <f t="shared" si="53"/>
        <v>9903469000</v>
      </c>
      <c r="AN139" s="9"/>
      <c r="AO139" s="8"/>
      <c r="AP139" s="8"/>
      <c r="AQ139" s="8"/>
      <c r="AR139" s="8"/>
      <c r="AS139" s="7"/>
      <c r="AT139" s="6">
        <f t="shared" si="54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44"/>
        <v>1</v>
      </c>
      <c r="O140" s="25">
        <v>15</v>
      </c>
      <c r="P140" s="23">
        <v>15</v>
      </c>
      <c r="Q140" s="24"/>
      <c r="R140" s="24"/>
      <c r="S140" s="23"/>
      <c r="T140" s="20">
        <f t="shared" si="45"/>
        <v>15</v>
      </c>
      <c r="U140" s="19">
        <f t="shared" si="46"/>
        <v>15</v>
      </c>
      <c r="V140" s="22"/>
      <c r="W140" s="22"/>
      <c r="X140" s="22"/>
      <c r="Y140" s="22"/>
      <c r="Z140" s="21"/>
      <c r="AA140" s="20">
        <f t="shared" si="47"/>
        <v>0</v>
      </c>
      <c r="AB140" s="19">
        <f t="shared" si="48"/>
        <v>0</v>
      </c>
      <c r="AC140" s="16">
        <v>20</v>
      </c>
      <c r="AD140" s="18"/>
      <c r="AE140" s="17"/>
      <c r="AF140" s="15">
        <f t="shared" si="49"/>
        <v>15</v>
      </c>
      <c r="AG140" s="16">
        <v>45</v>
      </c>
      <c r="AH140" s="15">
        <f t="shared" si="50"/>
        <v>80</v>
      </c>
      <c r="AI140" s="14">
        <f t="shared" si="51"/>
        <v>0.93</v>
      </c>
      <c r="AJ140" s="13"/>
      <c r="AK140" s="12">
        <v>0.01</v>
      </c>
      <c r="AL140" s="11">
        <f t="shared" si="52"/>
        <v>1.01</v>
      </c>
      <c r="AM140" s="10">
        <f t="shared" si="53"/>
        <v>9903469000</v>
      </c>
      <c r="AN140" s="9"/>
      <c r="AO140" s="8"/>
      <c r="AP140" s="8"/>
      <c r="AQ140" s="8"/>
      <c r="AR140" s="8"/>
      <c r="AS140" s="7"/>
      <c r="AT140" s="6">
        <f t="shared" si="54"/>
        <v>0</v>
      </c>
    </row>
  </sheetData>
  <mergeCells count="27">
    <mergeCell ref="D1:E1"/>
    <mergeCell ref="I1:J1"/>
    <mergeCell ref="M1:AF1"/>
    <mergeCell ref="AH1:AK1"/>
    <mergeCell ref="D2:E2"/>
    <mergeCell ref="F2:G2"/>
    <mergeCell ref="I2:J2"/>
    <mergeCell ref="O2:T2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AT3:AT4"/>
    <mergeCell ref="AN3:AN4"/>
    <mergeCell ref="AO3:AO4"/>
    <mergeCell ref="AP3:AP4"/>
    <mergeCell ref="AQ3:AQ4"/>
    <mergeCell ref="AR3:AR4"/>
    <mergeCell ref="AS3:AS4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T140"/>
  <sheetViews>
    <sheetView showZeros="0" view="pageBreakPreview" zoomScale="80" zoomScaleSheetLayoutView="80" workbookViewId="0">
      <selection activeCell="D16" sqref="D16"/>
    </sheetView>
  </sheetViews>
  <sheetFormatPr defaultColWidth="8.88671875" defaultRowHeight="13.5" x14ac:dyDescent="0.1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7.109375" style="1" customWidth="1"/>
    <col min="16" max="16" width="6.77734375" style="1" customWidth="1"/>
    <col min="17" max="19" width="6.6640625" style="1" customWidth="1"/>
    <col min="20" max="20" width="7.109375" style="1" customWidth="1"/>
    <col min="21" max="21" width="8.88671875" style="2" hidden="1" customWidth="1"/>
    <col min="22" max="23" width="8" style="1" customWidth="1"/>
    <col min="24" max="24" width="7.21875" style="1" customWidth="1"/>
    <col min="25" max="25" width="7.77734375" style="1" customWidth="1"/>
    <col min="26" max="26" width="7.21875" style="1" customWidth="1"/>
    <col min="27" max="27" width="7.44140625" style="1" customWidth="1"/>
    <col min="28" max="28" width="8.77734375" style="2" hidden="1" customWidth="1"/>
    <col min="29" max="29" width="5.21875" style="1" customWidth="1"/>
    <col min="30" max="31" width="6.21875" style="1" customWidth="1"/>
    <col min="32" max="32" width="7" style="1" customWidth="1"/>
    <col min="33" max="33" width="4.6640625" style="1" customWidth="1"/>
    <col min="34" max="34" width="8.21875" style="1" customWidth="1"/>
    <col min="35" max="35" width="8.77734375" style="1" customWidth="1"/>
    <col min="36" max="36" width="7.5546875" style="1" customWidth="1"/>
    <col min="37" max="38" width="8.33203125" style="1" customWidth="1"/>
    <col min="39" max="39" width="20.21875" style="1" customWidth="1"/>
    <col min="40" max="40" width="8.33203125" style="1" customWidth="1"/>
    <col min="41" max="46" width="17.6640625" style="1" customWidth="1"/>
    <col min="47" max="16384" width="8.88671875" style="1"/>
  </cols>
  <sheetData>
    <row r="1" spans="1:46" ht="33.75" customHeight="1" thickBot="1" x14ac:dyDescent="0.2">
      <c r="C1" s="132" t="s">
        <v>527</v>
      </c>
      <c r="D1" s="179">
        <v>5266400000</v>
      </c>
      <c r="E1" s="179"/>
      <c r="F1" s="130"/>
      <c r="G1" s="130"/>
      <c r="H1" s="132" t="s">
        <v>526</v>
      </c>
      <c r="I1" s="180"/>
      <c r="J1" s="181"/>
      <c r="K1" s="139"/>
      <c r="L1" s="138"/>
      <c r="M1" s="182" t="s">
        <v>525</v>
      </c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37"/>
      <c r="AH1" s="183" t="s">
        <v>524</v>
      </c>
      <c r="AI1" s="183"/>
      <c r="AJ1" s="183"/>
      <c r="AK1" s="183"/>
      <c r="AL1" s="136"/>
      <c r="AM1" s="136"/>
      <c r="AN1" s="136"/>
    </row>
    <row r="2" spans="1:46" s="115" customFormat="1" ht="30" customHeight="1" thickBot="1" x14ac:dyDescent="0.2">
      <c r="A2" s="135"/>
      <c r="B2" s="134"/>
      <c r="C2" s="133" t="s">
        <v>523</v>
      </c>
      <c r="D2" s="184">
        <v>5793040000</v>
      </c>
      <c r="E2" s="184"/>
      <c r="F2" s="185"/>
      <c r="G2" s="186"/>
      <c r="H2" s="132" t="s">
        <v>522</v>
      </c>
      <c r="I2" s="186">
        <f>D2*2</f>
        <v>11586080000</v>
      </c>
      <c r="J2" s="187"/>
      <c r="K2" s="131" t="s">
        <v>521</v>
      </c>
      <c r="L2" s="130"/>
      <c r="M2" s="130"/>
      <c r="N2" s="129" t="s">
        <v>520</v>
      </c>
      <c r="O2" s="189">
        <v>45944.583333333336</v>
      </c>
      <c r="P2" s="188"/>
      <c r="Q2" s="188"/>
      <c r="R2" s="188"/>
      <c r="S2" s="188"/>
      <c r="T2" s="188"/>
      <c r="U2" s="128"/>
      <c r="V2" s="127" t="s">
        <v>519</v>
      </c>
      <c r="W2" s="126"/>
      <c r="X2" s="126"/>
      <c r="Y2" s="124"/>
      <c r="Z2" s="124"/>
      <c r="AA2" s="124"/>
      <c r="AB2" s="124"/>
      <c r="AC2" s="124"/>
      <c r="AD2" s="125"/>
      <c r="AE2" s="124"/>
      <c r="AF2" s="124"/>
      <c r="AG2" s="124"/>
      <c r="AH2" s="123"/>
      <c r="AJ2" s="123"/>
      <c r="AK2" s="122"/>
      <c r="AL2" s="122"/>
      <c r="AM2" s="121" t="s">
        <v>518</v>
      </c>
      <c r="AO2" s="120" t="s">
        <v>517</v>
      </c>
      <c r="AP2" s="119">
        <v>6402040000</v>
      </c>
      <c r="AQ2" s="118"/>
      <c r="AR2" s="117"/>
      <c r="AS2" s="117"/>
      <c r="AT2" s="116"/>
    </row>
    <row r="3" spans="1:46" s="5" customFormat="1" ht="24.95" customHeight="1" thickBot="1" x14ac:dyDescent="0.2">
      <c r="A3" s="164" t="s">
        <v>516</v>
      </c>
      <c r="B3" s="166" t="s">
        <v>515</v>
      </c>
      <c r="C3" s="168" t="s">
        <v>514</v>
      </c>
      <c r="D3" s="169"/>
      <c r="E3" s="169"/>
      <c r="F3" s="169"/>
      <c r="G3" s="169"/>
      <c r="H3" s="170"/>
      <c r="I3" s="168" t="s">
        <v>513</v>
      </c>
      <c r="J3" s="169"/>
      <c r="K3" s="169"/>
      <c r="L3" s="169"/>
      <c r="M3" s="170"/>
      <c r="N3" s="171" t="s">
        <v>512</v>
      </c>
      <c r="O3" s="168" t="s">
        <v>511</v>
      </c>
      <c r="P3" s="169"/>
      <c r="Q3" s="169"/>
      <c r="R3" s="169"/>
      <c r="S3" s="169"/>
      <c r="T3" s="170"/>
      <c r="U3" s="113"/>
      <c r="V3" s="168" t="s">
        <v>510</v>
      </c>
      <c r="W3" s="169"/>
      <c r="X3" s="169"/>
      <c r="Y3" s="169"/>
      <c r="Z3" s="169"/>
      <c r="AA3" s="170"/>
      <c r="AB3" s="113"/>
      <c r="AC3" s="113"/>
      <c r="AD3" s="114" t="s">
        <v>509</v>
      </c>
      <c r="AE3" s="113"/>
      <c r="AF3" s="113"/>
      <c r="AG3" s="113"/>
      <c r="AH3" s="112"/>
      <c r="AI3" s="173" t="s">
        <v>508</v>
      </c>
      <c r="AJ3" s="166" t="s">
        <v>507</v>
      </c>
      <c r="AK3" s="175" t="s">
        <v>506</v>
      </c>
      <c r="AL3" s="177" t="s">
        <v>505</v>
      </c>
      <c r="AM3" s="162" t="s">
        <v>504</v>
      </c>
      <c r="AN3" s="157" t="s">
        <v>503</v>
      </c>
      <c r="AO3" s="159" t="s">
        <v>502</v>
      </c>
      <c r="AP3" s="161" t="s">
        <v>501</v>
      </c>
      <c r="AQ3" s="156" t="s">
        <v>500</v>
      </c>
      <c r="AR3" s="156" t="s">
        <v>499</v>
      </c>
      <c r="AS3" s="156" t="s">
        <v>498</v>
      </c>
      <c r="AT3" s="156" t="s">
        <v>497</v>
      </c>
    </row>
    <row r="4" spans="1:46" s="5" customFormat="1" ht="39.75" customHeight="1" thickBot="1" x14ac:dyDescent="0.2">
      <c r="A4" s="165"/>
      <c r="B4" s="167"/>
      <c r="C4" s="109" t="s">
        <v>493</v>
      </c>
      <c r="D4" s="108" t="s">
        <v>492</v>
      </c>
      <c r="E4" s="105" t="s">
        <v>491</v>
      </c>
      <c r="F4" s="105" t="s">
        <v>490</v>
      </c>
      <c r="G4" s="105" t="s">
        <v>489</v>
      </c>
      <c r="H4" s="111" t="s">
        <v>496</v>
      </c>
      <c r="I4" s="109" t="s">
        <v>493</v>
      </c>
      <c r="J4" s="108" t="s">
        <v>492</v>
      </c>
      <c r="K4" s="107" t="s">
        <v>491</v>
      </c>
      <c r="L4" s="106" t="s">
        <v>490</v>
      </c>
      <c r="M4" s="105" t="s">
        <v>489</v>
      </c>
      <c r="N4" s="172"/>
      <c r="O4" s="109" t="s">
        <v>493</v>
      </c>
      <c r="P4" s="108" t="s">
        <v>492</v>
      </c>
      <c r="Q4" s="105" t="s">
        <v>491</v>
      </c>
      <c r="R4" s="107" t="s">
        <v>490</v>
      </c>
      <c r="S4" s="105" t="s">
        <v>489</v>
      </c>
      <c r="T4" s="110" t="s">
        <v>495</v>
      </c>
      <c r="U4" s="103" t="s">
        <v>494</v>
      </c>
      <c r="V4" s="109" t="s">
        <v>493</v>
      </c>
      <c r="W4" s="108" t="s">
        <v>492</v>
      </c>
      <c r="X4" s="107" t="s">
        <v>491</v>
      </c>
      <c r="Y4" s="106" t="s">
        <v>490</v>
      </c>
      <c r="Z4" s="105" t="s">
        <v>489</v>
      </c>
      <c r="AA4" s="104" t="s">
        <v>488</v>
      </c>
      <c r="AB4" s="103" t="s">
        <v>487</v>
      </c>
      <c r="AC4" s="100" t="s">
        <v>486</v>
      </c>
      <c r="AD4" s="102" t="s">
        <v>485</v>
      </c>
      <c r="AE4" s="102" t="s">
        <v>484</v>
      </c>
      <c r="AF4" s="101" t="s">
        <v>483</v>
      </c>
      <c r="AG4" s="100" t="s">
        <v>482</v>
      </c>
      <c r="AH4" s="100" t="s">
        <v>481</v>
      </c>
      <c r="AI4" s="174"/>
      <c r="AJ4" s="167"/>
      <c r="AK4" s="176"/>
      <c r="AL4" s="178"/>
      <c r="AM4" s="163"/>
      <c r="AN4" s="158"/>
      <c r="AO4" s="160"/>
      <c r="AP4" s="156"/>
      <c r="AQ4" s="156"/>
      <c r="AR4" s="156"/>
      <c r="AS4" s="156"/>
      <c r="AT4" s="156"/>
    </row>
    <row r="5" spans="1:46" s="37" customFormat="1" ht="45.75" customHeight="1" thickBot="1" x14ac:dyDescent="0.2">
      <c r="A5" s="35"/>
      <c r="B5" s="35"/>
      <c r="C5" s="39" t="s">
        <v>480</v>
      </c>
      <c r="D5" s="154" t="s">
        <v>479</v>
      </c>
      <c r="E5" s="39"/>
      <c r="F5" s="73"/>
      <c r="G5" s="51"/>
      <c r="H5" s="45"/>
      <c r="I5" s="38">
        <v>0.7</v>
      </c>
      <c r="J5" s="30">
        <v>0.3</v>
      </c>
      <c r="K5" s="29"/>
      <c r="L5" s="30"/>
      <c r="M5" s="27"/>
      <c r="N5" s="26">
        <f t="shared" ref="N5:N36" si="0">SUM(I5:M5)</f>
        <v>1</v>
      </c>
      <c r="O5" s="65">
        <v>15</v>
      </c>
      <c r="P5" s="144">
        <v>14.93</v>
      </c>
      <c r="Q5" s="42"/>
      <c r="R5" s="42"/>
      <c r="S5" s="42"/>
      <c r="T5" s="20">
        <f t="shared" ref="T5:T36" si="1">ROUND(((O5*I5)+(P5*J5)+(Q5*K5)+(R5*L5)+(S5*M5)),2)</f>
        <v>14.98</v>
      </c>
      <c r="U5" s="19">
        <f t="shared" ref="U5:U36" si="2">IF(T5&gt;=15,15,T5)</f>
        <v>14.98</v>
      </c>
      <c r="V5" s="99">
        <v>59183685000</v>
      </c>
      <c r="W5" s="59">
        <v>1801358000</v>
      </c>
      <c r="X5" s="59"/>
      <c r="Y5" s="22"/>
      <c r="Z5" s="21"/>
      <c r="AA5" s="20">
        <f t="shared" ref="AA5:AA36" si="3">ROUND((((V5*I5)+(W5*J5)+(X5*K5)+(Y5*L5)+(Z5*M5))/$I$2*15),2)</f>
        <v>54.34</v>
      </c>
      <c r="AB5" s="19">
        <f t="shared" ref="AB5:AB36" si="4">IF(AA5&gt;=15,15,AA5)</f>
        <v>15</v>
      </c>
      <c r="AC5" s="16">
        <v>20</v>
      </c>
      <c r="AD5" s="83">
        <f>3*I5*0.3</f>
        <v>0.62999999999999989</v>
      </c>
      <c r="AE5" s="97">
        <v>0.36</v>
      </c>
      <c r="AF5" s="23">
        <f t="shared" ref="AF5:AF36" si="5">IF((U5+AB5+AD5)&gt;=30,30,(U5+AB5+AD5))</f>
        <v>30</v>
      </c>
      <c r="AG5" s="16">
        <v>45</v>
      </c>
      <c r="AH5" s="23">
        <f t="shared" ref="AH5:AH36" si="6">AC5+AF5+AG5+AE5</f>
        <v>95.36</v>
      </c>
      <c r="AI5" s="14">
        <f t="shared" ref="AI5:AI36" si="7">-((50-((176+(45+(30-AF5)))))/200)</f>
        <v>0.85499999999999998</v>
      </c>
      <c r="AJ5" s="13"/>
      <c r="AK5" s="12">
        <v>0.01</v>
      </c>
      <c r="AL5" s="11">
        <f t="shared" ref="AL5:AL36" si="8">100%+AK5</f>
        <v>1.01</v>
      </c>
      <c r="AM5" s="10">
        <f t="shared" ref="AM5:AM36" si="9">ROUNDUP($D$2*AI5*AL5,-3)</f>
        <v>5002580000</v>
      </c>
      <c r="AN5" s="9"/>
      <c r="AO5" s="16"/>
      <c r="AP5" s="81"/>
      <c r="AQ5" s="81"/>
      <c r="AR5" s="8"/>
      <c r="AS5" s="7"/>
      <c r="AT5" s="6">
        <f t="shared" ref="AT5:AT36" si="10">(AO5*J5)+(AP5*K5)+(AQ5*L5)+(AR5*M5)+(AS5*N5)</f>
        <v>0</v>
      </c>
    </row>
    <row r="6" spans="1:46" s="37" customFormat="1" ht="45.75" customHeight="1" thickBot="1" x14ac:dyDescent="0.2">
      <c r="A6" s="35"/>
      <c r="B6" s="35"/>
      <c r="C6" s="47" t="s">
        <v>478</v>
      </c>
      <c r="D6" s="75" t="s">
        <v>477</v>
      </c>
      <c r="E6" s="39"/>
      <c r="F6" s="73"/>
      <c r="G6" s="51"/>
      <c r="H6" s="45"/>
      <c r="I6" s="38">
        <v>0.7</v>
      </c>
      <c r="J6" s="30">
        <v>0.3</v>
      </c>
      <c r="K6" s="29"/>
      <c r="L6" s="30"/>
      <c r="M6" s="27"/>
      <c r="N6" s="26">
        <f t="shared" si="0"/>
        <v>1</v>
      </c>
      <c r="O6" s="65">
        <v>15</v>
      </c>
      <c r="P6" s="23">
        <v>15</v>
      </c>
      <c r="Q6" s="42"/>
      <c r="R6" s="42"/>
      <c r="S6" s="42"/>
      <c r="T6" s="20">
        <f t="shared" si="1"/>
        <v>15</v>
      </c>
      <c r="U6" s="19">
        <f t="shared" si="2"/>
        <v>15</v>
      </c>
      <c r="V6" s="52">
        <v>39361754000</v>
      </c>
      <c r="W6" s="68">
        <v>2706472000</v>
      </c>
      <c r="X6" s="59"/>
      <c r="Y6" s="41"/>
      <c r="Z6" s="21"/>
      <c r="AA6" s="20">
        <f t="shared" si="3"/>
        <v>36.72</v>
      </c>
      <c r="AB6" s="19">
        <f t="shared" si="4"/>
        <v>15</v>
      </c>
      <c r="AC6" s="16">
        <v>20</v>
      </c>
      <c r="AD6" s="18"/>
      <c r="AE6" s="97">
        <v>0.36</v>
      </c>
      <c r="AF6" s="23">
        <f t="shared" si="5"/>
        <v>30</v>
      </c>
      <c r="AG6" s="16">
        <v>45</v>
      </c>
      <c r="AH6" s="23">
        <f t="shared" si="6"/>
        <v>95.36</v>
      </c>
      <c r="AI6" s="14">
        <f t="shared" si="7"/>
        <v>0.85499999999999998</v>
      </c>
      <c r="AJ6" s="13"/>
      <c r="AK6" s="12">
        <v>0.01</v>
      </c>
      <c r="AL6" s="11">
        <f t="shared" si="8"/>
        <v>1.01</v>
      </c>
      <c r="AM6" s="10">
        <f t="shared" si="9"/>
        <v>5002580000</v>
      </c>
      <c r="AN6" s="9"/>
      <c r="AO6" s="16"/>
      <c r="AP6" s="81"/>
      <c r="AQ6" s="81"/>
      <c r="AR6" s="8"/>
      <c r="AS6" s="7"/>
      <c r="AT6" s="6">
        <f t="shared" si="10"/>
        <v>0</v>
      </c>
    </row>
    <row r="7" spans="1:46" s="37" customFormat="1" ht="45.75" customHeight="1" thickBot="1" x14ac:dyDescent="0.2">
      <c r="A7" s="35"/>
      <c r="B7" s="35"/>
      <c r="C7" s="47" t="s">
        <v>476</v>
      </c>
      <c r="D7" s="154" t="s">
        <v>475</v>
      </c>
      <c r="E7" s="39"/>
      <c r="F7" s="73"/>
      <c r="G7" s="51"/>
      <c r="H7" s="45"/>
      <c r="I7" s="38">
        <v>0.7</v>
      </c>
      <c r="J7" s="30">
        <v>0.3</v>
      </c>
      <c r="K7" s="29"/>
      <c r="L7" s="30"/>
      <c r="M7" s="27"/>
      <c r="N7" s="26">
        <f t="shared" si="0"/>
        <v>1</v>
      </c>
      <c r="O7" s="65">
        <v>15</v>
      </c>
      <c r="P7" s="155">
        <v>13.5</v>
      </c>
      <c r="Q7" s="42"/>
      <c r="R7" s="42"/>
      <c r="S7" s="42"/>
      <c r="T7" s="20">
        <f t="shared" si="1"/>
        <v>14.55</v>
      </c>
      <c r="U7" s="19">
        <f t="shared" si="2"/>
        <v>14.55</v>
      </c>
      <c r="V7" s="52">
        <v>34748832000</v>
      </c>
      <c r="W7" s="59">
        <v>3070576000</v>
      </c>
      <c r="X7" s="59"/>
      <c r="Y7" s="48"/>
      <c r="Z7" s="21"/>
      <c r="AA7" s="20">
        <f t="shared" si="3"/>
        <v>32.68</v>
      </c>
      <c r="AB7" s="19">
        <f t="shared" si="4"/>
        <v>15</v>
      </c>
      <c r="AC7" s="16">
        <v>20</v>
      </c>
      <c r="AD7" s="18">
        <f>3*I7*0.3</f>
        <v>0.62999999999999989</v>
      </c>
      <c r="AE7" s="97">
        <v>0.36</v>
      </c>
      <c r="AF7" s="23">
        <f t="shared" si="5"/>
        <v>30</v>
      </c>
      <c r="AG7" s="16">
        <v>45</v>
      </c>
      <c r="AH7" s="23">
        <f t="shared" si="6"/>
        <v>95.36</v>
      </c>
      <c r="AI7" s="14">
        <f t="shared" si="7"/>
        <v>0.85499999999999998</v>
      </c>
      <c r="AJ7" s="13"/>
      <c r="AK7" s="12">
        <v>0.01</v>
      </c>
      <c r="AL7" s="11">
        <f t="shared" si="8"/>
        <v>1.01</v>
      </c>
      <c r="AM7" s="10">
        <f t="shared" si="9"/>
        <v>5002580000</v>
      </c>
      <c r="AN7" s="9"/>
      <c r="AO7" s="16"/>
      <c r="AP7" s="81"/>
      <c r="AQ7" s="81"/>
      <c r="AR7" s="8"/>
      <c r="AS7" s="7"/>
      <c r="AT7" s="6">
        <f t="shared" si="10"/>
        <v>0</v>
      </c>
    </row>
    <row r="8" spans="1:46" s="37" customFormat="1" ht="45.75" customHeight="1" thickBot="1" x14ac:dyDescent="0.2">
      <c r="A8" s="35"/>
      <c r="B8" s="35"/>
      <c r="C8" s="39" t="s">
        <v>474</v>
      </c>
      <c r="D8" s="70" t="s">
        <v>473</v>
      </c>
      <c r="E8" s="39"/>
      <c r="F8" s="73"/>
      <c r="G8" s="51"/>
      <c r="H8" s="45"/>
      <c r="I8" s="38">
        <v>0.7</v>
      </c>
      <c r="J8" s="30">
        <v>0.3</v>
      </c>
      <c r="K8" s="29"/>
      <c r="L8" s="28"/>
      <c r="M8" s="27"/>
      <c r="N8" s="26">
        <f t="shared" si="0"/>
        <v>1</v>
      </c>
      <c r="O8" s="65">
        <v>15</v>
      </c>
      <c r="P8" s="23">
        <v>15</v>
      </c>
      <c r="Q8" s="42"/>
      <c r="R8" s="42"/>
      <c r="S8" s="42"/>
      <c r="T8" s="20">
        <f t="shared" si="1"/>
        <v>15</v>
      </c>
      <c r="U8" s="19">
        <f t="shared" si="2"/>
        <v>15</v>
      </c>
      <c r="V8" s="41">
        <v>57539030000</v>
      </c>
      <c r="W8" s="59">
        <v>783455000</v>
      </c>
      <c r="X8" s="59"/>
      <c r="Y8" s="22"/>
      <c r="Z8" s="21"/>
      <c r="AA8" s="20">
        <f t="shared" si="3"/>
        <v>52.45</v>
      </c>
      <c r="AB8" s="19">
        <f t="shared" si="4"/>
        <v>15</v>
      </c>
      <c r="AC8" s="16">
        <v>20</v>
      </c>
      <c r="AD8" s="18"/>
      <c r="AE8" s="97">
        <v>0.36</v>
      </c>
      <c r="AF8" s="23">
        <f t="shared" si="5"/>
        <v>30</v>
      </c>
      <c r="AG8" s="16">
        <v>45</v>
      </c>
      <c r="AH8" s="23">
        <f t="shared" si="6"/>
        <v>95.36</v>
      </c>
      <c r="AI8" s="14">
        <f t="shared" si="7"/>
        <v>0.85499999999999998</v>
      </c>
      <c r="AJ8" s="13"/>
      <c r="AK8" s="12">
        <v>0.01</v>
      </c>
      <c r="AL8" s="11">
        <f t="shared" si="8"/>
        <v>1.01</v>
      </c>
      <c r="AM8" s="10">
        <f t="shared" si="9"/>
        <v>5002580000</v>
      </c>
      <c r="AN8" s="9"/>
      <c r="AO8" s="16"/>
      <c r="AP8" s="81"/>
      <c r="AQ8" s="81"/>
      <c r="AR8" s="8"/>
      <c r="AS8" s="7"/>
      <c r="AT8" s="6">
        <f t="shared" si="10"/>
        <v>0</v>
      </c>
    </row>
    <row r="9" spans="1:46" s="37" customFormat="1" ht="45.75" customHeight="1" thickBot="1" x14ac:dyDescent="0.2">
      <c r="A9" s="35"/>
      <c r="B9" s="35"/>
      <c r="C9" s="47" t="s">
        <v>472</v>
      </c>
      <c r="D9" s="70" t="s">
        <v>471</v>
      </c>
      <c r="E9" s="39"/>
      <c r="F9" s="73"/>
      <c r="G9" s="51"/>
      <c r="H9" s="45"/>
      <c r="I9" s="38">
        <v>0.51</v>
      </c>
      <c r="J9" s="30">
        <v>0.49</v>
      </c>
      <c r="K9" s="29"/>
      <c r="L9" s="28"/>
      <c r="M9" s="27"/>
      <c r="N9" s="26">
        <f t="shared" si="0"/>
        <v>1</v>
      </c>
      <c r="O9" s="65">
        <v>15</v>
      </c>
      <c r="P9" s="23">
        <v>15</v>
      </c>
      <c r="Q9" s="42"/>
      <c r="R9" s="42"/>
      <c r="S9" s="23"/>
      <c r="T9" s="20">
        <f t="shared" si="1"/>
        <v>15</v>
      </c>
      <c r="U9" s="19">
        <f t="shared" si="2"/>
        <v>15</v>
      </c>
      <c r="V9" s="52">
        <v>14977246000</v>
      </c>
      <c r="W9" s="22">
        <v>13888695000</v>
      </c>
      <c r="X9" s="59"/>
      <c r="Y9" s="57"/>
      <c r="Z9" s="21"/>
      <c r="AA9" s="20">
        <f t="shared" si="3"/>
        <v>18.7</v>
      </c>
      <c r="AB9" s="19">
        <f t="shared" si="4"/>
        <v>15</v>
      </c>
      <c r="AC9" s="16">
        <v>20</v>
      </c>
      <c r="AD9" s="18"/>
      <c r="AE9" s="97">
        <v>0.36</v>
      </c>
      <c r="AF9" s="23">
        <f t="shared" si="5"/>
        <v>30</v>
      </c>
      <c r="AG9" s="16">
        <v>45</v>
      </c>
      <c r="AH9" s="23">
        <f t="shared" si="6"/>
        <v>95.36</v>
      </c>
      <c r="AI9" s="14">
        <f t="shared" si="7"/>
        <v>0.85499999999999998</v>
      </c>
      <c r="AJ9" s="13"/>
      <c r="AK9" s="12">
        <v>0.01</v>
      </c>
      <c r="AL9" s="11">
        <f t="shared" si="8"/>
        <v>1.01</v>
      </c>
      <c r="AM9" s="10">
        <f t="shared" si="9"/>
        <v>5002580000</v>
      </c>
      <c r="AN9" s="9"/>
      <c r="AO9" s="16"/>
      <c r="AP9" s="87"/>
      <c r="AQ9" s="81"/>
      <c r="AR9" s="8"/>
      <c r="AS9" s="7"/>
      <c r="AT9" s="6">
        <f t="shared" si="10"/>
        <v>0</v>
      </c>
    </row>
    <row r="10" spans="1:46" s="37" customFormat="1" ht="45.75" customHeight="1" thickBot="1" x14ac:dyDescent="0.2">
      <c r="A10" s="35"/>
      <c r="B10" s="35"/>
      <c r="C10" s="47" t="s">
        <v>470</v>
      </c>
      <c r="D10" s="70"/>
      <c r="E10" s="47" t="s">
        <v>469</v>
      </c>
      <c r="F10" s="73"/>
      <c r="G10" s="51"/>
      <c r="H10" s="45"/>
      <c r="I10" s="38">
        <v>0.4</v>
      </c>
      <c r="J10" s="30">
        <v>0.3</v>
      </c>
      <c r="K10" s="29">
        <v>0.3</v>
      </c>
      <c r="L10" s="30"/>
      <c r="M10" s="27"/>
      <c r="N10" s="26">
        <f t="shared" si="0"/>
        <v>1</v>
      </c>
      <c r="O10" s="65">
        <v>15</v>
      </c>
      <c r="P10" s="23">
        <v>15</v>
      </c>
      <c r="Q10" s="42">
        <v>15</v>
      </c>
      <c r="R10" s="42"/>
      <c r="S10" s="95"/>
      <c r="T10" s="20">
        <f t="shared" si="1"/>
        <v>15</v>
      </c>
      <c r="U10" s="94">
        <f t="shared" si="2"/>
        <v>15</v>
      </c>
      <c r="V10" s="52">
        <v>8216820000</v>
      </c>
      <c r="W10" s="22"/>
      <c r="X10" s="41">
        <v>328448752000</v>
      </c>
      <c r="Y10" s="41"/>
      <c r="Z10" s="21"/>
      <c r="AA10" s="20">
        <f t="shared" si="3"/>
        <v>131.82</v>
      </c>
      <c r="AB10" s="19">
        <f t="shared" si="4"/>
        <v>15</v>
      </c>
      <c r="AC10" s="16">
        <v>20</v>
      </c>
      <c r="AD10" s="18"/>
      <c r="AE10" s="97">
        <v>0.36</v>
      </c>
      <c r="AF10" s="93">
        <f t="shared" si="5"/>
        <v>30</v>
      </c>
      <c r="AG10" s="74">
        <v>45</v>
      </c>
      <c r="AH10" s="93">
        <f t="shared" si="6"/>
        <v>95.36</v>
      </c>
      <c r="AI10" s="14">
        <f t="shared" si="7"/>
        <v>0.85499999999999998</v>
      </c>
      <c r="AJ10" s="13"/>
      <c r="AK10" s="12">
        <v>0.01</v>
      </c>
      <c r="AL10" s="11">
        <f t="shared" si="8"/>
        <v>1.01</v>
      </c>
      <c r="AM10" s="10">
        <f t="shared" si="9"/>
        <v>5002580000</v>
      </c>
      <c r="AN10" s="9"/>
      <c r="AO10" s="16"/>
      <c r="AP10" s="71"/>
      <c r="AQ10" s="81"/>
      <c r="AR10" s="8"/>
      <c r="AS10" s="7"/>
      <c r="AT10" s="6">
        <f t="shared" si="10"/>
        <v>0</v>
      </c>
    </row>
    <row r="11" spans="1:46" s="37" customFormat="1" ht="45.75" customHeight="1" thickBot="1" x14ac:dyDescent="0.2">
      <c r="A11" s="35"/>
      <c r="B11" s="35"/>
      <c r="C11" s="39" t="s">
        <v>468</v>
      </c>
      <c r="D11" s="70" t="s">
        <v>467</v>
      </c>
      <c r="E11" s="39" t="s">
        <v>466</v>
      </c>
      <c r="F11" s="73"/>
      <c r="G11" s="51"/>
      <c r="H11" s="45"/>
      <c r="I11" s="38">
        <v>0.4</v>
      </c>
      <c r="J11" s="30">
        <v>0.4</v>
      </c>
      <c r="K11" s="29">
        <v>0.3</v>
      </c>
      <c r="L11" s="28"/>
      <c r="M11" s="27"/>
      <c r="N11" s="26">
        <f t="shared" si="0"/>
        <v>1.1000000000000001</v>
      </c>
      <c r="O11" s="65">
        <v>15</v>
      </c>
      <c r="P11" s="23">
        <v>15</v>
      </c>
      <c r="Q11" s="42">
        <v>15</v>
      </c>
      <c r="R11" s="42"/>
      <c r="S11" s="23"/>
      <c r="T11" s="20">
        <f t="shared" si="1"/>
        <v>16.5</v>
      </c>
      <c r="U11" s="19">
        <f t="shared" si="2"/>
        <v>15</v>
      </c>
      <c r="V11" s="22">
        <v>8139504000</v>
      </c>
      <c r="W11" s="22">
        <v>2745378000</v>
      </c>
      <c r="X11" s="59">
        <v>58909982000</v>
      </c>
      <c r="Y11" s="92"/>
      <c r="Z11" s="68"/>
      <c r="AA11" s="20">
        <f t="shared" si="3"/>
        <v>28.52</v>
      </c>
      <c r="AB11" s="19">
        <f t="shared" si="4"/>
        <v>15</v>
      </c>
      <c r="AC11" s="16">
        <v>20</v>
      </c>
      <c r="AD11" s="18"/>
      <c r="AE11" s="97">
        <v>0.36</v>
      </c>
      <c r="AF11" s="23">
        <f t="shared" si="5"/>
        <v>30</v>
      </c>
      <c r="AG11" s="16">
        <v>45</v>
      </c>
      <c r="AH11" s="23">
        <f t="shared" si="6"/>
        <v>95.36</v>
      </c>
      <c r="AI11" s="14">
        <f t="shared" si="7"/>
        <v>0.85499999999999998</v>
      </c>
      <c r="AJ11" s="13"/>
      <c r="AK11" s="12">
        <v>0.01</v>
      </c>
      <c r="AL11" s="11">
        <f t="shared" si="8"/>
        <v>1.01</v>
      </c>
      <c r="AM11" s="10">
        <f t="shared" si="9"/>
        <v>5002580000</v>
      </c>
      <c r="AN11" s="9"/>
      <c r="AO11" s="16"/>
      <c r="AP11" s="72"/>
      <c r="AQ11" s="71"/>
      <c r="AR11" s="8"/>
      <c r="AS11" s="7"/>
      <c r="AT11" s="6">
        <f t="shared" si="10"/>
        <v>0</v>
      </c>
    </row>
    <row r="12" spans="1:46" s="37" customFormat="1" ht="45.75" customHeight="1" thickBot="1" x14ac:dyDescent="0.2">
      <c r="A12" s="35"/>
      <c r="B12" s="35"/>
      <c r="C12" s="39" t="s">
        <v>465</v>
      </c>
      <c r="D12" s="39"/>
      <c r="E12" s="47" t="s">
        <v>464</v>
      </c>
      <c r="F12" s="73"/>
      <c r="G12" s="51"/>
      <c r="H12" s="45"/>
      <c r="I12" s="38">
        <v>0.4</v>
      </c>
      <c r="J12" s="30">
        <v>0.3</v>
      </c>
      <c r="K12" s="29">
        <v>0.3</v>
      </c>
      <c r="L12" s="28"/>
      <c r="M12" s="27"/>
      <c r="N12" s="26">
        <f t="shared" si="0"/>
        <v>1</v>
      </c>
      <c r="O12" s="65">
        <v>15</v>
      </c>
      <c r="P12" s="23">
        <v>15</v>
      </c>
      <c r="Q12" s="42">
        <v>15</v>
      </c>
      <c r="R12" s="42"/>
      <c r="S12" s="23"/>
      <c r="T12" s="20">
        <f t="shared" si="1"/>
        <v>15</v>
      </c>
      <c r="U12" s="19">
        <f t="shared" si="2"/>
        <v>15</v>
      </c>
      <c r="V12" s="84">
        <v>3664456000</v>
      </c>
      <c r="W12" s="92"/>
      <c r="X12" s="41">
        <v>130509297000</v>
      </c>
      <c r="Y12" s="91"/>
      <c r="Z12" s="21"/>
      <c r="AA12" s="20">
        <f t="shared" si="3"/>
        <v>52.59</v>
      </c>
      <c r="AB12" s="19">
        <f t="shared" si="4"/>
        <v>15</v>
      </c>
      <c r="AC12" s="16">
        <v>20</v>
      </c>
      <c r="AD12" s="18"/>
      <c r="AE12" s="97">
        <v>0.36</v>
      </c>
      <c r="AF12" s="23">
        <f t="shared" si="5"/>
        <v>30</v>
      </c>
      <c r="AG12" s="16">
        <v>45</v>
      </c>
      <c r="AH12" s="23">
        <f t="shared" si="6"/>
        <v>95.36</v>
      </c>
      <c r="AI12" s="14">
        <f t="shared" si="7"/>
        <v>0.85499999999999998</v>
      </c>
      <c r="AJ12" s="13"/>
      <c r="AK12" s="12">
        <v>0.01</v>
      </c>
      <c r="AL12" s="11">
        <f t="shared" si="8"/>
        <v>1.01</v>
      </c>
      <c r="AM12" s="10">
        <f t="shared" si="9"/>
        <v>5002580000</v>
      </c>
      <c r="AN12" s="9"/>
      <c r="AO12" s="16"/>
      <c r="AP12" s="71"/>
      <c r="AQ12" s="71"/>
      <c r="AR12" s="8"/>
      <c r="AS12" s="7"/>
      <c r="AT12" s="6">
        <f t="shared" si="10"/>
        <v>0</v>
      </c>
    </row>
    <row r="13" spans="1:46" s="37" customFormat="1" ht="45.75" customHeight="1" thickBot="1" x14ac:dyDescent="0.2">
      <c r="A13" s="35"/>
      <c r="B13" s="35"/>
      <c r="C13" s="39" t="s">
        <v>463</v>
      </c>
      <c r="D13" s="39"/>
      <c r="E13" s="39" t="s">
        <v>462</v>
      </c>
      <c r="F13" s="73"/>
      <c r="G13" s="51"/>
      <c r="H13" s="45"/>
      <c r="I13" s="38">
        <v>0.51</v>
      </c>
      <c r="J13" s="30">
        <v>0.49</v>
      </c>
      <c r="K13" s="29"/>
      <c r="L13" s="30"/>
      <c r="M13" s="27"/>
      <c r="N13" s="26">
        <f t="shared" si="0"/>
        <v>1</v>
      </c>
      <c r="O13" s="65">
        <v>15</v>
      </c>
      <c r="P13" s="23">
        <v>15</v>
      </c>
      <c r="Q13" s="42"/>
      <c r="R13" s="42"/>
      <c r="S13" s="42"/>
      <c r="T13" s="20">
        <f t="shared" si="1"/>
        <v>15</v>
      </c>
      <c r="U13" s="19">
        <f t="shared" si="2"/>
        <v>15</v>
      </c>
      <c r="V13" s="79">
        <v>7702371000</v>
      </c>
      <c r="W13" s="22"/>
      <c r="X13" s="22">
        <v>78106522000</v>
      </c>
      <c r="Y13" s="91"/>
      <c r="Z13" s="21"/>
      <c r="AA13" s="20">
        <f t="shared" si="3"/>
        <v>5.09</v>
      </c>
      <c r="AB13" s="19">
        <f t="shared" si="4"/>
        <v>5.09</v>
      </c>
      <c r="AC13" s="16">
        <v>20</v>
      </c>
      <c r="AD13" s="18"/>
      <c r="AE13" s="97">
        <v>0.36</v>
      </c>
      <c r="AF13" s="23">
        <f t="shared" si="5"/>
        <v>20.09</v>
      </c>
      <c r="AG13" s="16">
        <v>45</v>
      </c>
      <c r="AH13" s="23">
        <f t="shared" si="6"/>
        <v>85.45</v>
      </c>
      <c r="AI13" s="14">
        <f t="shared" si="7"/>
        <v>0.90454999999999997</v>
      </c>
      <c r="AJ13" s="13"/>
      <c r="AK13" s="12">
        <v>0.01</v>
      </c>
      <c r="AL13" s="11">
        <f t="shared" si="8"/>
        <v>1.01</v>
      </c>
      <c r="AM13" s="10">
        <f t="shared" si="9"/>
        <v>5292496000</v>
      </c>
      <c r="AN13" s="9"/>
      <c r="AO13" s="72"/>
      <c r="AP13" s="16"/>
      <c r="AQ13" s="16"/>
      <c r="AR13" s="8"/>
      <c r="AS13" s="7"/>
      <c r="AT13" s="6">
        <f t="shared" si="10"/>
        <v>0</v>
      </c>
    </row>
    <row r="14" spans="1:46" s="37" customFormat="1" ht="45.75" customHeight="1" thickBot="1" x14ac:dyDescent="0.2">
      <c r="A14" s="35"/>
      <c r="B14" s="35"/>
      <c r="C14" s="39"/>
      <c r="D14" s="47"/>
      <c r="E14" s="39" t="s">
        <v>461</v>
      </c>
      <c r="F14" s="73"/>
      <c r="G14" s="51"/>
      <c r="H14" s="77"/>
      <c r="I14" s="38">
        <v>0.4</v>
      </c>
      <c r="J14" s="30">
        <v>0.3</v>
      </c>
      <c r="K14" s="29">
        <v>0.3</v>
      </c>
      <c r="L14" s="28"/>
      <c r="M14" s="27"/>
      <c r="N14" s="26">
        <f t="shared" si="0"/>
        <v>1</v>
      </c>
      <c r="O14" s="65">
        <v>15</v>
      </c>
      <c r="P14" s="23">
        <v>15</v>
      </c>
      <c r="Q14" s="23">
        <v>15</v>
      </c>
      <c r="R14" s="42"/>
      <c r="S14" s="23"/>
      <c r="T14" s="20">
        <f t="shared" si="1"/>
        <v>15</v>
      </c>
      <c r="U14" s="19">
        <f t="shared" si="2"/>
        <v>15</v>
      </c>
      <c r="V14" s="59"/>
      <c r="W14" s="59"/>
      <c r="X14" s="59"/>
      <c r="Y14" s="22"/>
      <c r="Z14" s="68"/>
      <c r="AA14" s="20">
        <f t="shared" si="3"/>
        <v>0</v>
      </c>
      <c r="AB14" s="19">
        <f t="shared" si="4"/>
        <v>0</v>
      </c>
      <c r="AC14" s="16">
        <v>20</v>
      </c>
      <c r="AD14" s="18"/>
      <c r="AE14" s="97">
        <v>0.36</v>
      </c>
      <c r="AF14" s="23">
        <f t="shared" si="5"/>
        <v>15</v>
      </c>
      <c r="AG14" s="16">
        <v>45</v>
      </c>
      <c r="AH14" s="23">
        <f t="shared" si="6"/>
        <v>80.36</v>
      </c>
      <c r="AI14" s="14">
        <f t="shared" si="7"/>
        <v>0.93</v>
      </c>
      <c r="AJ14" s="13"/>
      <c r="AK14" s="12">
        <v>0.01</v>
      </c>
      <c r="AL14" s="11">
        <f t="shared" si="8"/>
        <v>1.01</v>
      </c>
      <c r="AM14" s="10">
        <f t="shared" si="9"/>
        <v>5441403000</v>
      </c>
      <c r="AN14" s="9"/>
      <c r="AO14" s="16"/>
      <c r="AP14" s="71"/>
      <c r="AQ14" s="16"/>
      <c r="AR14" s="8"/>
      <c r="AS14" s="7"/>
      <c r="AT14" s="6">
        <f t="shared" si="10"/>
        <v>0</v>
      </c>
    </row>
    <row r="15" spans="1:46" s="37" customFormat="1" ht="45.75" customHeight="1" thickBot="1" x14ac:dyDescent="0.2">
      <c r="A15" s="35"/>
      <c r="B15" s="35"/>
      <c r="C15" s="47" t="s">
        <v>460</v>
      </c>
      <c r="D15" s="70" t="s">
        <v>459</v>
      </c>
      <c r="E15" s="47"/>
      <c r="F15" s="73"/>
      <c r="G15" s="51"/>
      <c r="H15" s="45"/>
      <c r="I15" s="38">
        <v>0.51</v>
      </c>
      <c r="J15" s="30">
        <v>0.49</v>
      </c>
      <c r="K15" s="29"/>
      <c r="L15" s="28"/>
      <c r="M15" s="27"/>
      <c r="N15" s="26">
        <f t="shared" si="0"/>
        <v>1</v>
      </c>
      <c r="O15" s="65">
        <v>15</v>
      </c>
      <c r="P15" s="23">
        <v>15</v>
      </c>
      <c r="Q15" s="42"/>
      <c r="R15" s="42"/>
      <c r="S15" s="23"/>
      <c r="T15" s="20">
        <f t="shared" si="1"/>
        <v>15</v>
      </c>
      <c r="U15" s="19">
        <f t="shared" si="2"/>
        <v>15</v>
      </c>
      <c r="V15" s="52">
        <v>24296161000</v>
      </c>
      <c r="W15" s="59">
        <v>11025340000</v>
      </c>
      <c r="X15" s="41"/>
      <c r="Y15" s="22"/>
      <c r="Z15" s="21"/>
      <c r="AA15" s="20">
        <f t="shared" si="3"/>
        <v>23.04</v>
      </c>
      <c r="AB15" s="19">
        <f t="shared" si="4"/>
        <v>15</v>
      </c>
      <c r="AC15" s="16">
        <v>20</v>
      </c>
      <c r="AD15" s="18"/>
      <c r="AE15" s="97">
        <v>0.36</v>
      </c>
      <c r="AF15" s="23">
        <f t="shared" si="5"/>
        <v>30</v>
      </c>
      <c r="AG15" s="16">
        <v>45</v>
      </c>
      <c r="AH15" s="23">
        <f t="shared" si="6"/>
        <v>95.36</v>
      </c>
      <c r="AI15" s="14">
        <f t="shared" si="7"/>
        <v>0.85499999999999998</v>
      </c>
      <c r="AJ15" s="13"/>
      <c r="AK15" s="12">
        <v>0.01</v>
      </c>
      <c r="AL15" s="11">
        <f t="shared" si="8"/>
        <v>1.01</v>
      </c>
      <c r="AM15" s="10">
        <f t="shared" si="9"/>
        <v>5002580000</v>
      </c>
      <c r="AN15" s="9"/>
      <c r="AO15" s="74"/>
      <c r="AP15" s="71"/>
      <c r="AQ15" s="71"/>
      <c r="AR15" s="8"/>
      <c r="AS15" s="7"/>
      <c r="AT15" s="6">
        <f t="shared" si="10"/>
        <v>0</v>
      </c>
    </row>
    <row r="16" spans="1:46" s="37" customFormat="1" ht="45.75" customHeight="1" thickBot="1" x14ac:dyDescent="0.2">
      <c r="A16" s="35"/>
      <c r="B16" s="35"/>
      <c r="C16" s="39" t="s">
        <v>458</v>
      </c>
      <c r="D16" s="151" t="s">
        <v>457</v>
      </c>
      <c r="E16" s="39"/>
      <c r="F16" s="34"/>
      <c r="G16" s="33"/>
      <c r="H16" s="32"/>
      <c r="I16" s="38">
        <v>0.51</v>
      </c>
      <c r="J16" s="30">
        <v>0.49</v>
      </c>
      <c r="K16" s="29"/>
      <c r="L16" s="28"/>
      <c r="M16" s="27"/>
      <c r="N16" s="26">
        <f t="shared" si="0"/>
        <v>1</v>
      </c>
      <c r="O16" s="25">
        <v>15</v>
      </c>
      <c r="P16" s="23">
        <v>15</v>
      </c>
      <c r="Q16" s="24"/>
      <c r="R16" s="24"/>
      <c r="S16" s="23"/>
      <c r="T16" s="20">
        <f t="shared" si="1"/>
        <v>15</v>
      </c>
      <c r="U16" s="19">
        <f t="shared" si="2"/>
        <v>15</v>
      </c>
      <c r="V16" s="61">
        <v>46537406000</v>
      </c>
      <c r="W16" s="59">
        <v>8519011000</v>
      </c>
      <c r="X16" s="22"/>
      <c r="Y16" s="22"/>
      <c r="Z16" s="21"/>
      <c r="AA16" s="20">
        <f t="shared" si="3"/>
        <v>36.130000000000003</v>
      </c>
      <c r="AB16" s="19">
        <f t="shared" si="4"/>
        <v>15</v>
      </c>
      <c r="AC16" s="16">
        <v>20</v>
      </c>
      <c r="AD16" s="18"/>
      <c r="AE16" s="97">
        <v>0.36</v>
      </c>
      <c r="AF16" s="23">
        <f t="shared" si="5"/>
        <v>30</v>
      </c>
      <c r="AG16" s="16">
        <v>45</v>
      </c>
      <c r="AH16" s="23">
        <f t="shared" si="6"/>
        <v>95.36</v>
      </c>
      <c r="AI16" s="14">
        <f t="shared" si="7"/>
        <v>0.85499999999999998</v>
      </c>
      <c r="AJ16" s="13"/>
      <c r="AK16" s="12">
        <v>0.01</v>
      </c>
      <c r="AL16" s="11">
        <f t="shared" si="8"/>
        <v>1.01</v>
      </c>
      <c r="AM16" s="10">
        <f t="shared" si="9"/>
        <v>5002580000</v>
      </c>
      <c r="AN16" s="9"/>
      <c r="AO16" s="8"/>
      <c r="AP16" s="8"/>
      <c r="AQ16" s="8"/>
      <c r="AR16" s="8"/>
      <c r="AS16" s="7"/>
      <c r="AT16" s="6">
        <f t="shared" si="10"/>
        <v>0</v>
      </c>
    </row>
    <row r="17" spans="1:46" s="37" customFormat="1" ht="45.75" customHeight="1" thickBot="1" x14ac:dyDescent="0.2">
      <c r="A17" s="35"/>
      <c r="B17" s="35"/>
      <c r="C17" s="39" t="s">
        <v>456</v>
      </c>
      <c r="D17" s="39"/>
      <c r="E17" s="39"/>
      <c r="F17" s="73"/>
      <c r="G17" s="51"/>
      <c r="H17" s="45"/>
      <c r="I17" s="38">
        <v>0.7</v>
      </c>
      <c r="J17" s="30">
        <v>0.3</v>
      </c>
      <c r="K17" s="29"/>
      <c r="L17" s="28"/>
      <c r="M17" s="27"/>
      <c r="N17" s="26">
        <f t="shared" si="0"/>
        <v>1</v>
      </c>
      <c r="O17" s="65">
        <v>15</v>
      </c>
      <c r="P17" s="42"/>
      <c r="Q17" s="42"/>
      <c r="R17" s="42"/>
      <c r="S17" s="23"/>
      <c r="T17" s="20">
        <f t="shared" si="1"/>
        <v>10.5</v>
      </c>
      <c r="U17" s="19">
        <f t="shared" si="2"/>
        <v>10.5</v>
      </c>
      <c r="V17" s="59">
        <v>233566701000</v>
      </c>
      <c r="W17" s="76"/>
      <c r="X17" s="76"/>
      <c r="Y17" s="59"/>
      <c r="Z17" s="68"/>
      <c r="AA17" s="20">
        <f t="shared" si="3"/>
        <v>211.67</v>
      </c>
      <c r="AB17" s="19">
        <f t="shared" si="4"/>
        <v>15</v>
      </c>
      <c r="AC17" s="16">
        <v>20</v>
      </c>
      <c r="AD17" s="18"/>
      <c r="AE17" s="97">
        <v>0.36</v>
      </c>
      <c r="AF17" s="23">
        <f t="shared" si="5"/>
        <v>25.5</v>
      </c>
      <c r="AG17" s="16">
        <v>45</v>
      </c>
      <c r="AH17" s="23">
        <f t="shared" si="6"/>
        <v>90.86</v>
      </c>
      <c r="AI17" s="14">
        <f t="shared" si="7"/>
        <v>0.87749999999999995</v>
      </c>
      <c r="AJ17" s="13"/>
      <c r="AK17" s="12">
        <v>0.01</v>
      </c>
      <c r="AL17" s="11">
        <f t="shared" si="8"/>
        <v>1.01</v>
      </c>
      <c r="AM17" s="10">
        <f t="shared" si="9"/>
        <v>5134227000</v>
      </c>
      <c r="AN17" s="9"/>
      <c r="AO17" s="72"/>
      <c r="AP17" s="71"/>
      <c r="AQ17" s="72"/>
      <c r="AR17" s="8"/>
      <c r="AS17" s="7"/>
      <c r="AT17" s="6">
        <f t="shared" si="10"/>
        <v>0</v>
      </c>
    </row>
    <row r="18" spans="1:46" s="37" customFormat="1" ht="45.75" customHeight="1" thickBot="1" x14ac:dyDescent="0.2">
      <c r="A18" s="35"/>
      <c r="B18" s="35"/>
      <c r="C18" s="39" t="s">
        <v>455</v>
      </c>
      <c r="D18" s="70" t="s">
        <v>454</v>
      </c>
      <c r="E18" s="39" t="s">
        <v>453</v>
      </c>
      <c r="F18" s="73"/>
      <c r="G18" s="51"/>
      <c r="H18" s="45"/>
      <c r="I18" s="38">
        <v>0.5</v>
      </c>
      <c r="J18" s="30">
        <v>0.3</v>
      </c>
      <c r="K18" s="29">
        <v>0.2</v>
      </c>
      <c r="L18" s="30"/>
      <c r="M18" s="27"/>
      <c r="N18" s="26">
        <f t="shared" si="0"/>
        <v>1</v>
      </c>
      <c r="O18" s="65">
        <v>15</v>
      </c>
      <c r="P18" s="23">
        <v>15</v>
      </c>
      <c r="Q18" s="42">
        <v>15</v>
      </c>
      <c r="R18" s="42"/>
      <c r="S18" s="42"/>
      <c r="T18" s="20">
        <f t="shared" si="1"/>
        <v>15</v>
      </c>
      <c r="U18" s="19">
        <f t="shared" si="2"/>
        <v>15</v>
      </c>
      <c r="V18" s="90">
        <v>180536694000</v>
      </c>
      <c r="W18" s="41">
        <v>855261000</v>
      </c>
      <c r="X18" s="61">
        <v>5383000000</v>
      </c>
      <c r="Y18" s="22"/>
      <c r="Z18" s="21"/>
      <c r="AA18" s="20">
        <f t="shared" si="3"/>
        <v>118.59</v>
      </c>
      <c r="AB18" s="19">
        <f t="shared" si="4"/>
        <v>15</v>
      </c>
      <c r="AC18" s="16">
        <v>20</v>
      </c>
      <c r="AD18" s="83"/>
      <c r="AE18" s="97">
        <v>0.36</v>
      </c>
      <c r="AF18" s="23">
        <f t="shared" si="5"/>
        <v>30</v>
      </c>
      <c r="AG18" s="16">
        <v>45</v>
      </c>
      <c r="AH18" s="23">
        <f t="shared" si="6"/>
        <v>95.36</v>
      </c>
      <c r="AI18" s="14">
        <f t="shared" si="7"/>
        <v>0.85499999999999998</v>
      </c>
      <c r="AJ18" s="13"/>
      <c r="AK18" s="12">
        <v>0.01</v>
      </c>
      <c r="AL18" s="11">
        <f t="shared" si="8"/>
        <v>1.01</v>
      </c>
      <c r="AM18" s="10">
        <f t="shared" si="9"/>
        <v>5002580000</v>
      </c>
      <c r="AN18" s="9"/>
      <c r="AO18" s="16"/>
      <c r="AP18" s="87"/>
      <c r="AQ18" s="81"/>
      <c r="AR18" s="8"/>
      <c r="AS18" s="7"/>
      <c r="AT18" s="6">
        <f t="shared" si="10"/>
        <v>0</v>
      </c>
    </row>
    <row r="19" spans="1:46" s="37" customFormat="1" ht="45.75" customHeight="1" thickBot="1" x14ac:dyDescent="0.2">
      <c r="A19" s="35"/>
      <c r="B19" s="35"/>
      <c r="C19" s="39" t="s">
        <v>452</v>
      </c>
      <c r="D19" s="70" t="s">
        <v>451</v>
      </c>
      <c r="E19" s="39"/>
      <c r="F19" s="73"/>
      <c r="G19" s="51"/>
      <c r="H19" s="45"/>
      <c r="I19" s="38">
        <v>0.6</v>
      </c>
      <c r="J19" s="30">
        <v>0.4</v>
      </c>
      <c r="K19" s="29"/>
      <c r="L19" s="28"/>
      <c r="M19" s="27"/>
      <c r="N19" s="26">
        <f t="shared" si="0"/>
        <v>1</v>
      </c>
      <c r="O19" s="65">
        <v>15</v>
      </c>
      <c r="P19" s="23">
        <v>15</v>
      </c>
      <c r="Q19" s="42"/>
      <c r="R19" s="42"/>
      <c r="S19" s="23"/>
      <c r="T19" s="20">
        <f t="shared" si="1"/>
        <v>15</v>
      </c>
      <c r="U19" s="19">
        <f t="shared" si="2"/>
        <v>15</v>
      </c>
      <c r="V19" s="62">
        <v>618668065000</v>
      </c>
      <c r="W19" s="59">
        <v>2509847000</v>
      </c>
      <c r="X19" s="59"/>
      <c r="Y19" s="59"/>
      <c r="Z19" s="21"/>
      <c r="AA19" s="20">
        <f t="shared" si="3"/>
        <v>481.88</v>
      </c>
      <c r="AB19" s="19">
        <f t="shared" si="4"/>
        <v>15</v>
      </c>
      <c r="AC19" s="16">
        <v>20</v>
      </c>
      <c r="AD19" s="18"/>
      <c r="AE19" s="97">
        <v>0.36</v>
      </c>
      <c r="AF19" s="23">
        <f t="shared" si="5"/>
        <v>30</v>
      </c>
      <c r="AG19" s="16">
        <v>45</v>
      </c>
      <c r="AH19" s="23">
        <f t="shared" si="6"/>
        <v>95.36</v>
      </c>
      <c r="AI19" s="14">
        <f t="shared" si="7"/>
        <v>0.85499999999999998</v>
      </c>
      <c r="AJ19" s="13"/>
      <c r="AK19" s="12">
        <v>0.01</v>
      </c>
      <c r="AL19" s="11">
        <f t="shared" si="8"/>
        <v>1.01</v>
      </c>
      <c r="AM19" s="10">
        <f t="shared" si="9"/>
        <v>5002580000</v>
      </c>
      <c r="AN19" s="9"/>
      <c r="AO19" s="16"/>
      <c r="AP19" s="81"/>
      <c r="AQ19" s="87"/>
      <c r="AR19" s="8"/>
      <c r="AS19" s="7"/>
      <c r="AT19" s="6">
        <f t="shared" si="10"/>
        <v>0</v>
      </c>
    </row>
    <row r="20" spans="1:46" s="37" customFormat="1" ht="45.75" customHeight="1" thickBot="1" x14ac:dyDescent="0.2">
      <c r="A20" s="35"/>
      <c r="B20" s="35"/>
      <c r="C20" s="39" t="s">
        <v>450</v>
      </c>
      <c r="D20" s="70" t="s">
        <v>449</v>
      </c>
      <c r="E20" s="39"/>
      <c r="F20" s="73"/>
      <c r="G20" s="51"/>
      <c r="H20" s="45"/>
      <c r="I20" s="38">
        <v>0.6</v>
      </c>
      <c r="J20" s="30">
        <v>0.4</v>
      </c>
      <c r="K20" s="29"/>
      <c r="L20" s="28"/>
      <c r="M20" s="27"/>
      <c r="N20" s="26">
        <f t="shared" si="0"/>
        <v>1</v>
      </c>
      <c r="O20" s="65">
        <v>15</v>
      </c>
      <c r="P20" s="23">
        <v>15</v>
      </c>
      <c r="Q20" s="23"/>
      <c r="R20" s="42"/>
      <c r="S20" s="23"/>
      <c r="T20" s="20">
        <f t="shared" si="1"/>
        <v>15</v>
      </c>
      <c r="U20" s="19">
        <f t="shared" si="2"/>
        <v>15</v>
      </c>
      <c r="V20" s="62">
        <v>227887155000</v>
      </c>
      <c r="W20" s="59">
        <v>5149193000</v>
      </c>
      <c r="X20" s="59"/>
      <c r="Y20" s="22"/>
      <c r="Z20" s="21"/>
      <c r="AA20" s="20">
        <f t="shared" si="3"/>
        <v>179.69</v>
      </c>
      <c r="AB20" s="19">
        <f t="shared" si="4"/>
        <v>15</v>
      </c>
      <c r="AC20" s="16">
        <v>20</v>
      </c>
      <c r="AD20" s="18"/>
      <c r="AE20" s="97">
        <v>0.36</v>
      </c>
      <c r="AF20" s="23">
        <f t="shared" si="5"/>
        <v>30</v>
      </c>
      <c r="AG20" s="16">
        <v>45</v>
      </c>
      <c r="AH20" s="23">
        <f t="shared" si="6"/>
        <v>95.36</v>
      </c>
      <c r="AI20" s="14">
        <f t="shared" si="7"/>
        <v>0.85499999999999998</v>
      </c>
      <c r="AJ20" s="13"/>
      <c r="AK20" s="12">
        <v>0.01</v>
      </c>
      <c r="AL20" s="11">
        <f t="shared" si="8"/>
        <v>1.01</v>
      </c>
      <c r="AM20" s="10">
        <f t="shared" si="9"/>
        <v>5002580000</v>
      </c>
      <c r="AN20" s="9"/>
      <c r="AO20" s="16"/>
      <c r="AP20" s="81"/>
      <c r="AQ20" s="88"/>
      <c r="AR20" s="8"/>
      <c r="AS20" s="7"/>
      <c r="AT20" s="6">
        <f t="shared" si="10"/>
        <v>0</v>
      </c>
    </row>
    <row r="21" spans="1:46" s="37" customFormat="1" ht="45.75" customHeight="1" thickBot="1" x14ac:dyDescent="0.2">
      <c r="A21" s="35"/>
      <c r="B21" s="35"/>
      <c r="C21" s="39" t="s">
        <v>448</v>
      </c>
      <c r="D21" s="70" t="s">
        <v>447</v>
      </c>
      <c r="E21" s="39"/>
      <c r="F21" s="63"/>
      <c r="G21" s="51"/>
      <c r="H21" s="45"/>
      <c r="I21" s="38">
        <v>0.5</v>
      </c>
      <c r="J21" s="30">
        <v>0.3</v>
      </c>
      <c r="K21" s="29">
        <v>0.2</v>
      </c>
      <c r="L21" s="28"/>
      <c r="M21" s="27"/>
      <c r="N21" s="26">
        <f t="shared" si="0"/>
        <v>1</v>
      </c>
      <c r="O21" s="65">
        <v>15</v>
      </c>
      <c r="P21" s="23">
        <v>15</v>
      </c>
      <c r="Q21" s="42">
        <v>15</v>
      </c>
      <c r="R21" s="42"/>
      <c r="S21" s="42"/>
      <c r="T21" s="20">
        <f t="shared" si="1"/>
        <v>15</v>
      </c>
      <c r="U21" s="19">
        <f t="shared" si="2"/>
        <v>15</v>
      </c>
      <c r="V21" s="61">
        <v>75890281000</v>
      </c>
      <c r="W21" s="22">
        <v>2939789000</v>
      </c>
      <c r="X21" s="59"/>
      <c r="Y21" s="48"/>
      <c r="Z21" s="21"/>
      <c r="AA21" s="20">
        <f t="shared" si="3"/>
        <v>50.27</v>
      </c>
      <c r="AB21" s="19">
        <f t="shared" si="4"/>
        <v>15</v>
      </c>
      <c r="AC21" s="16">
        <v>20</v>
      </c>
      <c r="AD21" s="18"/>
      <c r="AE21" s="97">
        <v>0.36</v>
      </c>
      <c r="AF21" s="23">
        <f t="shared" si="5"/>
        <v>30</v>
      </c>
      <c r="AG21" s="16">
        <v>45</v>
      </c>
      <c r="AH21" s="23">
        <f t="shared" si="6"/>
        <v>95.36</v>
      </c>
      <c r="AI21" s="14">
        <f t="shared" si="7"/>
        <v>0.85499999999999998</v>
      </c>
      <c r="AJ21" s="13"/>
      <c r="AK21" s="12">
        <v>0.01</v>
      </c>
      <c r="AL21" s="11">
        <f t="shared" si="8"/>
        <v>1.01</v>
      </c>
      <c r="AM21" s="10">
        <f t="shared" si="9"/>
        <v>5002580000</v>
      </c>
      <c r="AN21" s="9"/>
      <c r="AO21" s="8"/>
      <c r="AP21" s="8"/>
      <c r="AQ21" s="8"/>
      <c r="AR21" s="8"/>
      <c r="AS21" s="7"/>
      <c r="AT21" s="6">
        <f t="shared" si="10"/>
        <v>0</v>
      </c>
    </row>
    <row r="22" spans="1:46" s="37" customFormat="1" ht="45.75" customHeight="1" thickBot="1" x14ac:dyDescent="0.2">
      <c r="A22" s="36"/>
      <c r="B22" s="35"/>
      <c r="C22" s="47" t="s">
        <v>446</v>
      </c>
      <c r="D22" s="70" t="s">
        <v>445</v>
      </c>
      <c r="E22" s="47" t="s">
        <v>444</v>
      </c>
      <c r="F22" s="39"/>
      <c r="G22" s="46"/>
      <c r="H22" s="45"/>
      <c r="I22" s="38">
        <v>0.5</v>
      </c>
      <c r="J22" s="30">
        <v>0.3</v>
      </c>
      <c r="K22" s="29">
        <v>0.2</v>
      </c>
      <c r="L22" s="28"/>
      <c r="M22" s="27"/>
      <c r="N22" s="26">
        <f t="shared" si="0"/>
        <v>1</v>
      </c>
      <c r="O22" s="44">
        <v>15</v>
      </c>
      <c r="P22" s="43">
        <v>15</v>
      </c>
      <c r="Q22" s="42">
        <v>15</v>
      </c>
      <c r="R22" s="42"/>
      <c r="S22" s="42"/>
      <c r="T22" s="20">
        <f t="shared" si="1"/>
        <v>15</v>
      </c>
      <c r="U22" s="19">
        <f t="shared" si="2"/>
        <v>15</v>
      </c>
      <c r="V22" s="54">
        <v>139068887000</v>
      </c>
      <c r="W22" s="59">
        <v>2158225000</v>
      </c>
      <c r="X22" s="41">
        <v>876448000</v>
      </c>
      <c r="Y22" s="48"/>
      <c r="Z22" s="21"/>
      <c r="AA22" s="20">
        <f t="shared" si="3"/>
        <v>91.09</v>
      </c>
      <c r="AB22" s="19">
        <f t="shared" si="4"/>
        <v>15</v>
      </c>
      <c r="AC22" s="16">
        <v>20</v>
      </c>
      <c r="AD22" s="18"/>
      <c r="AE22" s="97">
        <v>0.36</v>
      </c>
      <c r="AF22" s="23">
        <f t="shared" si="5"/>
        <v>30</v>
      </c>
      <c r="AG22" s="16">
        <v>45</v>
      </c>
      <c r="AH22" s="23">
        <f t="shared" si="6"/>
        <v>95.36</v>
      </c>
      <c r="AI22" s="14">
        <f t="shared" si="7"/>
        <v>0.85499999999999998</v>
      </c>
      <c r="AJ22" s="13"/>
      <c r="AK22" s="12">
        <v>0.01</v>
      </c>
      <c r="AL22" s="11">
        <f t="shared" si="8"/>
        <v>1.01</v>
      </c>
      <c r="AM22" s="10">
        <f t="shared" si="9"/>
        <v>5002580000</v>
      </c>
      <c r="AN22" s="9"/>
      <c r="AO22" s="8"/>
      <c r="AP22" s="8"/>
      <c r="AQ22" s="8"/>
      <c r="AR22" s="8"/>
      <c r="AS22" s="7"/>
      <c r="AT22" s="6">
        <f t="shared" si="10"/>
        <v>0</v>
      </c>
    </row>
    <row r="23" spans="1:46" s="37" customFormat="1" ht="45.75" customHeight="1" thickBot="1" x14ac:dyDescent="0.2">
      <c r="A23" s="35"/>
      <c r="B23" s="35"/>
      <c r="C23" s="39" t="s">
        <v>443</v>
      </c>
      <c r="D23" s="96" t="s">
        <v>442</v>
      </c>
      <c r="E23" s="39"/>
      <c r="F23" s="73"/>
      <c r="G23" s="51"/>
      <c r="H23" s="45"/>
      <c r="I23" s="38">
        <v>0.51</v>
      </c>
      <c r="J23" s="30">
        <v>0.49</v>
      </c>
      <c r="K23" s="29"/>
      <c r="L23" s="28"/>
      <c r="M23" s="27"/>
      <c r="N23" s="26">
        <f t="shared" si="0"/>
        <v>1</v>
      </c>
      <c r="O23" s="65">
        <v>15</v>
      </c>
      <c r="P23" s="23">
        <v>15</v>
      </c>
      <c r="Q23" s="42"/>
      <c r="R23" s="42"/>
      <c r="S23" s="23"/>
      <c r="T23" s="20">
        <f t="shared" si="1"/>
        <v>15</v>
      </c>
      <c r="U23" s="19">
        <f t="shared" si="2"/>
        <v>15</v>
      </c>
      <c r="V23" s="59">
        <v>32826052000</v>
      </c>
      <c r="W23" s="48">
        <v>817058000</v>
      </c>
      <c r="X23" s="59"/>
      <c r="Y23" s="22"/>
      <c r="Z23" s="21"/>
      <c r="AA23" s="20">
        <f t="shared" si="3"/>
        <v>22.19</v>
      </c>
      <c r="AB23" s="19">
        <f t="shared" si="4"/>
        <v>15</v>
      </c>
      <c r="AC23" s="16">
        <v>20</v>
      </c>
      <c r="AD23" s="18"/>
      <c r="AE23" s="97">
        <v>0.36</v>
      </c>
      <c r="AF23" s="23">
        <f t="shared" si="5"/>
        <v>30</v>
      </c>
      <c r="AG23" s="16">
        <v>45</v>
      </c>
      <c r="AH23" s="23">
        <f t="shared" si="6"/>
        <v>95.36</v>
      </c>
      <c r="AI23" s="14">
        <f t="shared" si="7"/>
        <v>0.85499999999999998</v>
      </c>
      <c r="AJ23" s="13"/>
      <c r="AK23" s="12">
        <v>0.01</v>
      </c>
      <c r="AL23" s="11">
        <f t="shared" si="8"/>
        <v>1.01</v>
      </c>
      <c r="AM23" s="10">
        <f t="shared" si="9"/>
        <v>5002580000</v>
      </c>
      <c r="AN23" s="9"/>
      <c r="AO23" s="81"/>
      <c r="AP23" s="87"/>
      <c r="AQ23" s="81"/>
      <c r="AR23" s="8"/>
      <c r="AS23" s="7"/>
      <c r="AT23" s="6">
        <f t="shared" si="10"/>
        <v>0</v>
      </c>
    </row>
    <row r="24" spans="1:46" s="37" customFormat="1" ht="45.75" customHeight="1" thickBot="1" x14ac:dyDescent="0.2">
      <c r="A24" s="35"/>
      <c r="B24" s="35"/>
      <c r="C24" s="39" t="s">
        <v>441</v>
      </c>
      <c r="D24" s="70" t="s">
        <v>440</v>
      </c>
      <c r="E24" s="39"/>
      <c r="F24" s="73"/>
      <c r="G24" s="51"/>
      <c r="H24" s="45"/>
      <c r="I24" s="38">
        <v>0.51</v>
      </c>
      <c r="J24" s="30">
        <v>0.49</v>
      </c>
      <c r="K24" s="29"/>
      <c r="L24" s="28"/>
      <c r="M24" s="27"/>
      <c r="N24" s="26">
        <f t="shared" si="0"/>
        <v>1</v>
      </c>
      <c r="O24" s="65">
        <v>15</v>
      </c>
      <c r="P24" s="23">
        <v>15</v>
      </c>
      <c r="Q24" s="42"/>
      <c r="R24" s="42"/>
      <c r="S24" s="23"/>
      <c r="T24" s="20">
        <f t="shared" si="1"/>
        <v>15</v>
      </c>
      <c r="U24" s="19">
        <f t="shared" si="2"/>
        <v>15</v>
      </c>
      <c r="V24" s="61">
        <v>29846687000</v>
      </c>
      <c r="W24" s="59">
        <v>7357952000</v>
      </c>
      <c r="X24" s="59"/>
      <c r="Y24" s="22"/>
      <c r="Z24" s="21"/>
      <c r="AA24" s="20">
        <f t="shared" si="3"/>
        <v>24.37</v>
      </c>
      <c r="AB24" s="19">
        <f t="shared" si="4"/>
        <v>15</v>
      </c>
      <c r="AC24" s="16">
        <v>20</v>
      </c>
      <c r="AD24" s="18"/>
      <c r="AE24" s="97">
        <v>0.36</v>
      </c>
      <c r="AF24" s="23">
        <f t="shared" si="5"/>
        <v>30</v>
      </c>
      <c r="AG24" s="16">
        <v>45</v>
      </c>
      <c r="AH24" s="23">
        <f t="shared" si="6"/>
        <v>95.36</v>
      </c>
      <c r="AI24" s="14">
        <f t="shared" si="7"/>
        <v>0.85499999999999998</v>
      </c>
      <c r="AJ24" s="13"/>
      <c r="AK24" s="12">
        <v>0.01</v>
      </c>
      <c r="AL24" s="11">
        <f t="shared" si="8"/>
        <v>1.01</v>
      </c>
      <c r="AM24" s="10">
        <f t="shared" si="9"/>
        <v>5002580000</v>
      </c>
      <c r="AN24" s="9"/>
      <c r="AO24" s="74"/>
      <c r="AP24" s="81"/>
      <c r="AQ24" s="71"/>
      <c r="AR24" s="8"/>
      <c r="AS24" s="7"/>
      <c r="AT24" s="6">
        <f t="shared" si="10"/>
        <v>0</v>
      </c>
    </row>
    <row r="25" spans="1:46" s="37" customFormat="1" ht="45.75" customHeight="1" thickBot="1" x14ac:dyDescent="0.2">
      <c r="A25" s="35"/>
      <c r="B25" s="35"/>
      <c r="C25" s="39"/>
      <c r="D25" s="75"/>
      <c r="E25" s="39"/>
      <c r="F25" s="63"/>
      <c r="G25" s="51"/>
      <c r="H25" s="45"/>
      <c r="I25" s="38">
        <v>0.51</v>
      </c>
      <c r="J25" s="30">
        <v>0.49</v>
      </c>
      <c r="K25" s="29"/>
      <c r="L25" s="28"/>
      <c r="M25" s="27"/>
      <c r="N25" s="26">
        <f t="shared" si="0"/>
        <v>1</v>
      </c>
      <c r="O25" s="65">
        <v>15</v>
      </c>
      <c r="P25" s="42">
        <v>15</v>
      </c>
      <c r="Q25" s="42"/>
      <c r="R25" s="42"/>
      <c r="S25" s="23"/>
      <c r="T25" s="20">
        <f t="shared" si="1"/>
        <v>15</v>
      </c>
      <c r="U25" s="19">
        <f t="shared" si="2"/>
        <v>15</v>
      </c>
      <c r="V25" s="61"/>
      <c r="W25" s="68"/>
      <c r="X25" s="59"/>
      <c r="Y25" s="22"/>
      <c r="Z25" s="21"/>
      <c r="AA25" s="20">
        <f t="shared" si="3"/>
        <v>0</v>
      </c>
      <c r="AB25" s="19">
        <f t="shared" si="4"/>
        <v>0</v>
      </c>
      <c r="AC25" s="16">
        <v>20</v>
      </c>
      <c r="AD25" s="18"/>
      <c r="AE25" s="97">
        <v>0.36</v>
      </c>
      <c r="AF25" s="23">
        <f t="shared" si="5"/>
        <v>15</v>
      </c>
      <c r="AG25" s="16">
        <v>45</v>
      </c>
      <c r="AH25" s="23">
        <f t="shared" si="6"/>
        <v>80.36</v>
      </c>
      <c r="AI25" s="14">
        <f t="shared" si="7"/>
        <v>0.93</v>
      </c>
      <c r="AJ25" s="13"/>
      <c r="AK25" s="12">
        <v>0.01</v>
      </c>
      <c r="AL25" s="11">
        <f t="shared" si="8"/>
        <v>1.01</v>
      </c>
      <c r="AM25" s="10">
        <f t="shared" si="9"/>
        <v>5441403000</v>
      </c>
      <c r="AN25" s="9"/>
      <c r="AO25" s="8"/>
      <c r="AP25" s="8"/>
      <c r="AQ25" s="8"/>
      <c r="AR25" s="8"/>
      <c r="AS25" s="7"/>
      <c r="AT25" s="6">
        <f t="shared" si="10"/>
        <v>0</v>
      </c>
    </row>
    <row r="26" spans="1:46" s="37" customFormat="1" ht="45.75" customHeight="1" thickBot="1" x14ac:dyDescent="0.2">
      <c r="A26" s="35"/>
      <c r="B26" s="35"/>
      <c r="C26" s="39" t="s">
        <v>439</v>
      </c>
      <c r="D26" s="70" t="s">
        <v>438</v>
      </c>
      <c r="E26" s="73"/>
      <c r="F26" s="73"/>
      <c r="G26" s="53"/>
      <c r="H26" s="45"/>
      <c r="I26" s="38">
        <v>0.51</v>
      </c>
      <c r="J26" s="30">
        <v>0.49</v>
      </c>
      <c r="K26" s="29"/>
      <c r="L26" s="30"/>
      <c r="M26" s="27"/>
      <c r="N26" s="26">
        <f t="shared" si="0"/>
        <v>1</v>
      </c>
      <c r="O26" s="65">
        <v>15</v>
      </c>
      <c r="P26" s="23">
        <v>15</v>
      </c>
      <c r="Q26" s="42"/>
      <c r="R26" s="42"/>
      <c r="S26" s="42"/>
      <c r="T26" s="20">
        <f t="shared" si="1"/>
        <v>15</v>
      </c>
      <c r="U26" s="19">
        <f t="shared" si="2"/>
        <v>15</v>
      </c>
      <c r="V26" s="62">
        <v>41028772000</v>
      </c>
      <c r="W26" s="22">
        <v>2065067000</v>
      </c>
      <c r="X26" s="59"/>
      <c r="Y26" s="48"/>
      <c r="Z26" s="21"/>
      <c r="AA26" s="20">
        <f t="shared" si="3"/>
        <v>28.4</v>
      </c>
      <c r="AB26" s="19">
        <f t="shared" si="4"/>
        <v>15</v>
      </c>
      <c r="AC26" s="16">
        <v>20</v>
      </c>
      <c r="AD26" s="18"/>
      <c r="AE26" s="97">
        <v>0.36</v>
      </c>
      <c r="AF26" s="23">
        <f t="shared" si="5"/>
        <v>30</v>
      </c>
      <c r="AG26" s="16">
        <v>45</v>
      </c>
      <c r="AH26" s="23">
        <f t="shared" si="6"/>
        <v>95.36</v>
      </c>
      <c r="AI26" s="14">
        <f t="shared" si="7"/>
        <v>0.85499999999999998</v>
      </c>
      <c r="AJ26" s="13"/>
      <c r="AK26" s="12">
        <v>0.01</v>
      </c>
      <c r="AL26" s="11">
        <f t="shared" si="8"/>
        <v>1.01</v>
      </c>
      <c r="AM26" s="10">
        <f t="shared" si="9"/>
        <v>5002580000</v>
      </c>
      <c r="AN26" s="9"/>
      <c r="AO26" s="74"/>
      <c r="AP26" s="71"/>
      <c r="AQ26" s="71"/>
      <c r="AR26" s="8"/>
      <c r="AS26" s="7"/>
      <c r="AT26" s="6">
        <f t="shared" si="10"/>
        <v>0</v>
      </c>
    </row>
    <row r="27" spans="1:46" s="37" customFormat="1" ht="45.75" customHeight="1" thickBot="1" x14ac:dyDescent="0.2">
      <c r="A27" s="35"/>
      <c r="B27" s="35"/>
      <c r="C27" s="67" t="s">
        <v>437</v>
      </c>
      <c r="D27" s="70"/>
      <c r="E27" s="39"/>
      <c r="F27" s="39"/>
      <c r="G27" s="53"/>
      <c r="H27" s="45"/>
      <c r="I27" s="38">
        <v>0.51</v>
      </c>
      <c r="J27" s="30">
        <v>0.49</v>
      </c>
      <c r="K27" s="29"/>
      <c r="L27" s="28"/>
      <c r="M27" s="27"/>
      <c r="N27" s="26">
        <f t="shared" si="0"/>
        <v>1</v>
      </c>
      <c r="O27" s="65">
        <v>15</v>
      </c>
      <c r="P27" s="23">
        <v>15</v>
      </c>
      <c r="Q27" s="42"/>
      <c r="R27" s="42"/>
      <c r="S27" s="23"/>
      <c r="T27" s="20">
        <f t="shared" si="1"/>
        <v>15</v>
      </c>
      <c r="U27" s="19">
        <f t="shared" si="2"/>
        <v>15</v>
      </c>
      <c r="V27" s="84">
        <v>19760143000</v>
      </c>
      <c r="W27" s="41"/>
      <c r="X27" s="22"/>
      <c r="Y27" s="22"/>
      <c r="Z27" s="21"/>
      <c r="AA27" s="20">
        <f t="shared" si="3"/>
        <v>13.05</v>
      </c>
      <c r="AB27" s="19">
        <f t="shared" si="4"/>
        <v>13.05</v>
      </c>
      <c r="AC27" s="16">
        <v>20</v>
      </c>
      <c r="AD27" s="18"/>
      <c r="AE27" s="97">
        <v>0.36</v>
      </c>
      <c r="AF27" s="23">
        <f t="shared" si="5"/>
        <v>28.05</v>
      </c>
      <c r="AG27" s="16">
        <v>45</v>
      </c>
      <c r="AH27" s="23">
        <f t="shared" si="6"/>
        <v>93.41</v>
      </c>
      <c r="AI27" s="14">
        <f t="shared" si="7"/>
        <v>0.86474999999999991</v>
      </c>
      <c r="AJ27" s="13"/>
      <c r="AK27" s="12">
        <v>0.01</v>
      </c>
      <c r="AL27" s="11">
        <f t="shared" si="8"/>
        <v>1.01</v>
      </c>
      <c r="AM27" s="10">
        <f t="shared" si="9"/>
        <v>5059627000</v>
      </c>
      <c r="AN27" s="9"/>
      <c r="AO27" s="8"/>
      <c r="AP27" s="8"/>
      <c r="AQ27" s="8"/>
      <c r="AR27" s="8"/>
      <c r="AS27" s="7"/>
      <c r="AT27" s="6">
        <f t="shared" si="10"/>
        <v>0</v>
      </c>
    </row>
    <row r="28" spans="1:46" s="37" customFormat="1" ht="45.75" customHeight="1" thickBot="1" x14ac:dyDescent="0.2">
      <c r="A28" s="35"/>
      <c r="B28" s="35"/>
      <c r="C28" s="39" t="s">
        <v>436</v>
      </c>
      <c r="D28" s="70" t="s">
        <v>435</v>
      </c>
      <c r="E28" s="39"/>
      <c r="F28" s="73"/>
      <c r="G28" s="51"/>
      <c r="H28" s="45"/>
      <c r="I28" s="38">
        <v>0.51</v>
      </c>
      <c r="J28" s="30">
        <v>0.49</v>
      </c>
      <c r="K28" s="29"/>
      <c r="L28" s="30"/>
      <c r="M28" s="27"/>
      <c r="N28" s="26">
        <f t="shared" si="0"/>
        <v>1</v>
      </c>
      <c r="O28" s="65">
        <v>15</v>
      </c>
      <c r="P28" s="23">
        <v>15</v>
      </c>
      <c r="Q28" s="42"/>
      <c r="R28" s="42"/>
      <c r="S28" s="42"/>
      <c r="T28" s="20">
        <f t="shared" si="1"/>
        <v>15</v>
      </c>
      <c r="U28" s="19">
        <f t="shared" si="2"/>
        <v>15</v>
      </c>
      <c r="V28" s="61">
        <v>21781049000</v>
      </c>
      <c r="W28" s="22">
        <v>3098376000</v>
      </c>
      <c r="X28" s="59"/>
      <c r="Y28" s="41"/>
      <c r="Z28" s="21"/>
      <c r="AA28" s="20">
        <f t="shared" si="3"/>
        <v>16.350000000000001</v>
      </c>
      <c r="AB28" s="19">
        <f t="shared" si="4"/>
        <v>15</v>
      </c>
      <c r="AC28" s="16">
        <v>20</v>
      </c>
      <c r="AD28" s="83"/>
      <c r="AE28" s="97">
        <v>0.36</v>
      </c>
      <c r="AF28" s="23">
        <f t="shared" si="5"/>
        <v>30</v>
      </c>
      <c r="AG28" s="16">
        <v>45</v>
      </c>
      <c r="AH28" s="23">
        <f t="shared" si="6"/>
        <v>95.36</v>
      </c>
      <c r="AI28" s="14">
        <f t="shared" si="7"/>
        <v>0.85499999999999998</v>
      </c>
      <c r="AJ28" s="13"/>
      <c r="AK28" s="12">
        <v>0.01</v>
      </c>
      <c r="AL28" s="11">
        <f t="shared" si="8"/>
        <v>1.01</v>
      </c>
      <c r="AM28" s="10">
        <f t="shared" si="9"/>
        <v>5002580000</v>
      </c>
      <c r="AN28" s="9"/>
      <c r="AO28" s="16"/>
      <c r="AP28" s="82"/>
      <c r="AQ28" s="16"/>
      <c r="AR28" s="8"/>
      <c r="AS28" s="7"/>
      <c r="AT28" s="6">
        <f t="shared" si="10"/>
        <v>0</v>
      </c>
    </row>
    <row r="29" spans="1:46" s="37" customFormat="1" ht="45.75" customHeight="1" thickBot="1" x14ac:dyDescent="0.2">
      <c r="A29" s="35"/>
      <c r="B29" s="35"/>
      <c r="C29" s="39" t="s">
        <v>434</v>
      </c>
      <c r="D29" s="39"/>
      <c r="E29" s="73"/>
      <c r="F29" s="73"/>
      <c r="G29" s="53"/>
      <c r="H29" s="45"/>
      <c r="I29" s="38">
        <v>0.51</v>
      </c>
      <c r="J29" s="30">
        <v>0.49</v>
      </c>
      <c r="K29" s="29"/>
      <c r="L29" s="28"/>
      <c r="M29" s="27"/>
      <c r="N29" s="26">
        <f t="shared" si="0"/>
        <v>1</v>
      </c>
      <c r="O29" s="65">
        <v>15</v>
      </c>
      <c r="P29" s="23">
        <v>15</v>
      </c>
      <c r="Q29" s="42"/>
      <c r="R29" s="42"/>
      <c r="S29" s="42"/>
      <c r="T29" s="20">
        <f t="shared" si="1"/>
        <v>15</v>
      </c>
      <c r="U29" s="19">
        <f t="shared" si="2"/>
        <v>15</v>
      </c>
      <c r="V29" s="61">
        <v>25680345000</v>
      </c>
      <c r="W29" s="22"/>
      <c r="X29" s="22"/>
      <c r="Y29" s="54"/>
      <c r="Z29" s="21"/>
      <c r="AA29" s="20">
        <f t="shared" si="3"/>
        <v>16.96</v>
      </c>
      <c r="AB29" s="19">
        <f t="shared" si="4"/>
        <v>15</v>
      </c>
      <c r="AC29" s="16">
        <v>20</v>
      </c>
      <c r="AD29" s="18"/>
      <c r="AE29" s="97">
        <v>0.36</v>
      </c>
      <c r="AF29" s="23">
        <f t="shared" si="5"/>
        <v>30</v>
      </c>
      <c r="AG29" s="16">
        <v>45</v>
      </c>
      <c r="AH29" s="23">
        <f t="shared" si="6"/>
        <v>95.36</v>
      </c>
      <c r="AI29" s="14">
        <f t="shared" si="7"/>
        <v>0.85499999999999998</v>
      </c>
      <c r="AJ29" s="13"/>
      <c r="AK29" s="12">
        <v>0.01</v>
      </c>
      <c r="AL29" s="11">
        <f t="shared" si="8"/>
        <v>1.01</v>
      </c>
      <c r="AM29" s="10">
        <f t="shared" si="9"/>
        <v>5002580000</v>
      </c>
      <c r="AN29" s="9"/>
      <c r="AO29" s="74"/>
      <c r="AP29" s="72"/>
      <c r="AQ29" s="72"/>
      <c r="AR29" s="8"/>
      <c r="AS29" s="7"/>
      <c r="AT29" s="6">
        <f t="shared" si="10"/>
        <v>0</v>
      </c>
    </row>
    <row r="30" spans="1:46" s="37" customFormat="1" ht="45.75" customHeight="1" thickBot="1" x14ac:dyDescent="0.2">
      <c r="A30" s="35"/>
      <c r="B30" s="35"/>
      <c r="C30" s="39" t="s">
        <v>433</v>
      </c>
      <c r="D30" s="39"/>
      <c r="E30" s="73"/>
      <c r="F30" s="73"/>
      <c r="G30" s="51"/>
      <c r="H30" s="45"/>
      <c r="I30" s="38">
        <v>0.51</v>
      </c>
      <c r="J30" s="30">
        <v>0.49</v>
      </c>
      <c r="K30" s="29"/>
      <c r="L30" s="28"/>
      <c r="M30" s="27"/>
      <c r="N30" s="26">
        <f t="shared" si="0"/>
        <v>1</v>
      </c>
      <c r="O30" s="65">
        <v>15</v>
      </c>
      <c r="P30" s="23">
        <v>15</v>
      </c>
      <c r="Q30" s="42"/>
      <c r="R30" s="42"/>
      <c r="S30" s="23"/>
      <c r="T30" s="20">
        <f t="shared" si="1"/>
        <v>15</v>
      </c>
      <c r="U30" s="19">
        <f t="shared" si="2"/>
        <v>15</v>
      </c>
      <c r="V30" s="61">
        <v>23278347000</v>
      </c>
      <c r="W30" s="48"/>
      <c r="X30" s="59"/>
      <c r="Y30" s="59"/>
      <c r="Z30" s="21"/>
      <c r="AA30" s="20">
        <f t="shared" si="3"/>
        <v>15.37</v>
      </c>
      <c r="AB30" s="19">
        <f t="shared" si="4"/>
        <v>15</v>
      </c>
      <c r="AC30" s="16">
        <v>20</v>
      </c>
      <c r="AD30" s="18"/>
      <c r="AE30" s="97">
        <v>0.36</v>
      </c>
      <c r="AF30" s="23">
        <f t="shared" si="5"/>
        <v>30</v>
      </c>
      <c r="AG30" s="16">
        <v>45</v>
      </c>
      <c r="AH30" s="23">
        <f t="shared" si="6"/>
        <v>95.36</v>
      </c>
      <c r="AI30" s="14">
        <f t="shared" si="7"/>
        <v>0.85499999999999998</v>
      </c>
      <c r="AJ30" s="13"/>
      <c r="AK30" s="12">
        <v>0.01</v>
      </c>
      <c r="AL30" s="11">
        <f t="shared" si="8"/>
        <v>1.01</v>
      </c>
      <c r="AM30" s="10">
        <f t="shared" si="9"/>
        <v>5002580000</v>
      </c>
      <c r="AN30" s="9"/>
      <c r="AO30" s="16"/>
      <c r="AP30" s="81"/>
      <c r="AQ30" s="81"/>
      <c r="AR30" s="8"/>
      <c r="AS30" s="7"/>
      <c r="AT30" s="6">
        <f t="shared" si="10"/>
        <v>0</v>
      </c>
    </row>
    <row r="31" spans="1:46" s="37" customFormat="1" ht="45.75" customHeight="1" thickBot="1" x14ac:dyDescent="0.2">
      <c r="A31" s="35"/>
      <c r="B31" s="35"/>
      <c r="C31" s="39"/>
      <c r="D31" s="39" t="s">
        <v>432</v>
      </c>
      <c r="E31" s="67"/>
      <c r="F31" s="66"/>
      <c r="G31" s="53"/>
      <c r="H31" s="45"/>
      <c r="I31" s="38">
        <v>0.51</v>
      </c>
      <c r="J31" s="30">
        <v>0.49</v>
      </c>
      <c r="K31" s="29"/>
      <c r="L31" s="28"/>
      <c r="M31" s="27"/>
      <c r="N31" s="26">
        <f t="shared" si="0"/>
        <v>1</v>
      </c>
      <c r="O31" s="65">
        <v>15</v>
      </c>
      <c r="P31" s="23">
        <v>15</v>
      </c>
      <c r="Q31" s="42"/>
      <c r="R31" s="42"/>
      <c r="S31" s="42"/>
      <c r="T31" s="20">
        <f t="shared" si="1"/>
        <v>15</v>
      </c>
      <c r="U31" s="19">
        <f t="shared" si="2"/>
        <v>15</v>
      </c>
      <c r="V31" s="85"/>
      <c r="W31" s="59">
        <v>101360213000</v>
      </c>
      <c r="X31" s="54"/>
      <c r="Y31" s="54"/>
      <c r="Z31" s="21"/>
      <c r="AA31" s="20">
        <f t="shared" si="3"/>
        <v>64.3</v>
      </c>
      <c r="AB31" s="19">
        <f t="shared" si="4"/>
        <v>15</v>
      </c>
      <c r="AC31" s="16">
        <v>20</v>
      </c>
      <c r="AD31" s="18"/>
      <c r="AE31" s="97">
        <v>0.36</v>
      </c>
      <c r="AF31" s="23">
        <f t="shared" si="5"/>
        <v>30</v>
      </c>
      <c r="AG31" s="16">
        <v>45</v>
      </c>
      <c r="AH31" s="23">
        <f t="shared" si="6"/>
        <v>95.36</v>
      </c>
      <c r="AI31" s="14">
        <f t="shared" si="7"/>
        <v>0.85499999999999998</v>
      </c>
      <c r="AJ31" s="13"/>
      <c r="AK31" s="12">
        <v>0.01</v>
      </c>
      <c r="AL31" s="11">
        <f t="shared" si="8"/>
        <v>1.01</v>
      </c>
      <c r="AM31" s="10">
        <f t="shared" si="9"/>
        <v>5002580000</v>
      </c>
      <c r="AN31" s="9"/>
      <c r="AO31" s="8"/>
      <c r="AP31" s="8"/>
      <c r="AQ31" s="8"/>
      <c r="AR31" s="8"/>
      <c r="AS31" s="7"/>
      <c r="AT31" s="6">
        <f t="shared" si="10"/>
        <v>0</v>
      </c>
    </row>
    <row r="32" spans="1:46" s="37" customFormat="1" ht="45.75" customHeight="1" thickBot="1" x14ac:dyDescent="0.2">
      <c r="A32" s="35"/>
      <c r="B32" s="35"/>
      <c r="C32" s="39"/>
      <c r="D32" s="39" t="s">
        <v>431</v>
      </c>
      <c r="E32" s="34"/>
      <c r="F32" s="34"/>
      <c r="G32" s="33"/>
      <c r="H32" s="32"/>
      <c r="I32" s="38">
        <v>0.51</v>
      </c>
      <c r="J32" s="30">
        <v>0.49</v>
      </c>
      <c r="K32" s="29"/>
      <c r="L32" s="28"/>
      <c r="M32" s="27"/>
      <c r="N32" s="26">
        <f t="shared" si="0"/>
        <v>1</v>
      </c>
      <c r="O32" s="25">
        <v>15</v>
      </c>
      <c r="P32" s="23">
        <v>15</v>
      </c>
      <c r="Q32" s="24"/>
      <c r="R32" s="24"/>
      <c r="S32" s="23"/>
      <c r="T32" s="20">
        <f t="shared" si="1"/>
        <v>15</v>
      </c>
      <c r="U32" s="19">
        <f t="shared" si="2"/>
        <v>15</v>
      </c>
      <c r="V32" s="22"/>
      <c r="W32" s="22">
        <v>36061728000</v>
      </c>
      <c r="X32" s="22"/>
      <c r="Y32" s="22"/>
      <c r="Z32" s="21"/>
      <c r="AA32" s="20">
        <f t="shared" si="3"/>
        <v>22.88</v>
      </c>
      <c r="AB32" s="19">
        <f t="shared" si="4"/>
        <v>15</v>
      </c>
      <c r="AC32" s="16">
        <v>20</v>
      </c>
      <c r="AD32" s="18"/>
      <c r="AE32" s="97">
        <v>0.36</v>
      </c>
      <c r="AF32" s="23">
        <f t="shared" si="5"/>
        <v>30</v>
      </c>
      <c r="AG32" s="16">
        <v>45</v>
      </c>
      <c r="AH32" s="23">
        <f t="shared" si="6"/>
        <v>95.36</v>
      </c>
      <c r="AI32" s="14">
        <f t="shared" si="7"/>
        <v>0.85499999999999998</v>
      </c>
      <c r="AJ32" s="13"/>
      <c r="AK32" s="12">
        <v>0.01</v>
      </c>
      <c r="AL32" s="11">
        <f t="shared" si="8"/>
        <v>1.01</v>
      </c>
      <c r="AM32" s="10">
        <f t="shared" si="9"/>
        <v>5002580000</v>
      </c>
      <c r="AN32" s="9"/>
      <c r="AO32" s="8"/>
      <c r="AP32" s="8"/>
      <c r="AQ32" s="8"/>
      <c r="AR32" s="8"/>
      <c r="AS32" s="7"/>
      <c r="AT32" s="6">
        <f t="shared" si="10"/>
        <v>0</v>
      </c>
    </row>
    <row r="33" spans="1:46" s="37" customFormat="1" ht="45.75" customHeight="1" thickBot="1" x14ac:dyDescent="0.2">
      <c r="A33" s="35"/>
      <c r="B33" s="35"/>
      <c r="C33" s="39" t="s">
        <v>430</v>
      </c>
      <c r="D33" s="39"/>
      <c r="E33" s="34"/>
      <c r="F33" s="63"/>
      <c r="G33" s="33"/>
      <c r="H33" s="32"/>
      <c r="I33" s="38">
        <v>0.51</v>
      </c>
      <c r="J33" s="30">
        <v>0.49</v>
      </c>
      <c r="K33" s="29"/>
      <c r="L33" s="28"/>
      <c r="M33" s="27"/>
      <c r="N33" s="26">
        <f t="shared" si="0"/>
        <v>1</v>
      </c>
      <c r="O33" s="25">
        <v>15</v>
      </c>
      <c r="P33" s="23">
        <v>15</v>
      </c>
      <c r="Q33" s="24"/>
      <c r="R33" s="24"/>
      <c r="S33" s="23"/>
      <c r="T33" s="20">
        <f t="shared" si="1"/>
        <v>15</v>
      </c>
      <c r="U33" s="19">
        <f t="shared" si="2"/>
        <v>15</v>
      </c>
      <c r="V33" s="59">
        <v>11882803000</v>
      </c>
      <c r="W33" s="59"/>
      <c r="X33" s="22"/>
      <c r="Y33" s="22"/>
      <c r="Z33" s="21"/>
      <c r="AA33" s="20">
        <f t="shared" si="3"/>
        <v>7.85</v>
      </c>
      <c r="AB33" s="19">
        <f t="shared" si="4"/>
        <v>7.85</v>
      </c>
      <c r="AC33" s="16">
        <v>20</v>
      </c>
      <c r="AD33" s="18"/>
      <c r="AE33" s="97">
        <v>0.36</v>
      </c>
      <c r="AF33" s="23">
        <f t="shared" si="5"/>
        <v>22.85</v>
      </c>
      <c r="AG33" s="16">
        <v>45</v>
      </c>
      <c r="AH33" s="23">
        <f t="shared" si="6"/>
        <v>88.21</v>
      </c>
      <c r="AI33" s="14">
        <f t="shared" si="7"/>
        <v>0.89075000000000004</v>
      </c>
      <c r="AJ33" s="13"/>
      <c r="AK33" s="12">
        <v>0.01</v>
      </c>
      <c r="AL33" s="11">
        <f t="shared" si="8"/>
        <v>1.01</v>
      </c>
      <c r="AM33" s="10">
        <f t="shared" si="9"/>
        <v>5211752000</v>
      </c>
      <c r="AN33" s="9"/>
      <c r="AO33" s="8"/>
      <c r="AP33" s="8"/>
      <c r="AQ33" s="8"/>
      <c r="AR33" s="8"/>
      <c r="AS33" s="7"/>
      <c r="AT33" s="6">
        <f t="shared" si="10"/>
        <v>0</v>
      </c>
    </row>
    <row r="34" spans="1:46" s="37" customFormat="1" ht="45.75" customHeight="1" thickBot="1" x14ac:dyDescent="0.2">
      <c r="A34" s="35"/>
      <c r="B34" s="35"/>
      <c r="C34" s="47" t="s">
        <v>429</v>
      </c>
      <c r="D34" s="39"/>
      <c r="E34" s="39"/>
      <c r="F34" s="80"/>
      <c r="G34" s="51"/>
      <c r="H34" s="45"/>
      <c r="I34" s="38">
        <v>0.51</v>
      </c>
      <c r="J34" s="30">
        <v>0.49</v>
      </c>
      <c r="K34" s="29"/>
      <c r="L34" s="28"/>
      <c r="M34" s="27"/>
      <c r="N34" s="26">
        <f t="shared" si="0"/>
        <v>1</v>
      </c>
      <c r="O34" s="23">
        <v>15</v>
      </c>
      <c r="P34" s="23">
        <v>15</v>
      </c>
      <c r="Q34" s="23"/>
      <c r="R34" s="24"/>
      <c r="S34" s="23"/>
      <c r="T34" s="20">
        <f t="shared" si="1"/>
        <v>15</v>
      </c>
      <c r="U34" s="19">
        <f t="shared" si="2"/>
        <v>15</v>
      </c>
      <c r="V34" s="48">
        <v>15345190000</v>
      </c>
      <c r="W34" s="22"/>
      <c r="X34" s="59"/>
      <c r="Y34" s="41"/>
      <c r="Z34" s="68"/>
      <c r="AA34" s="20">
        <f t="shared" si="3"/>
        <v>10.130000000000001</v>
      </c>
      <c r="AB34" s="19">
        <f t="shared" si="4"/>
        <v>10.130000000000001</v>
      </c>
      <c r="AC34" s="16">
        <v>20</v>
      </c>
      <c r="AD34" s="18"/>
      <c r="AE34" s="97">
        <v>0.36</v>
      </c>
      <c r="AF34" s="23">
        <f t="shared" si="5"/>
        <v>25.130000000000003</v>
      </c>
      <c r="AG34" s="16">
        <v>45</v>
      </c>
      <c r="AH34" s="23">
        <f t="shared" si="6"/>
        <v>90.49</v>
      </c>
      <c r="AI34" s="14">
        <f t="shared" si="7"/>
        <v>0.87935000000000008</v>
      </c>
      <c r="AJ34" s="13"/>
      <c r="AK34" s="12">
        <v>0.01</v>
      </c>
      <c r="AL34" s="11">
        <f t="shared" si="8"/>
        <v>1.01</v>
      </c>
      <c r="AM34" s="10">
        <f t="shared" si="9"/>
        <v>5145051000</v>
      </c>
      <c r="AN34" s="9"/>
      <c r="AO34" s="8"/>
      <c r="AP34" s="8"/>
      <c r="AQ34" s="8"/>
      <c r="AR34" s="8"/>
      <c r="AS34" s="7"/>
      <c r="AT34" s="6">
        <f t="shared" si="10"/>
        <v>0</v>
      </c>
    </row>
    <row r="35" spans="1:46" s="37" customFormat="1" ht="45.75" customHeight="1" thickBot="1" x14ac:dyDescent="0.2">
      <c r="A35" s="35"/>
      <c r="B35" s="35"/>
      <c r="C35" s="47" t="s">
        <v>428</v>
      </c>
      <c r="D35" s="39"/>
      <c r="E35" s="39"/>
      <c r="F35" s="39"/>
      <c r="G35" s="60"/>
      <c r="H35" s="50"/>
      <c r="I35" s="38">
        <v>0.7</v>
      </c>
      <c r="J35" s="30">
        <v>0.3</v>
      </c>
      <c r="K35" s="29"/>
      <c r="L35" s="28"/>
      <c r="M35" s="27"/>
      <c r="N35" s="26">
        <f t="shared" si="0"/>
        <v>1</v>
      </c>
      <c r="O35" s="44">
        <v>15</v>
      </c>
      <c r="P35" s="43">
        <v>15</v>
      </c>
      <c r="Q35" s="24"/>
      <c r="R35" s="42"/>
      <c r="S35" s="42"/>
      <c r="T35" s="20">
        <f t="shared" si="1"/>
        <v>15</v>
      </c>
      <c r="U35" s="19">
        <f t="shared" si="2"/>
        <v>15</v>
      </c>
      <c r="V35" s="41">
        <v>18715212000</v>
      </c>
      <c r="W35" s="59"/>
      <c r="X35" s="54"/>
      <c r="Y35" s="48"/>
      <c r="Z35" s="21"/>
      <c r="AA35" s="20">
        <f t="shared" si="3"/>
        <v>16.96</v>
      </c>
      <c r="AB35" s="19">
        <f t="shared" si="4"/>
        <v>15</v>
      </c>
      <c r="AC35" s="16">
        <v>20</v>
      </c>
      <c r="AD35" s="18"/>
      <c r="AE35" s="97">
        <v>0.36</v>
      </c>
      <c r="AF35" s="23">
        <f t="shared" si="5"/>
        <v>30</v>
      </c>
      <c r="AG35" s="16">
        <v>45</v>
      </c>
      <c r="AH35" s="23">
        <f t="shared" si="6"/>
        <v>95.36</v>
      </c>
      <c r="AI35" s="14">
        <f t="shared" si="7"/>
        <v>0.85499999999999998</v>
      </c>
      <c r="AJ35" s="13"/>
      <c r="AK35" s="12">
        <v>0.01</v>
      </c>
      <c r="AL35" s="11">
        <f t="shared" si="8"/>
        <v>1.01</v>
      </c>
      <c r="AM35" s="10">
        <f t="shared" si="9"/>
        <v>5002580000</v>
      </c>
      <c r="AN35" s="9"/>
      <c r="AO35" s="8"/>
      <c r="AP35" s="8"/>
      <c r="AQ35" s="8"/>
      <c r="AR35" s="8"/>
      <c r="AS35" s="7"/>
      <c r="AT35" s="6">
        <f t="shared" si="10"/>
        <v>0</v>
      </c>
    </row>
    <row r="36" spans="1:46" s="37" customFormat="1" ht="45.75" customHeight="1" thickBot="1" x14ac:dyDescent="0.2">
      <c r="A36" s="35"/>
      <c r="B36" s="35"/>
      <c r="C36" s="47" t="s">
        <v>427</v>
      </c>
      <c r="D36" s="53"/>
      <c r="E36" s="47"/>
      <c r="F36" s="47"/>
      <c r="G36" s="51"/>
      <c r="H36" s="50"/>
      <c r="I36" s="38">
        <v>0.51</v>
      </c>
      <c r="J36" s="30">
        <v>0.49</v>
      </c>
      <c r="K36" s="29"/>
      <c r="L36" s="28"/>
      <c r="M36" s="27"/>
      <c r="N36" s="26">
        <f t="shared" si="0"/>
        <v>1</v>
      </c>
      <c r="O36" s="44">
        <v>15</v>
      </c>
      <c r="P36" s="43">
        <v>15</v>
      </c>
      <c r="Q36" s="42"/>
      <c r="R36" s="42"/>
      <c r="S36" s="42"/>
      <c r="T36" s="20">
        <f t="shared" si="1"/>
        <v>15</v>
      </c>
      <c r="U36" s="19">
        <f t="shared" si="2"/>
        <v>15</v>
      </c>
      <c r="V36" s="48">
        <v>13312073000</v>
      </c>
      <c r="W36" s="68"/>
      <c r="X36" s="48"/>
      <c r="Y36" s="48"/>
      <c r="Z36" s="21"/>
      <c r="AA36" s="20">
        <f t="shared" si="3"/>
        <v>8.7899999999999991</v>
      </c>
      <c r="AB36" s="19">
        <f t="shared" si="4"/>
        <v>8.7899999999999991</v>
      </c>
      <c r="AC36" s="16">
        <v>20</v>
      </c>
      <c r="AD36" s="18"/>
      <c r="AE36" s="97">
        <v>0.36</v>
      </c>
      <c r="AF36" s="23">
        <f t="shared" si="5"/>
        <v>23.79</v>
      </c>
      <c r="AG36" s="16">
        <v>45</v>
      </c>
      <c r="AH36" s="23">
        <f t="shared" si="6"/>
        <v>89.149999999999991</v>
      </c>
      <c r="AI36" s="14">
        <f t="shared" si="7"/>
        <v>0.88605</v>
      </c>
      <c r="AJ36" s="13"/>
      <c r="AK36" s="12">
        <v>0.01</v>
      </c>
      <c r="AL36" s="11">
        <f t="shared" si="8"/>
        <v>1.01</v>
      </c>
      <c r="AM36" s="10">
        <f t="shared" si="9"/>
        <v>5184253000</v>
      </c>
      <c r="AN36" s="9"/>
      <c r="AO36" s="8"/>
      <c r="AP36" s="8"/>
      <c r="AQ36" s="8"/>
      <c r="AR36" s="8"/>
      <c r="AS36" s="7"/>
      <c r="AT36" s="6">
        <f t="shared" si="10"/>
        <v>0</v>
      </c>
    </row>
    <row r="37" spans="1:46" s="37" customFormat="1" ht="45.75" customHeight="1" thickBot="1" x14ac:dyDescent="0.2">
      <c r="A37" s="35"/>
      <c r="B37" s="35"/>
      <c r="C37" s="39" t="s">
        <v>426</v>
      </c>
      <c r="D37" s="53"/>
      <c r="E37" s="47"/>
      <c r="F37" s="39"/>
      <c r="G37" s="51"/>
      <c r="H37" s="50"/>
      <c r="I37" s="38">
        <v>0.51</v>
      </c>
      <c r="J37" s="30">
        <v>0.49</v>
      </c>
      <c r="K37" s="29"/>
      <c r="L37" s="28"/>
      <c r="M37" s="27"/>
      <c r="N37" s="26">
        <f t="shared" ref="N37:N68" si="11">SUM(I37:M37)</f>
        <v>1</v>
      </c>
      <c r="O37" s="25">
        <v>15</v>
      </c>
      <c r="P37" s="24">
        <v>15</v>
      </c>
      <c r="Q37" s="42"/>
      <c r="R37" s="42"/>
      <c r="S37" s="42"/>
      <c r="T37" s="20">
        <f t="shared" ref="T37:T68" si="12">ROUND(((O37*I37)+(P37*J37)+(Q37*K37)+(R37*L37)+(S37*M37)),2)</f>
        <v>15</v>
      </c>
      <c r="U37" s="19">
        <f t="shared" ref="U37:U68" si="13">IF(T37&gt;=15,15,T37)</f>
        <v>15</v>
      </c>
      <c r="V37" s="22">
        <v>14643377000</v>
      </c>
      <c r="W37" s="22">
        <v>13888695000</v>
      </c>
      <c r="X37" s="22"/>
      <c r="Y37" s="57"/>
      <c r="Z37" s="21"/>
      <c r="AA37" s="20">
        <f t="shared" ref="AA37:AA68" si="14">ROUND((((V37*I37)+(W37*J37)+(X37*K37)+(Y37*L37)+(Z37*M37))/$I$2*15),2)</f>
        <v>18.48</v>
      </c>
      <c r="AB37" s="19">
        <f t="shared" ref="AB37:AB68" si="15">IF(AA37&gt;=15,15,AA37)</f>
        <v>15</v>
      </c>
      <c r="AC37" s="16">
        <v>20</v>
      </c>
      <c r="AD37" s="18"/>
      <c r="AE37" s="97">
        <v>0.36</v>
      </c>
      <c r="AF37" s="23">
        <f t="shared" ref="AF37:AF68" si="16">IF((U37+AB37+AD37)&gt;=30,30,(U37+AB37+AD37))</f>
        <v>30</v>
      </c>
      <c r="AG37" s="16">
        <v>45</v>
      </c>
      <c r="AH37" s="23">
        <f t="shared" ref="AH37:AH68" si="17">AC37+AF37+AG37+AE37</f>
        <v>95.36</v>
      </c>
      <c r="AI37" s="14">
        <f t="shared" ref="AI37:AI68" si="18">-((50-((176+(45+(30-AF37)))))/200)</f>
        <v>0.85499999999999998</v>
      </c>
      <c r="AJ37" s="13"/>
      <c r="AK37" s="12">
        <v>0.01</v>
      </c>
      <c r="AL37" s="11">
        <f t="shared" ref="AL37:AL68" si="19">100%+AK37</f>
        <v>1.01</v>
      </c>
      <c r="AM37" s="10">
        <f t="shared" ref="AM37:AM68" si="20">ROUNDUP($D$2*AI37*AL37,-3)</f>
        <v>5002580000</v>
      </c>
      <c r="AN37" s="9"/>
      <c r="AO37" s="8"/>
      <c r="AP37" s="8"/>
      <c r="AQ37" s="8"/>
      <c r="AR37" s="8"/>
      <c r="AS37" s="7"/>
      <c r="AT37" s="6">
        <f t="shared" ref="AT37:AT68" si="21">(AO37*J37)+(AP37*K37)+(AQ37*L37)+(AR37*M37)+(AS37*N37)</f>
        <v>0</v>
      </c>
    </row>
    <row r="38" spans="1:46" s="37" customFormat="1" ht="45.75" customHeight="1" thickBot="1" x14ac:dyDescent="0.2">
      <c r="A38" s="36"/>
      <c r="B38" s="55"/>
      <c r="C38" s="73" t="s">
        <v>425</v>
      </c>
      <c r="D38" s="53"/>
      <c r="E38" s="39"/>
      <c r="F38" s="39"/>
      <c r="G38" s="33"/>
      <c r="H38" s="32"/>
      <c r="I38" s="38">
        <v>0.51</v>
      </c>
      <c r="J38" s="30">
        <v>0.49</v>
      </c>
      <c r="K38" s="29"/>
      <c r="L38" s="28"/>
      <c r="M38" s="27"/>
      <c r="N38" s="26">
        <f t="shared" si="11"/>
        <v>1</v>
      </c>
      <c r="O38" s="25">
        <v>15</v>
      </c>
      <c r="P38" s="43">
        <v>15</v>
      </c>
      <c r="Q38" s="24"/>
      <c r="R38" s="24"/>
      <c r="S38" s="23"/>
      <c r="T38" s="20">
        <f t="shared" si="12"/>
        <v>15</v>
      </c>
      <c r="U38" s="19">
        <f t="shared" si="13"/>
        <v>15</v>
      </c>
      <c r="V38" s="61">
        <v>12907222000</v>
      </c>
      <c r="W38" s="59"/>
      <c r="X38" s="22"/>
      <c r="Y38" s="22"/>
      <c r="Z38" s="21"/>
      <c r="AA38" s="20">
        <f t="shared" si="14"/>
        <v>8.52</v>
      </c>
      <c r="AB38" s="19">
        <f t="shared" si="15"/>
        <v>8.52</v>
      </c>
      <c r="AC38" s="16">
        <v>20</v>
      </c>
      <c r="AD38" s="18"/>
      <c r="AE38" s="17"/>
      <c r="AF38" s="23">
        <f t="shared" si="16"/>
        <v>23.52</v>
      </c>
      <c r="AG38" s="16">
        <v>45</v>
      </c>
      <c r="AH38" s="23">
        <f t="shared" si="17"/>
        <v>88.52</v>
      </c>
      <c r="AI38" s="14">
        <f t="shared" si="18"/>
        <v>0.88740000000000008</v>
      </c>
      <c r="AJ38" s="13"/>
      <c r="AK38" s="12">
        <v>0.01</v>
      </c>
      <c r="AL38" s="11">
        <f t="shared" si="19"/>
        <v>1.01</v>
      </c>
      <c r="AM38" s="10">
        <f t="shared" si="20"/>
        <v>5192152000</v>
      </c>
      <c r="AN38" s="9"/>
      <c r="AO38" s="8"/>
      <c r="AP38" s="8"/>
      <c r="AQ38" s="8"/>
      <c r="AR38" s="8"/>
      <c r="AS38" s="7"/>
      <c r="AT38" s="6">
        <f t="shared" si="21"/>
        <v>0</v>
      </c>
    </row>
    <row r="39" spans="1:46" s="37" customFormat="1" ht="45.75" customHeight="1" thickBot="1" x14ac:dyDescent="0.2">
      <c r="A39" s="35"/>
      <c r="B39" s="35"/>
      <c r="C39" s="39" t="s">
        <v>424</v>
      </c>
      <c r="D39" s="39"/>
      <c r="E39" s="39"/>
      <c r="F39" s="73"/>
      <c r="G39" s="51"/>
      <c r="H39" s="45"/>
      <c r="I39" s="38">
        <v>0.51</v>
      </c>
      <c r="J39" s="30">
        <v>0.49</v>
      </c>
      <c r="K39" s="29"/>
      <c r="L39" s="28"/>
      <c r="M39" s="29"/>
      <c r="N39" s="26">
        <f t="shared" si="11"/>
        <v>1</v>
      </c>
      <c r="O39" s="23">
        <v>15</v>
      </c>
      <c r="P39" s="23">
        <v>15</v>
      </c>
      <c r="Q39" s="42"/>
      <c r="R39" s="42"/>
      <c r="S39" s="24"/>
      <c r="T39" s="20">
        <f t="shared" si="12"/>
        <v>15</v>
      </c>
      <c r="U39" s="19">
        <f t="shared" si="13"/>
        <v>15</v>
      </c>
      <c r="V39" s="78">
        <v>13914818000</v>
      </c>
      <c r="W39" s="78"/>
      <c r="X39" s="22"/>
      <c r="Y39" s="22"/>
      <c r="Z39" s="22"/>
      <c r="AA39" s="20">
        <f t="shared" si="14"/>
        <v>9.19</v>
      </c>
      <c r="AB39" s="19">
        <f t="shared" si="15"/>
        <v>9.19</v>
      </c>
      <c r="AC39" s="16">
        <v>20</v>
      </c>
      <c r="AD39" s="18"/>
      <c r="AE39" s="97">
        <v>0.36</v>
      </c>
      <c r="AF39" s="23">
        <f t="shared" si="16"/>
        <v>24.189999999999998</v>
      </c>
      <c r="AG39" s="16">
        <v>45</v>
      </c>
      <c r="AH39" s="23">
        <f t="shared" si="17"/>
        <v>89.55</v>
      </c>
      <c r="AI39" s="14">
        <f t="shared" si="18"/>
        <v>0.88405</v>
      </c>
      <c r="AJ39" s="13"/>
      <c r="AK39" s="12">
        <v>0.01</v>
      </c>
      <c r="AL39" s="11">
        <f t="shared" si="19"/>
        <v>1.01</v>
      </c>
      <c r="AM39" s="10">
        <f t="shared" si="20"/>
        <v>5172551000</v>
      </c>
      <c r="AN39" s="9"/>
      <c r="AO39" s="8"/>
      <c r="AP39" s="8"/>
      <c r="AQ39" s="8"/>
      <c r="AR39" s="8"/>
      <c r="AS39" s="7"/>
      <c r="AT39" s="6">
        <f t="shared" si="21"/>
        <v>0</v>
      </c>
    </row>
    <row r="40" spans="1:46" s="37" customFormat="1" ht="45.75" customHeight="1" thickBot="1" x14ac:dyDescent="0.2">
      <c r="A40" s="35"/>
      <c r="B40" s="35"/>
      <c r="C40" s="47"/>
      <c r="D40" s="39"/>
      <c r="E40" s="39"/>
      <c r="F40" s="63"/>
      <c r="G40" s="51"/>
      <c r="H40" s="45"/>
      <c r="I40" s="38">
        <v>0.51</v>
      </c>
      <c r="J40" s="30">
        <v>0.49</v>
      </c>
      <c r="K40" s="29"/>
      <c r="L40" s="28"/>
      <c r="M40" s="27"/>
      <c r="N40" s="26">
        <f t="shared" si="11"/>
        <v>1</v>
      </c>
      <c r="O40" s="65">
        <v>15</v>
      </c>
      <c r="P40" s="23">
        <v>15</v>
      </c>
      <c r="Q40" s="42"/>
      <c r="R40" s="42"/>
      <c r="S40" s="23"/>
      <c r="T40" s="20">
        <f t="shared" si="12"/>
        <v>15</v>
      </c>
      <c r="U40" s="19">
        <f t="shared" si="13"/>
        <v>15</v>
      </c>
      <c r="V40" s="52"/>
      <c r="W40" s="59"/>
      <c r="X40" s="59"/>
      <c r="Y40" s="79"/>
      <c r="Z40" s="21"/>
      <c r="AA40" s="20">
        <f t="shared" si="14"/>
        <v>0</v>
      </c>
      <c r="AB40" s="19">
        <f t="shared" si="15"/>
        <v>0</v>
      </c>
      <c r="AC40" s="16">
        <v>20</v>
      </c>
      <c r="AD40" s="18"/>
      <c r="AE40" s="17"/>
      <c r="AF40" s="23">
        <f t="shared" si="16"/>
        <v>15</v>
      </c>
      <c r="AG40" s="16">
        <v>45</v>
      </c>
      <c r="AH40" s="23">
        <f t="shared" si="17"/>
        <v>80</v>
      </c>
      <c r="AI40" s="14">
        <f t="shared" si="18"/>
        <v>0.93</v>
      </c>
      <c r="AJ40" s="13"/>
      <c r="AK40" s="12">
        <v>0.01</v>
      </c>
      <c r="AL40" s="11">
        <f t="shared" si="19"/>
        <v>1.01</v>
      </c>
      <c r="AM40" s="10">
        <f t="shared" si="20"/>
        <v>5441403000</v>
      </c>
      <c r="AN40" s="9"/>
      <c r="AO40" s="16"/>
      <c r="AP40" s="72"/>
      <c r="AQ40" s="72"/>
      <c r="AR40" s="8"/>
      <c r="AS40" s="7"/>
      <c r="AT40" s="6">
        <f t="shared" si="21"/>
        <v>0</v>
      </c>
    </row>
    <row r="41" spans="1:46" s="37" customFormat="1" ht="45.75" customHeight="1" thickBot="1" x14ac:dyDescent="0.2">
      <c r="A41" s="35"/>
      <c r="B41" s="35"/>
      <c r="C41" s="39"/>
      <c r="D41" s="75" t="s">
        <v>423</v>
      </c>
      <c r="E41" s="39"/>
      <c r="F41" s="63"/>
      <c r="G41" s="51"/>
      <c r="H41" s="45"/>
      <c r="I41" s="38">
        <v>0.51</v>
      </c>
      <c r="J41" s="30">
        <v>0.49</v>
      </c>
      <c r="K41" s="29"/>
      <c r="L41" s="28"/>
      <c r="M41" s="27"/>
      <c r="N41" s="26">
        <f t="shared" si="11"/>
        <v>1</v>
      </c>
      <c r="O41" s="65">
        <v>15</v>
      </c>
      <c r="P41" s="23">
        <v>15</v>
      </c>
      <c r="Q41" s="42"/>
      <c r="R41" s="42"/>
      <c r="S41" s="23"/>
      <c r="T41" s="20">
        <f t="shared" si="12"/>
        <v>15</v>
      </c>
      <c r="U41" s="19">
        <f t="shared" si="13"/>
        <v>15</v>
      </c>
      <c r="V41" s="61"/>
      <c r="W41" s="68">
        <v>11014712000</v>
      </c>
      <c r="X41" s="59"/>
      <c r="Y41" s="22"/>
      <c r="Z41" s="68"/>
      <c r="AA41" s="20">
        <f t="shared" si="14"/>
        <v>6.99</v>
      </c>
      <c r="AB41" s="19">
        <f t="shared" si="15"/>
        <v>6.99</v>
      </c>
      <c r="AC41" s="16">
        <v>20</v>
      </c>
      <c r="AD41" s="18"/>
      <c r="AE41" s="17"/>
      <c r="AF41" s="23">
        <f t="shared" si="16"/>
        <v>21.990000000000002</v>
      </c>
      <c r="AG41" s="16">
        <v>45</v>
      </c>
      <c r="AH41" s="23">
        <f t="shared" si="17"/>
        <v>86.990000000000009</v>
      </c>
      <c r="AI41" s="14">
        <f t="shared" si="18"/>
        <v>0.8950499999999999</v>
      </c>
      <c r="AJ41" s="13"/>
      <c r="AK41" s="12">
        <v>0.01</v>
      </c>
      <c r="AL41" s="11">
        <f t="shared" si="19"/>
        <v>1.01</v>
      </c>
      <c r="AM41" s="10">
        <f t="shared" si="20"/>
        <v>5236912000</v>
      </c>
      <c r="AN41" s="9"/>
      <c r="AO41" s="16"/>
      <c r="AP41" s="71"/>
      <c r="AQ41" s="71"/>
      <c r="AR41" s="8"/>
      <c r="AS41" s="7"/>
      <c r="AT41" s="6">
        <f t="shared" si="21"/>
        <v>0</v>
      </c>
    </row>
    <row r="42" spans="1:46" s="37" customFormat="1" ht="45.75" customHeight="1" thickBot="1" x14ac:dyDescent="0.2">
      <c r="A42" s="35"/>
      <c r="B42" s="35"/>
      <c r="C42" s="39"/>
      <c r="D42" s="53"/>
      <c r="E42" s="39"/>
      <c r="F42" s="73" t="s">
        <v>422</v>
      </c>
      <c r="G42" s="51"/>
      <c r="H42" s="45"/>
      <c r="I42" s="38">
        <v>0.51</v>
      </c>
      <c r="J42" s="30">
        <v>0.49</v>
      </c>
      <c r="K42" s="29"/>
      <c r="L42" s="30"/>
      <c r="M42" s="27"/>
      <c r="N42" s="26">
        <f t="shared" si="11"/>
        <v>1</v>
      </c>
      <c r="O42" s="65">
        <v>15</v>
      </c>
      <c r="P42" s="23">
        <v>15</v>
      </c>
      <c r="Q42" s="42"/>
      <c r="R42" s="42"/>
      <c r="S42" s="42"/>
      <c r="T42" s="20">
        <f t="shared" si="12"/>
        <v>15</v>
      </c>
      <c r="U42" s="19">
        <f t="shared" si="13"/>
        <v>15</v>
      </c>
      <c r="V42" s="68"/>
      <c r="W42" s="68">
        <v>1966034000</v>
      </c>
      <c r="X42" s="59">
        <v>3324955000</v>
      </c>
      <c r="Y42" s="68"/>
      <c r="Z42" s="59"/>
      <c r="AA42" s="20">
        <f t="shared" si="14"/>
        <v>1.25</v>
      </c>
      <c r="AB42" s="19">
        <f t="shared" si="15"/>
        <v>1.25</v>
      </c>
      <c r="AC42" s="16">
        <v>20</v>
      </c>
      <c r="AD42" s="18"/>
      <c r="AE42" s="17"/>
      <c r="AF42" s="23">
        <f t="shared" si="16"/>
        <v>16.25</v>
      </c>
      <c r="AG42" s="16">
        <v>45</v>
      </c>
      <c r="AH42" s="23">
        <f t="shared" si="17"/>
        <v>81.25</v>
      </c>
      <c r="AI42" s="14">
        <f t="shared" si="18"/>
        <v>0.92374999999999996</v>
      </c>
      <c r="AJ42" s="13"/>
      <c r="AK42" s="12">
        <v>0.01</v>
      </c>
      <c r="AL42" s="11">
        <f t="shared" si="19"/>
        <v>1.01</v>
      </c>
      <c r="AM42" s="10">
        <f t="shared" si="20"/>
        <v>5404834000</v>
      </c>
      <c r="AN42" s="9"/>
      <c r="AO42" s="71"/>
      <c r="AP42" s="71"/>
      <c r="AQ42" s="71"/>
      <c r="AR42" s="8"/>
      <c r="AS42" s="7"/>
      <c r="AT42" s="6">
        <f t="shared" si="21"/>
        <v>0</v>
      </c>
    </row>
    <row r="43" spans="1:46" s="37" customFormat="1" ht="45.75" customHeight="1" thickBot="1" x14ac:dyDescent="0.2">
      <c r="A43" s="35"/>
      <c r="B43" s="35"/>
      <c r="C43" s="39"/>
      <c r="D43" s="39" t="s">
        <v>421</v>
      </c>
      <c r="E43" s="39"/>
      <c r="F43" s="63"/>
      <c r="G43" s="51"/>
      <c r="H43" s="45"/>
      <c r="I43" s="38">
        <v>0.51</v>
      </c>
      <c r="J43" s="30">
        <v>0.49</v>
      </c>
      <c r="K43" s="29"/>
      <c r="L43" s="28"/>
      <c r="M43" s="27"/>
      <c r="N43" s="26">
        <f t="shared" si="11"/>
        <v>1</v>
      </c>
      <c r="O43" s="65">
        <v>15</v>
      </c>
      <c r="P43" s="23">
        <v>15</v>
      </c>
      <c r="Q43" s="42"/>
      <c r="R43" s="42"/>
      <c r="S43" s="42"/>
      <c r="T43" s="20">
        <f t="shared" si="12"/>
        <v>15</v>
      </c>
      <c r="U43" s="19">
        <f t="shared" si="13"/>
        <v>15</v>
      </c>
      <c r="V43" s="61"/>
      <c r="W43" s="62">
        <v>9345491000</v>
      </c>
      <c r="X43" s="59"/>
      <c r="Y43" s="22"/>
      <c r="Z43" s="68"/>
      <c r="AA43" s="20">
        <f t="shared" si="14"/>
        <v>5.93</v>
      </c>
      <c r="AB43" s="19">
        <f t="shared" si="15"/>
        <v>5.93</v>
      </c>
      <c r="AC43" s="16">
        <v>20</v>
      </c>
      <c r="AD43" s="18"/>
      <c r="AE43" s="17"/>
      <c r="AF43" s="23">
        <f t="shared" si="16"/>
        <v>20.93</v>
      </c>
      <c r="AG43" s="16">
        <v>45</v>
      </c>
      <c r="AH43" s="23">
        <f t="shared" si="17"/>
        <v>85.93</v>
      </c>
      <c r="AI43" s="14">
        <f t="shared" si="18"/>
        <v>0.90034999999999998</v>
      </c>
      <c r="AJ43" s="13"/>
      <c r="AK43" s="12">
        <v>0.01</v>
      </c>
      <c r="AL43" s="11">
        <f t="shared" si="19"/>
        <v>1.01</v>
      </c>
      <c r="AM43" s="10">
        <f t="shared" si="20"/>
        <v>5267922000</v>
      </c>
      <c r="AN43" s="9"/>
      <c r="AO43" s="8"/>
      <c r="AP43" s="8"/>
      <c r="AQ43" s="8"/>
      <c r="AR43" s="8"/>
      <c r="AS43" s="7"/>
      <c r="AT43" s="6">
        <f t="shared" si="21"/>
        <v>0</v>
      </c>
    </row>
    <row r="44" spans="1:46" s="37" customFormat="1" ht="45.75" customHeight="1" thickBot="1" x14ac:dyDescent="0.2">
      <c r="A44" s="35"/>
      <c r="B44" s="35"/>
      <c r="C44" s="39"/>
      <c r="D44" s="39"/>
      <c r="E44" s="39"/>
      <c r="F44" s="39"/>
      <c r="G44" s="73"/>
      <c r="H44" s="45"/>
      <c r="I44" s="38">
        <v>0.51</v>
      </c>
      <c r="J44" s="30">
        <v>0.49</v>
      </c>
      <c r="K44" s="29"/>
      <c r="L44" s="28"/>
      <c r="M44" s="27"/>
      <c r="N44" s="26">
        <f t="shared" si="11"/>
        <v>1</v>
      </c>
      <c r="O44" s="65">
        <v>15</v>
      </c>
      <c r="P44" s="23">
        <v>15</v>
      </c>
      <c r="Q44" s="42"/>
      <c r="R44" s="42"/>
      <c r="S44" s="23"/>
      <c r="T44" s="20">
        <f t="shared" si="12"/>
        <v>15</v>
      </c>
      <c r="U44" s="19">
        <f t="shared" si="13"/>
        <v>15</v>
      </c>
      <c r="V44" s="68"/>
      <c r="W44" s="62"/>
      <c r="X44" s="78"/>
      <c r="Y44" s="22"/>
      <c r="Z44" s="68"/>
      <c r="AA44" s="20">
        <f t="shared" si="14"/>
        <v>0</v>
      </c>
      <c r="AB44" s="19">
        <f t="shared" si="15"/>
        <v>0</v>
      </c>
      <c r="AC44" s="16">
        <v>20</v>
      </c>
      <c r="AD44" s="18"/>
      <c r="AE44" s="17"/>
      <c r="AF44" s="23">
        <f t="shared" si="16"/>
        <v>15</v>
      </c>
      <c r="AG44" s="16">
        <v>45</v>
      </c>
      <c r="AH44" s="23">
        <f t="shared" si="17"/>
        <v>80</v>
      </c>
      <c r="AI44" s="14">
        <f t="shared" si="18"/>
        <v>0.93</v>
      </c>
      <c r="AJ44" s="13"/>
      <c r="AK44" s="12">
        <v>0.01</v>
      </c>
      <c r="AL44" s="11">
        <f t="shared" si="19"/>
        <v>1.01</v>
      </c>
      <c r="AM44" s="10">
        <f t="shared" si="20"/>
        <v>5441403000</v>
      </c>
      <c r="AN44" s="9"/>
      <c r="AO44" s="71"/>
      <c r="AP44" s="71"/>
      <c r="AQ44" s="71"/>
      <c r="AR44" s="8"/>
      <c r="AS44" s="7"/>
      <c r="AT44" s="6">
        <f t="shared" si="21"/>
        <v>0</v>
      </c>
    </row>
    <row r="45" spans="1:46" s="37" customFormat="1" ht="45.75" customHeight="1" thickBot="1" x14ac:dyDescent="0.2">
      <c r="A45" s="35"/>
      <c r="B45" s="35"/>
      <c r="C45" s="39" t="s">
        <v>420</v>
      </c>
      <c r="D45" s="39"/>
      <c r="E45" s="39"/>
      <c r="F45" s="73"/>
      <c r="G45" s="86"/>
      <c r="H45" s="77" t="s">
        <v>418</v>
      </c>
      <c r="I45" s="38">
        <v>0.51</v>
      </c>
      <c r="J45" s="29">
        <v>0.49</v>
      </c>
      <c r="K45" s="29"/>
      <c r="L45" s="28"/>
      <c r="M45" s="27"/>
      <c r="N45" s="26">
        <f t="shared" si="11"/>
        <v>1</v>
      </c>
      <c r="O45" s="65">
        <v>15</v>
      </c>
      <c r="P45" s="23">
        <v>15</v>
      </c>
      <c r="Q45" s="23"/>
      <c r="R45" s="42"/>
      <c r="S45" s="42"/>
      <c r="T45" s="20">
        <f t="shared" si="12"/>
        <v>15</v>
      </c>
      <c r="U45" s="19">
        <f t="shared" si="13"/>
        <v>15</v>
      </c>
      <c r="V45" s="61">
        <v>172249167000</v>
      </c>
      <c r="W45" s="22"/>
      <c r="X45" s="22"/>
      <c r="Y45" s="48"/>
      <c r="Z45" s="22"/>
      <c r="AA45" s="20">
        <f t="shared" si="14"/>
        <v>113.73</v>
      </c>
      <c r="AB45" s="19">
        <f t="shared" si="15"/>
        <v>15</v>
      </c>
      <c r="AC45" s="16">
        <v>20</v>
      </c>
      <c r="AD45" s="18"/>
      <c r="AE45" s="17"/>
      <c r="AF45" s="23">
        <f t="shared" si="16"/>
        <v>30</v>
      </c>
      <c r="AG45" s="16">
        <v>45</v>
      </c>
      <c r="AH45" s="23">
        <f t="shared" si="17"/>
        <v>95</v>
      </c>
      <c r="AI45" s="14">
        <f t="shared" si="18"/>
        <v>0.85499999999999998</v>
      </c>
      <c r="AJ45" s="13"/>
      <c r="AK45" s="12">
        <v>0.01</v>
      </c>
      <c r="AL45" s="11">
        <f t="shared" si="19"/>
        <v>1.01</v>
      </c>
      <c r="AM45" s="10">
        <f t="shared" si="20"/>
        <v>5002580000</v>
      </c>
      <c r="AN45" s="9"/>
      <c r="AO45" s="74"/>
      <c r="AP45" s="71"/>
      <c r="AQ45" s="71"/>
      <c r="AR45" s="8"/>
      <c r="AS45" s="7"/>
      <c r="AT45" s="6">
        <f t="shared" si="21"/>
        <v>0</v>
      </c>
    </row>
    <row r="46" spans="1:46" s="37" customFormat="1" ht="45.75" customHeight="1" thickBot="1" x14ac:dyDescent="0.2">
      <c r="A46" s="35"/>
      <c r="B46" s="35"/>
      <c r="C46" s="39" t="s">
        <v>419</v>
      </c>
      <c r="D46" s="39"/>
      <c r="E46" s="39"/>
      <c r="F46" s="73"/>
      <c r="G46" s="51"/>
      <c r="H46" s="77" t="s">
        <v>418</v>
      </c>
      <c r="I46" s="38">
        <v>0.51</v>
      </c>
      <c r="J46" s="30">
        <v>0.49</v>
      </c>
      <c r="K46" s="29"/>
      <c r="L46" s="28"/>
      <c r="M46" s="27"/>
      <c r="N46" s="26">
        <f t="shared" si="11"/>
        <v>1</v>
      </c>
      <c r="O46" s="65">
        <v>15</v>
      </c>
      <c r="P46" s="23">
        <v>15</v>
      </c>
      <c r="Q46" s="42"/>
      <c r="R46" s="42"/>
      <c r="S46" s="23"/>
      <c r="T46" s="20">
        <f t="shared" si="12"/>
        <v>15</v>
      </c>
      <c r="U46" s="19">
        <f t="shared" si="13"/>
        <v>15</v>
      </c>
      <c r="V46" s="61">
        <v>816103333000</v>
      </c>
      <c r="W46" s="22"/>
      <c r="X46" s="59"/>
      <c r="Y46" s="22"/>
      <c r="Z46" s="21"/>
      <c r="AA46" s="20">
        <f t="shared" si="14"/>
        <v>538.85</v>
      </c>
      <c r="AB46" s="19">
        <f t="shared" si="15"/>
        <v>15</v>
      </c>
      <c r="AC46" s="16">
        <v>20</v>
      </c>
      <c r="AD46" s="18"/>
      <c r="AE46" s="17"/>
      <c r="AF46" s="23">
        <f t="shared" si="16"/>
        <v>30</v>
      </c>
      <c r="AG46" s="16">
        <v>45</v>
      </c>
      <c r="AH46" s="23">
        <f t="shared" si="17"/>
        <v>95</v>
      </c>
      <c r="AI46" s="14">
        <f t="shared" si="18"/>
        <v>0.85499999999999998</v>
      </c>
      <c r="AJ46" s="13"/>
      <c r="AK46" s="12">
        <v>0.01</v>
      </c>
      <c r="AL46" s="11">
        <f t="shared" si="19"/>
        <v>1.01</v>
      </c>
      <c r="AM46" s="10">
        <f t="shared" si="20"/>
        <v>5002580000</v>
      </c>
      <c r="AN46" s="9"/>
      <c r="AO46" s="74"/>
      <c r="AP46" s="71"/>
      <c r="AQ46" s="81"/>
      <c r="AR46" s="8"/>
      <c r="AS46" s="7"/>
      <c r="AT46" s="6">
        <f t="shared" si="21"/>
        <v>0</v>
      </c>
    </row>
    <row r="47" spans="1:46" s="37" customFormat="1" ht="45.75" customHeight="1" thickBot="1" x14ac:dyDescent="0.2">
      <c r="A47" s="35"/>
      <c r="B47" s="35"/>
      <c r="C47" s="39"/>
      <c r="D47" s="39"/>
      <c r="E47" s="39"/>
      <c r="F47" s="39"/>
      <c r="G47" s="73"/>
      <c r="H47" s="77"/>
      <c r="I47" s="38">
        <v>0.51</v>
      </c>
      <c r="J47" s="30">
        <v>0.49</v>
      </c>
      <c r="K47" s="29"/>
      <c r="L47" s="28"/>
      <c r="M47" s="27"/>
      <c r="N47" s="26">
        <f t="shared" si="11"/>
        <v>1</v>
      </c>
      <c r="O47" s="65">
        <v>15</v>
      </c>
      <c r="P47" s="23">
        <v>15</v>
      </c>
      <c r="Q47" s="42"/>
      <c r="R47" s="42"/>
      <c r="S47" s="42"/>
      <c r="T47" s="20">
        <f t="shared" si="12"/>
        <v>15</v>
      </c>
      <c r="U47" s="19">
        <f t="shared" si="13"/>
        <v>15</v>
      </c>
      <c r="V47" s="22"/>
      <c r="W47" s="68"/>
      <c r="X47" s="59"/>
      <c r="Y47" s="22"/>
      <c r="Z47" s="68"/>
      <c r="AA47" s="20">
        <f t="shared" si="14"/>
        <v>0</v>
      </c>
      <c r="AB47" s="19">
        <f t="shared" si="15"/>
        <v>0</v>
      </c>
      <c r="AC47" s="16">
        <v>20</v>
      </c>
      <c r="AD47" s="18"/>
      <c r="AE47" s="17"/>
      <c r="AF47" s="23">
        <f t="shared" si="16"/>
        <v>15</v>
      </c>
      <c r="AG47" s="16">
        <v>45</v>
      </c>
      <c r="AH47" s="23">
        <f t="shared" si="17"/>
        <v>80</v>
      </c>
      <c r="AI47" s="14">
        <f t="shared" si="18"/>
        <v>0.93</v>
      </c>
      <c r="AJ47" s="13"/>
      <c r="AK47" s="12">
        <v>0.01</v>
      </c>
      <c r="AL47" s="11">
        <f t="shared" si="19"/>
        <v>1.01</v>
      </c>
      <c r="AM47" s="10">
        <f t="shared" si="20"/>
        <v>5441403000</v>
      </c>
      <c r="AN47" s="9"/>
      <c r="AO47" s="16"/>
      <c r="AP47" s="71"/>
      <c r="AQ47" s="71"/>
      <c r="AR47" s="8"/>
      <c r="AS47" s="7"/>
      <c r="AT47" s="6">
        <f t="shared" si="21"/>
        <v>0</v>
      </c>
    </row>
    <row r="48" spans="1:46" s="37" customFormat="1" ht="45.75" customHeight="1" thickBot="1" x14ac:dyDescent="0.2">
      <c r="A48" s="35"/>
      <c r="B48" s="35"/>
      <c r="C48" s="39"/>
      <c r="D48" s="53"/>
      <c r="E48" s="39"/>
      <c r="F48" s="39"/>
      <c r="G48" s="73"/>
      <c r="H48" s="45"/>
      <c r="I48" s="38">
        <v>0.4</v>
      </c>
      <c r="J48" s="30">
        <v>0.3</v>
      </c>
      <c r="K48" s="29">
        <v>0.3</v>
      </c>
      <c r="L48" s="30"/>
      <c r="M48" s="27"/>
      <c r="N48" s="26">
        <f t="shared" si="11"/>
        <v>1</v>
      </c>
      <c r="O48" s="65">
        <v>15</v>
      </c>
      <c r="P48" s="23">
        <v>15</v>
      </c>
      <c r="Q48" s="23">
        <v>15</v>
      </c>
      <c r="R48" s="42"/>
      <c r="S48" s="42"/>
      <c r="T48" s="20">
        <f t="shared" si="12"/>
        <v>15</v>
      </c>
      <c r="U48" s="19">
        <f t="shared" si="13"/>
        <v>15</v>
      </c>
      <c r="V48" s="85">
        <v>3425675000</v>
      </c>
      <c r="W48" s="22"/>
      <c r="X48" s="76"/>
      <c r="Y48" s="22"/>
      <c r="Z48" s="68"/>
      <c r="AA48" s="20">
        <f t="shared" si="14"/>
        <v>1.77</v>
      </c>
      <c r="AB48" s="19">
        <f t="shared" si="15"/>
        <v>1.77</v>
      </c>
      <c r="AC48" s="16">
        <v>20</v>
      </c>
      <c r="AD48" s="18"/>
      <c r="AE48" s="17"/>
      <c r="AF48" s="23">
        <f t="shared" si="16"/>
        <v>16.77</v>
      </c>
      <c r="AG48" s="16">
        <v>45</v>
      </c>
      <c r="AH48" s="23">
        <f t="shared" si="17"/>
        <v>81.77</v>
      </c>
      <c r="AI48" s="14">
        <f t="shared" si="18"/>
        <v>0.92115000000000014</v>
      </c>
      <c r="AJ48" s="13"/>
      <c r="AK48" s="12">
        <v>0.01</v>
      </c>
      <c r="AL48" s="11">
        <f t="shared" si="19"/>
        <v>1.01</v>
      </c>
      <c r="AM48" s="10">
        <f t="shared" si="20"/>
        <v>5389622000</v>
      </c>
      <c r="AN48" s="9"/>
      <c r="AO48" s="71"/>
      <c r="AP48" s="71"/>
      <c r="AQ48" s="71"/>
      <c r="AR48" s="8"/>
      <c r="AS48" s="7"/>
      <c r="AT48" s="6">
        <f t="shared" si="21"/>
        <v>0</v>
      </c>
    </row>
    <row r="49" spans="1:46" s="37" customFormat="1" ht="45.75" customHeight="1" thickBot="1" x14ac:dyDescent="0.2">
      <c r="A49" s="35"/>
      <c r="B49" s="35"/>
      <c r="C49" s="73"/>
      <c r="D49" s="73" t="s">
        <v>417</v>
      </c>
      <c r="E49" s="73" t="s">
        <v>416</v>
      </c>
      <c r="F49" s="73"/>
      <c r="G49" s="51"/>
      <c r="H49" s="45"/>
      <c r="I49" s="38">
        <v>0.51</v>
      </c>
      <c r="J49" s="30">
        <v>0.49</v>
      </c>
      <c r="K49" s="29"/>
      <c r="L49" s="28"/>
      <c r="M49" s="27"/>
      <c r="N49" s="26">
        <f t="shared" si="11"/>
        <v>1</v>
      </c>
      <c r="O49" s="65">
        <v>15</v>
      </c>
      <c r="P49" s="23">
        <v>15</v>
      </c>
      <c r="Q49" s="42"/>
      <c r="R49" s="42"/>
      <c r="S49" s="23"/>
      <c r="T49" s="20">
        <f t="shared" si="12"/>
        <v>15</v>
      </c>
      <c r="U49" s="19">
        <f t="shared" si="13"/>
        <v>15</v>
      </c>
      <c r="V49" s="59"/>
      <c r="W49" s="22">
        <v>7486618000</v>
      </c>
      <c r="X49" s="59"/>
      <c r="Y49" s="22"/>
      <c r="Z49" s="68"/>
      <c r="AA49" s="20">
        <f t="shared" si="14"/>
        <v>4.75</v>
      </c>
      <c r="AB49" s="19">
        <f t="shared" si="15"/>
        <v>4.75</v>
      </c>
      <c r="AC49" s="16">
        <v>20</v>
      </c>
      <c r="AD49" s="18"/>
      <c r="AE49" s="17"/>
      <c r="AF49" s="23">
        <f t="shared" si="16"/>
        <v>19.75</v>
      </c>
      <c r="AG49" s="16">
        <v>45</v>
      </c>
      <c r="AH49" s="23">
        <f t="shared" si="17"/>
        <v>84.75</v>
      </c>
      <c r="AI49" s="14">
        <f t="shared" si="18"/>
        <v>0.90625</v>
      </c>
      <c r="AJ49" s="13"/>
      <c r="AK49" s="12">
        <v>0.01</v>
      </c>
      <c r="AL49" s="11">
        <f t="shared" si="19"/>
        <v>1.01</v>
      </c>
      <c r="AM49" s="10">
        <f t="shared" si="20"/>
        <v>5302442000</v>
      </c>
      <c r="AN49" s="9"/>
      <c r="AO49" s="74"/>
      <c r="AP49" s="72"/>
      <c r="AQ49" s="72"/>
      <c r="AR49" s="8"/>
      <c r="AS49" s="7"/>
      <c r="AT49" s="6">
        <f t="shared" si="21"/>
        <v>0</v>
      </c>
    </row>
    <row r="50" spans="1:46" s="37" customFormat="1" ht="45.75" customHeight="1" thickBot="1" x14ac:dyDescent="0.2">
      <c r="A50" s="35"/>
      <c r="B50" s="35"/>
      <c r="C50" s="39"/>
      <c r="D50" s="39"/>
      <c r="E50" s="39"/>
      <c r="F50" s="63"/>
      <c r="G50" s="51"/>
      <c r="H50" s="45"/>
      <c r="I50" s="38">
        <v>0.51</v>
      </c>
      <c r="J50" s="30">
        <v>0.49</v>
      </c>
      <c r="K50" s="29"/>
      <c r="L50" s="28"/>
      <c r="M50" s="27"/>
      <c r="N50" s="26">
        <f t="shared" si="11"/>
        <v>1</v>
      </c>
      <c r="O50" s="23">
        <v>15</v>
      </c>
      <c r="P50" s="23">
        <v>15</v>
      </c>
      <c r="Q50" s="42"/>
      <c r="R50" s="42"/>
      <c r="S50" s="42"/>
      <c r="T50" s="20">
        <f t="shared" si="12"/>
        <v>15</v>
      </c>
      <c r="U50" s="19">
        <f t="shared" si="13"/>
        <v>15</v>
      </c>
      <c r="V50" s="61"/>
      <c r="W50" s="59"/>
      <c r="X50" s="61"/>
      <c r="Y50" s="22"/>
      <c r="Z50" s="21"/>
      <c r="AA50" s="20">
        <f t="shared" si="14"/>
        <v>0</v>
      </c>
      <c r="AB50" s="19">
        <f t="shared" si="15"/>
        <v>0</v>
      </c>
      <c r="AC50" s="16">
        <v>20</v>
      </c>
      <c r="AD50" s="18"/>
      <c r="AE50" s="17"/>
      <c r="AF50" s="23">
        <f t="shared" si="16"/>
        <v>15</v>
      </c>
      <c r="AG50" s="16">
        <v>45</v>
      </c>
      <c r="AH50" s="23">
        <f t="shared" si="17"/>
        <v>80</v>
      </c>
      <c r="AI50" s="14">
        <f t="shared" si="18"/>
        <v>0.93</v>
      </c>
      <c r="AJ50" s="13"/>
      <c r="AK50" s="12">
        <v>0.01</v>
      </c>
      <c r="AL50" s="11">
        <f t="shared" si="19"/>
        <v>1.01</v>
      </c>
      <c r="AM50" s="10">
        <f t="shared" si="20"/>
        <v>5441403000</v>
      </c>
      <c r="AN50" s="9"/>
      <c r="AO50" s="8"/>
      <c r="AP50" s="8"/>
      <c r="AQ50" s="8"/>
      <c r="AR50" s="8"/>
      <c r="AS50" s="7"/>
      <c r="AT50" s="6">
        <f t="shared" si="21"/>
        <v>0</v>
      </c>
    </row>
    <row r="51" spans="1:46" s="37" customFormat="1" ht="45.75" customHeight="1" thickBot="1" x14ac:dyDescent="0.2">
      <c r="A51" s="35"/>
      <c r="B51" s="35"/>
      <c r="C51" s="39"/>
      <c r="D51" s="39"/>
      <c r="E51" s="53"/>
      <c r="F51" s="39"/>
      <c r="G51" s="39"/>
      <c r="H51" s="45"/>
      <c r="I51" s="38">
        <v>0.5</v>
      </c>
      <c r="J51" s="30">
        <v>0.25</v>
      </c>
      <c r="K51" s="29">
        <v>0.25</v>
      </c>
      <c r="L51" s="28"/>
      <c r="M51" s="27"/>
      <c r="N51" s="26">
        <f t="shared" si="11"/>
        <v>1</v>
      </c>
      <c r="O51" s="65">
        <v>15</v>
      </c>
      <c r="P51" s="23">
        <v>15</v>
      </c>
      <c r="Q51" s="23">
        <v>15</v>
      </c>
      <c r="R51" s="42"/>
      <c r="S51" s="23"/>
      <c r="T51" s="20">
        <f t="shared" si="12"/>
        <v>15</v>
      </c>
      <c r="U51" s="19">
        <f t="shared" si="13"/>
        <v>15</v>
      </c>
      <c r="V51" s="22"/>
      <c r="W51" s="22"/>
      <c r="X51" s="68"/>
      <c r="Y51" s="59"/>
      <c r="Z51" s="22"/>
      <c r="AA51" s="20">
        <f t="shared" si="14"/>
        <v>0</v>
      </c>
      <c r="AB51" s="19">
        <f t="shared" si="15"/>
        <v>0</v>
      </c>
      <c r="AC51" s="16">
        <v>20</v>
      </c>
      <c r="AD51" s="18"/>
      <c r="AE51" s="17"/>
      <c r="AF51" s="23">
        <f t="shared" si="16"/>
        <v>15</v>
      </c>
      <c r="AG51" s="16">
        <v>45</v>
      </c>
      <c r="AH51" s="23">
        <f t="shared" si="17"/>
        <v>80</v>
      </c>
      <c r="AI51" s="14">
        <f t="shared" si="18"/>
        <v>0.93</v>
      </c>
      <c r="AJ51" s="13"/>
      <c r="AK51" s="12">
        <v>0.01</v>
      </c>
      <c r="AL51" s="11">
        <f t="shared" si="19"/>
        <v>1.01</v>
      </c>
      <c r="AM51" s="10">
        <f t="shared" si="20"/>
        <v>5441403000</v>
      </c>
      <c r="AN51" s="9"/>
      <c r="AO51" s="16"/>
      <c r="AP51" s="71"/>
      <c r="AQ51" s="71"/>
      <c r="AR51" s="8"/>
      <c r="AS51" s="7"/>
      <c r="AT51" s="6">
        <f t="shared" si="21"/>
        <v>0</v>
      </c>
    </row>
    <row r="52" spans="1:46" s="37" customFormat="1" ht="45.75" customHeight="1" thickBot="1" x14ac:dyDescent="0.2">
      <c r="A52" s="35"/>
      <c r="B52" s="35"/>
      <c r="C52" s="73"/>
      <c r="D52" s="73"/>
      <c r="E52" s="73"/>
      <c r="F52" s="73"/>
      <c r="G52" s="51"/>
      <c r="H52" s="45"/>
      <c r="I52" s="38">
        <v>0.51</v>
      </c>
      <c r="J52" s="30">
        <v>0.49</v>
      </c>
      <c r="K52" s="29"/>
      <c r="L52" s="28"/>
      <c r="M52" s="27"/>
      <c r="N52" s="26">
        <f t="shared" si="11"/>
        <v>1</v>
      </c>
      <c r="O52" s="65">
        <v>15</v>
      </c>
      <c r="P52" s="23">
        <v>15</v>
      </c>
      <c r="Q52" s="42"/>
      <c r="R52" s="42"/>
      <c r="S52" s="23"/>
      <c r="T52" s="20">
        <f t="shared" si="12"/>
        <v>15</v>
      </c>
      <c r="U52" s="19">
        <f t="shared" si="13"/>
        <v>15</v>
      </c>
      <c r="V52" s="22"/>
      <c r="W52" s="22"/>
      <c r="X52" s="22"/>
      <c r="Y52" s="22"/>
      <c r="Z52" s="68"/>
      <c r="AA52" s="20">
        <f t="shared" si="14"/>
        <v>0</v>
      </c>
      <c r="AB52" s="19">
        <f t="shared" si="15"/>
        <v>0</v>
      </c>
      <c r="AC52" s="16">
        <v>20</v>
      </c>
      <c r="AD52" s="18"/>
      <c r="AE52" s="17"/>
      <c r="AF52" s="23">
        <f t="shared" si="16"/>
        <v>15</v>
      </c>
      <c r="AG52" s="16">
        <v>45</v>
      </c>
      <c r="AH52" s="23">
        <f t="shared" si="17"/>
        <v>80</v>
      </c>
      <c r="AI52" s="14">
        <f t="shared" si="18"/>
        <v>0.93</v>
      </c>
      <c r="AJ52" s="13"/>
      <c r="AK52" s="12">
        <v>0.01</v>
      </c>
      <c r="AL52" s="11">
        <f t="shared" si="19"/>
        <v>1.01</v>
      </c>
      <c r="AM52" s="10">
        <f t="shared" si="20"/>
        <v>5441403000</v>
      </c>
      <c r="AN52" s="9"/>
      <c r="AO52" s="74"/>
      <c r="AP52" s="16"/>
      <c r="AQ52" s="16"/>
      <c r="AR52" s="8"/>
      <c r="AS52" s="7"/>
      <c r="AT52" s="6">
        <f t="shared" si="21"/>
        <v>0</v>
      </c>
    </row>
    <row r="53" spans="1:46" s="37" customFormat="1" ht="45.75" customHeight="1" thickBot="1" x14ac:dyDescent="0.2">
      <c r="A53" s="35"/>
      <c r="B53" s="35"/>
      <c r="C53" s="73"/>
      <c r="D53" s="73"/>
      <c r="E53" s="73"/>
      <c r="F53" s="73"/>
      <c r="G53" s="73"/>
      <c r="H53" s="45"/>
      <c r="I53" s="38">
        <v>0.51</v>
      </c>
      <c r="J53" s="30">
        <v>0.49</v>
      </c>
      <c r="K53" s="29"/>
      <c r="L53" s="28"/>
      <c r="M53" s="27"/>
      <c r="N53" s="26">
        <f t="shared" si="11"/>
        <v>1</v>
      </c>
      <c r="O53" s="65">
        <v>15</v>
      </c>
      <c r="P53" s="23">
        <v>15</v>
      </c>
      <c r="Q53" s="42"/>
      <c r="R53" s="42"/>
      <c r="S53" s="23"/>
      <c r="T53" s="20">
        <f t="shared" si="12"/>
        <v>15</v>
      </c>
      <c r="U53" s="19">
        <f t="shared" si="13"/>
        <v>15</v>
      </c>
      <c r="V53" s="22"/>
      <c r="W53" s="59"/>
      <c r="X53" s="59"/>
      <c r="Y53" s="22"/>
      <c r="Z53" s="21"/>
      <c r="AA53" s="20">
        <f t="shared" si="14"/>
        <v>0</v>
      </c>
      <c r="AB53" s="19">
        <f t="shared" si="15"/>
        <v>0</v>
      </c>
      <c r="AC53" s="16">
        <v>20</v>
      </c>
      <c r="AD53" s="18"/>
      <c r="AE53" s="17"/>
      <c r="AF53" s="23">
        <f t="shared" si="16"/>
        <v>15</v>
      </c>
      <c r="AG53" s="16">
        <v>45</v>
      </c>
      <c r="AH53" s="23">
        <f t="shared" si="17"/>
        <v>80</v>
      </c>
      <c r="AI53" s="14">
        <f t="shared" si="18"/>
        <v>0.93</v>
      </c>
      <c r="AJ53" s="13"/>
      <c r="AK53" s="12">
        <v>0.01</v>
      </c>
      <c r="AL53" s="11">
        <f t="shared" si="19"/>
        <v>1.01</v>
      </c>
      <c r="AM53" s="10">
        <f t="shared" si="20"/>
        <v>5441403000</v>
      </c>
      <c r="AN53" s="9"/>
      <c r="AO53" s="16"/>
      <c r="AP53" s="72"/>
      <c r="AQ53" s="71"/>
      <c r="AR53" s="8"/>
      <c r="AS53" s="7"/>
      <c r="AT53" s="6">
        <f t="shared" si="21"/>
        <v>0</v>
      </c>
    </row>
    <row r="54" spans="1:46" s="37" customFormat="1" ht="45.75" customHeight="1" thickBot="1" x14ac:dyDescent="0.2">
      <c r="A54" s="35"/>
      <c r="B54" s="35"/>
      <c r="C54" s="39"/>
      <c r="D54" s="53"/>
      <c r="E54" s="63"/>
      <c r="F54" s="63"/>
      <c r="G54" s="51"/>
      <c r="H54" s="45"/>
      <c r="I54" s="38">
        <v>0.51</v>
      </c>
      <c r="J54" s="30">
        <v>0.49</v>
      </c>
      <c r="K54" s="29"/>
      <c r="L54" s="28"/>
      <c r="M54" s="27"/>
      <c r="N54" s="26">
        <f t="shared" si="11"/>
        <v>1</v>
      </c>
      <c r="O54" s="23">
        <v>15</v>
      </c>
      <c r="P54" s="23">
        <v>15</v>
      </c>
      <c r="Q54" s="42"/>
      <c r="R54" s="24"/>
      <c r="S54" s="23"/>
      <c r="T54" s="20">
        <f t="shared" si="12"/>
        <v>15</v>
      </c>
      <c r="U54" s="19">
        <f t="shared" si="13"/>
        <v>15</v>
      </c>
      <c r="V54" s="61"/>
      <c r="W54" s="59"/>
      <c r="X54" s="22"/>
      <c r="Y54" s="22"/>
      <c r="Z54" s="68"/>
      <c r="AA54" s="20">
        <f t="shared" si="14"/>
        <v>0</v>
      </c>
      <c r="AB54" s="19">
        <f t="shared" si="15"/>
        <v>0</v>
      </c>
      <c r="AC54" s="16">
        <v>20</v>
      </c>
      <c r="AD54" s="18"/>
      <c r="AE54" s="17"/>
      <c r="AF54" s="23">
        <f t="shared" si="16"/>
        <v>15</v>
      </c>
      <c r="AG54" s="16">
        <v>45</v>
      </c>
      <c r="AH54" s="23">
        <f t="shared" si="17"/>
        <v>80</v>
      </c>
      <c r="AI54" s="14">
        <f t="shared" si="18"/>
        <v>0.93</v>
      </c>
      <c r="AJ54" s="13"/>
      <c r="AK54" s="12">
        <v>0.01</v>
      </c>
      <c r="AL54" s="11">
        <f t="shared" si="19"/>
        <v>1.01</v>
      </c>
      <c r="AM54" s="10">
        <f t="shared" si="20"/>
        <v>5441403000</v>
      </c>
      <c r="AN54" s="9"/>
      <c r="AO54" s="8"/>
      <c r="AP54" s="8"/>
      <c r="AQ54" s="8"/>
      <c r="AR54" s="8"/>
      <c r="AS54" s="7"/>
      <c r="AT54" s="6">
        <f t="shared" si="21"/>
        <v>0</v>
      </c>
    </row>
    <row r="55" spans="1:46" s="37" customFormat="1" ht="45.75" customHeight="1" thickBot="1" x14ac:dyDescent="0.2">
      <c r="A55" s="35"/>
      <c r="B55" s="35"/>
      <c r="C55" s="39"/>
      <c r="D55" s="53"/>
      <c r="E55" s="39"/>
      <c r="F55" s="63"/>
      <c r="G55" s="51"/>
      <c r="H55" s="45"/>
      <c r="I55" s="38">
        <v>0.51</v>
      </c>
      <c r="J55" s="30">
        <v>0.49</v>
      </c>
      <c r="K55" s="29"/>
      <c r="L55" s="28"/>
      <c r="M55" s="27"/>
      <c r="N55" s="26">
        <f t="shared" si="11"/>
        <v>1</v>
      </c>
      <c r="O55" s="23">
        <v>15</v>
      </c>
      <c r="P55" s="23">
        <v>15</v>
      </c>
      <c r="Q55" s="69"/>
      <c r="R55" s="24"/>
      <c r="S55" s="23"/>
      <c r="T55" s="20">
        <f t="shared" si="12"/>
        <v>15</v>
      </c>
      <c r="U55" s="19">
        <f t="shared" si="13"/>
        <v>15</v>
      </c>
      <c r="V55" s="61"/>
      <c r="W55" s="68"/>
      <c r="X55" s="59"/>
      <c r="Y55" s="22"/>
      <c r="Z55" s="21"/>
      <c r="AA55" s="20">
        <f t="shared" si="14"/>
        <v>0</v>
      </c>
      <c r="AB55" s="19">
        <f t="shared" si="15"/>
        <v>0</v>
      </c>
      <c r="AC55" s="16">
        <v>20</v>
      </c>
      <c r="AD55" s="18"/>
      <c r="AE55" s="17"/>
      <c r="AF55" s="23">
        <f t="shared" si="16"/>
        <v>15</v>
      </c>
      <c r="AG55" s="16">
        <v>45</v>
      </c>
      <c r="AH55" s="23">
        <f t="shared" si="17"/>
        <v>80</v>
      </c>
      <c r="AI55" s="14">
        <f t="shared" si="18"/>
        <v>0.93</v>
      </c>
      <c r="AJ55" s="13"/>
      <c r="AK55" s="12">
        <v>0.01</v>
      </c>
      <c r="AL55" s="11">
        <f t="shared" si="19"/>
        <v>1.01</v>
      </c>
      <c r="AM55" s="10">
        <f t="shared" si="20"/>
        <v>5441403000</v>
      </c>
      <c r="AN55" s="9"/>
      <c r="AO55" s="8"/>
      <c r="AP55" s="8"/>
      <c r="AQ55" s="8"/>
      <c r="AR55" s="8"/>
      <c r="AS55" s="7"/>
      <c r="AT55" s="6">
        <f t="shared" si="21"/>
        <v>0</v>
      </c>
    </row>
    <row r="56" spans="1:46" s="37" customFormat="1" ht="45.75" customHeight="1" thickBot="1" x14ac:dyDescent="0.2">
      <c r="A56" s="36"/>
      <c r="B56" s="55"/>
      <c r="C56" s="47"/>
      <c r="D56" s="53"/>
      <c r="E56" s="47"/>
      <c r="F56" s="39"/>
      <c r="G56" s="33"/>
      <c r="H56" s="32"/>
      <c r="I56" s="38">
        <v>0.51</v>
      </c>
      <c r="J56" s="30">
        <v>0.49</v>
      </c>
      <c r="K56" s="29"/>
      <c r="L56" s="28"/>
      <c r="M56" s="27"/>
      <c r="N56" s="26">
        <f t="shared" si="11"/>
        <v>1</v>
      </c>
      <c r="O56" s="25">
        <v>15</v>
      </c>
      <c r="P56" s="23">
        <v>15</v>
      </c>
      <c r="Q56" s="24"/>
      <c r="R56" s="24"/>
      <c r="S56" s="23"/>
      <c r="T56" s="20">
        <f t="shared" si="12"/>
        <v>15</v>
      </c>
      <c r="U56" s="19">
        <f t="shared" si="13"/>
        <v>15</v>
      </c>
      <c r="V56" s="48"/>
      <c r="W56" s="22"/>
      <c r="X56" s="22"/>
      <c r="Y56" s="22"/>
      <c r="Z56" s="21"/>
      <c r="AA56" s="20">
        <f t="shared" si="14"/>
        <v>0</v>
      </c>
      <c r="AB56" s="19">
        <f t="shared" si="15"/>
        <v>0</v>
      </c>
      <c r="AC56" s="16">
        <v>20</v>
      </c>
      <c r="AD56" s="18"/>
      <c r="AE56" s="17"/>
      <c r="AF56" s="23">
        <f t="shared" si="16"/>
        <v>15</v>
      </c>
      <c r="AG56" s="16">
        <v>45</v>
      </c>
      <c r="AH56" s="23">
        <f t="shared" si="17"/>
        <v>80</v>
      </c>
      <c r="AI56" s="14">
        <f t="shared" si="18"/>
        <v>0.93</v>
      </c>
      <c r="AJ56" s="13"/>
      <c r="AK56" s="12">
        <v>0.01</v>
      </c>
      <c r="AL56" s="11">
        <f t="shared" si="19"/>
        <v>1.01</v>
      </c>
      <c r="AM56" s="10">
        <f t="shared" si="20"/>
        <v>5441403000</v>
      </c>
      <c r="AN56" s="9"/>
      <c r="AO56" s="8"/>
      <c r="AP56" s="8"/>
      <c r="AQ56" s="8"/>
      <c r="AR56" s="8"/>
      <c r="AS56" s="7"/>
      <c r="AT56" s="6">
        <f t="shared" si="21"/>
        <v>0</v>
      </c>
    </row>
    <row r="57" spans="1:46" s="37" customFormat="1" ht="45.75" customHeight="1" thickBot="1" x14ac:dyDescent="0.2">
      <c r="A57" s="58"/>
      <c r="B57" s="55"/>
      <c r="C57" s="39"/>
      <c r="D57" s="53"/>
      <c r="E57" s="53"/>
      <c r="F57" s="39"/>
      <c r="G57" s="33"/>
      <c r="H57" s="32"/>
      <c r="I57" s="38">
        <v>0.51</v>
      </c>
      <c r="J57" s="30">
        <v>0.49</v>
      </c>
      <c r="K57" s="29"/>
      <c r="L57" s="28"/>
      <c r="M57" s="27"/>
      <c r="N57" s="26">
        <f t="shared" si="11"/>
        <v>1</v>
      </c>
      <c r="O57" s="25">
        <v>15</v>
      </c>
      <c r="P57" s="23">
        <v>15</v>
      </c>
      <c r="Q57" s="24"/>
      <c r="R57" s="24"/>
      <c r="S57" s="23"/>
      <c r="T57" s="20">
        <f t="shared" si="12"/>
        <v>15</v>
      </c>
      <c r="U57" s="19">
        <f t="shared" si="13"/>
        <v>15</v>
      </c>
      <c r="V57" s="48"/>
      <c r="W57" s="22"/>
      <c r="X57" s="22"/>
      <c r="Y57" s="57"/>
      <c r="Z57" s="21"/>
      <c r="AA57" s="20">
        <f t="shared" si="14"/>
        <v>0</v>
      </c>
      <c r="AB57" s="19">
        <f t="shared" si="15"/>
        <v>0</v>
      </c>
      <c r="AC57" s="16">
        <v>20</v>
      </c>
      <c r="AD57" s="18"/>
      <c r="AE57" s="17"/>
      <c r="AF57" s="23">
        <f t="shared" si="16"/>
        <v>15</v>
      </c>
      <c r="AG57" s="16">
        <v>45</v>
      </c>
      <c r="AH57" s="23">
        <f t="shared" si="17"/>
        <v>80</v>
      </c>
      <c r="AI57" s="14">
        <f t="shared" si="18"/>
        <v>0.93</v>
      </c>
      <c r="AJ57" s="13"/>
      <c r="AK57" s="12">
        <v>0.01</v>
      </c>
      <c r="AL57" s="11">
        <f t="shared" si="19"/>
        <v>1.01</v>
      </c>
      <c r="AM57" s="10">
        <f t="shared" si="20"/>
        <v>5441403000</v>
      </c>
      <c r="AN57" s="9"/>
      <c r="AO57" s="8"/>
      <c r="AP57" s="8"/>
      <c r="AQ57" s="8"/>
      <c r="AR57" s="8"/>
      <c r="AS57" s="7"/>
      <c r="AT57" s="6">
        <f t="shared" si="21"/>
        <v>0</v>
      </c>
    </row>
    <row r="58" spans="1:46" s="37" customFormat="1" ht="45.75" customHeight="1" thickBot="1" x14ac:dyDescent="0.2">
      <c r="A58" s="36"/>
      <c r="B58" s="55"/>
      <c r="C58" s="39"/>
      <c r="D58" s="47"/>
      <c r="E58" s="47"/>
      <c r="F58" s="47"/>
      <c r="G58" s="46"/>
      <c r="H58" s="45"/>
      <c r="I58" s="38">
        <v>0.51</v>
      </c>
      <c r="J58" s="30">
        <v>0.49</v>
      </c>
      <c r="K58" s="29"/>
      <c r="L58" s="28"/>
      <c r="M58" s="27"/>
      <c r="N58" s="26">
        <f t="shared" si="11"/>
        <v>1</v>
      </c>
      <c r="O58" s="25">
        <v>15</v>
      </c>
      <c r="P58" s="24">
        <v>15</v>
      </c>
      <c r="Q58" s="42"/>
      <c r="R58" s="42"/>
      <c r="S58" s="23"/>
      <c r="T58" s="20">
        <f t="shared" si="12"/>
        <v>15</v>
      </c>
      <c r="U58" s="19">
        <f t="shared" si="13"/>
        <v>15</v>
      </c>
      <c r="V58" s="22"/>
      <c r="W58" s="41"/>
      <c r="X58" s="54"/>
      <c r="Y58" s="48"/>
      <c r="Z58" s="21"/>
      <c r="AA58" s="20">
        <f t="shared" si="14"/>
        <v>0</v>
      </c>
      <c r="AB58" s="19">
        <f t="shared" si="15"/>
        <v>0</v>
      </c>
      <c r="AC58" s="16">
        <v>20</v>
      </c>
      <c r="AD58" s="18"/>
      <c r="AE58" s="17"/>
      <c r="AF58" s="23">
        <f t="shared" si="16"/>
        <v>15</v>
      </c>
      <c r="AG58" s="16">
        <v>45</v>
      </c>
      <c r="AH58" s="23">
        <f t="shared" si="17"/>
        <v>80</v>
      </c>
      <c r="AI58" s="14">
        <f t="shared" si="18"/>
        <v>0.93</v>
      </c>
      <c r="AJ58" s="13"/>
      <c r="AK58" s="12">
        <v>0.01</v>
      </c>
      <c r="AL58" s="11">
        <f t="shared" si="19"/>
        <v>1.01</v>
      </c>
      <c r="AM58" s="10">
        <f t="shared" si="20"/>
        <v>5441403000</v>
      </c>
      <c r="AN58" s="9"/>
      <c r="AO58" s="8"/>
      <c r="AP58" s="8"/>
      <c r="AQ58" s="8"/>
      <c r="AR58" s="8"/>
      <c r="AS58" s="7"/>
      <c r="AT58" s="6">
        <f t="shared" si="21"/>
        <v>0</v>
      </c>
    </row>
    <row r="59" spans="1:46" s="37" customFormat="1" ht="45.75" customHeight="1" thickBot="1" x14ac:dyDescent="0.2">
      <c r="A59" s="36"/>
      <c r="B59" s="55"/>
      <c r="C59" s="47"/>
      <c r="D59" s="47"/>
      <c r="E59" s="47"/>
      <c r="F59" s="47"/>
      <c r="G59" s="46"/>
      <c r="H59" s="45"/>
      <c r="I59" s="38">
        <v>0.51</v>
      </c>
      <c r="J59" s="30">
        <v>0.49</v>
      </c>
      <c r="K59" s="29"/>
      <c r="L59" s="28"/>
      <c r="M59" s="27"/>
      <c r="N59" s="26">
        <f t="shared" si="11"/>
        <v>1</v>
      </c>
      <c r="O59" s="25">
        <v>15</v>
      </c>
      <c r="P59" s="24">
        <v>15</v>
      </c>
      <c r="Q59" s="42"/>
      <c r="R59" s="42"/>
      <c r="S59" s="23"/>
      <c r="T59" s="20">
        <f t="shared" si="12"/>
        <v>15</v>
      </c>
      <c r="U59" s="19">
        <f t="shared" si="13"/>
        <v>15</v>
      </c>
      <c r="V59" s="48"/>
      <c r="W59" s="41"/>
      <c r="X59" s="54"/>
      <c r="Y59" s="56"/>
      <c r="Z59" s="21"/>
      <c r="AA59" s="20">
        <f t="shared" si="14"/>
        <v>0</v>
      </c>
      <c r="AB59" s="19">
        <f t="shared" si="15"/>
        <v>0</v>
      </c>
      <c r="AC59" s="16">
        <v>20</v>
      </c>
      <c r="AD59" s="18"/>
      <c r="AE59" s="17"/>
      <c r="AF59" s="23">
        <f t="shared" si="16"/>
        <v>15</v>
      </c>
      <c r="AG59" s="16">
        <v>45</v>
      </c>
      <c r="AH59" s="23">
        <f t="shared" si="17"/>
        <v>80</v>
      </c>
      <c r="AI59" s="14">
        <f t="shared" si="18"/>
        <v>0.93</v>
      </c>
      <c r="AJ59" s="13"/>
      <c r="AK59" s="12">
        <v>0.01</v>
      </c>
      <c r="AL59" s="11">
        <f t="shared" si="19"/>
        <v>1.01</v>
      </c>
      <c r="AM59" s="10">
        <f t="shared" si="20"/>
        <v>5441403000</v>
      </c>
      <c r="AN59" s="9"/>
      <c r="AO59" s="8"/>
      <c r="AP59" s="8"/>
      <c r="AQ59" s="8"/>
      <c r="AR59" s="8"/>
      <c r="AS59" s="7"/>
      <c r="AT59" s="6">
        <f t="shared" si="21"/>
        <v>0</v>
      </c>
    </row>
    <row r="60" spans="1:46" s="37" customFormat="1" ht="45.75" customHeight="1" thickBot="1" x14ac:dyDescent="0.2">
      <c r="A60" s="36"/>
      <c r="B60" s="55"/>
      <c r="C60" s="47"/>
      <c r="D60" s="39"/>
      <c r="E60" s="47"/>
      <c r="F60" s="39"/>
      <c r="G60" s="49"/>
      <c r="H60" s="50"/>
      <c r="I60" s="38">
        <v>0.51</v>
      </c>
      <c r="J60" s="30">
        <v>0.49</v>
      </c>
      <c r="K60" s="29"/>
      <c r="L60" s="28"/>
      <c r="M60" s="27"/>
      <c r="N60" s="26">
        <f t="shared" si="11"/>
        <v>1</v>
      </c>
      <c r="O60" s="44">
        <v>15</v>
      </c>
      <c r="P60" s="24">
        <v>15</v>
      </c>
      <c r="Q60" s="24"/>
      <c r="R60" s="42"/>
      <c r="S60" s="42"/>
      <c r="T60" s="20">
        <f t="shared" si="12"/>
        <v>15</v>
      </c>
      <c r="U60" s="19">
        <f t="shared" si="13"/>
        <v>15</v>
      </c>
      <c r="V60" s="48"/>
      <c r="W60" s="48"/>
      <c r="X60" s="48"/>
      <c r="Y60" s="48"/>
      <c r="Z60" s="21"/>
      <c r="AA60" s="20">
        <f t="shared" si="14"/>
        <v>0</v>
      </c>
      <c r="AB60" s="19">
        <f t="shared" si="15"/>
        <v>0</v>
      </c>
      <c r="AC60" s="16">
        <v>20</v>
      </c>
      <c r="AD60" s="18"/>
      <c r="AE60" s="17"/>
      <c r="AF60" s="23">
        <f t="shared" si="16"/>
        <v>15</v>
      </c>
      <c r="AG60" s="16">
        <v>45</v>
      </c>
      <c r="AH60" s="23">
        <f t="shared" si="17"/>
        <v>80</v>
      </c>
      <c r="AI60" s="14">
        <f t="shared" si="18"/>
        <v>0.93</v>
      </c>
      <c r="AJ60" s="13"/>
      <c r="AK60" s="12">
        <v>0.01</v>
      </c>
      <c r="AL60" s="11">
        <f t="shared" si="19"/>
        <v>1.01</v>
      </c>
      <c r="AM60" s="10">
        <f t="shared" si="20"/>
        <v>5441403000</v>
      </c>
      <c r="AN60" s="9"/>
      <c r="AO60" s="8"/>
      <c r="AP60" s="8"/>
      <c r="AQ60" s="8"/>
      <c r="AR60" s="8"/>
      <c r="AS60" s="7"/>
      <c r="AT60" s="6">
        <f t="shared" si="21"/>
        <v>0</v>
      </c>
    </row>
    <row r="61" spans="1:46" s="37" customFormat="1" ht="45.75" customHeight="1" thickBot="1" x14ac:dyDescent="0.2">
      <c r="A61" s="36"/>
      <c r="B61" s="55"/>
      <c r="C61" s="39"/>
      <c r="D61" s="53"/>
      <c r="E61" s="53"/>
      <c r="F61" s="34"/>
      <c r="G61" s="33"/>
      <c r="H61" s="32"/>
      <c r="I61" s="38">
        <v>0.51</v>
      </c>
      <c r="J61" s="30">
        <v>0.49</v>
      </c>
      <c r="K61" s="29"/>
      <c r="L61" s="28"/>
      <c r="M61" s="27"/>
      <c r="N61" s="26">
        <f t="shared" si="11"/>
        <v>1</v>
      </c>
      <c r="O61" s="25">
        <v>15</v>
      </c>
      <c r="P61" s="23">
        <v>15</v>
      </c>
      <c r="Q61" s="24"/>
      <c r="R61" s="24"/>
      <c r="S61" s="23"/>
      <c r="T61" s="20">
        <f t="shared" si="12"/>
        <v>15</v>
      </c>
      <c r="U61" s="19">
        <f t="shared" si="13"/>
        <v>15</v>
      </c>
      <c r="V61" s="22"/>
      <c r="W61" s="22"/>
      <c r="X61" s="22"/>
      <c r="Y61" s="22"/>
      <c r="Z61" s="21"/>
      <c r="AA61" s="20">
        <f t="shared" si="14"/>
        <v>0</v>
      </c>
      <c r="AB61" s="19">
        <f t="shared" si="15"/>
        <v>0</v>
      </c>
      <c r="AC61" s="16">
        <v>20</v>
      </c>
      <c r="AD61" s="18"/>
      <c r="AE61" s="17"/>
      <c r="AF61" s="23">
        <f t="shared" si="16"/>
        <v>15</v>
      </c>
      <c r="AG61" s="16">
        <v>45</v>
      </c>
      <c r="AH61" s="23">
        <f t="shared" si="17"/>
        <v>80</v>
      </c>
      <c r="AI61" s="14">
        <f t="shared" si="18"/>
        <v>0.93</v>
      </c>
      <c r="AJ61" s="13"/>
      <c r="AK61" s="12">
        <v>0.01</v>
      </c>
      <c r="AL61" s="11">
        <f t="shared" si="19"/>
        <v>1.01</v>
      </c>
      <c r="AM61" s="10">
        <f t="shared" si="20"/>
        <v>5441403000</v>
      </c>
      <c r="AN61" s="9"/>
      <c r="AO61" s="8"/>
      <c r="AP61" s="8"/>
      <c r="AQ61" s="8"/>
      <c r="AR61" s="8"/>
      <c r="AS61" s="7"/>
      <c r="AT61" s="6">
        <f t="shared" si="21"/>
        <v>0</v>
      </c>
    </row>
    <row r="62" spans="1:46" s="37" customFormat="1" ht="45.75" customHeight="1" thickBot="1" x14ac:dyDescent="0.2">
      <c r="A62" s="36"/>
      <c r="B62" s="35"/>
      <c r="C62" s="39"/>
      <c r="D62" s="39"/>
      <c r="E62" s="47"/>
      <c r="F62" s="39"/>
      <c r="G62" s="51"/>
      <c r="H62" s="45"/>
      <c r="I62" s="38">
        <v>0.51</v>
      </c>
      <c r="J62" s="30">
        <v>0.49</v>
      </c>
      <c r="K62" s="29"/>
      <c r="L62" s="28"/>
      <c r="M62" s="27"/>
      <c r="N62" s="26">
        <f t="shared" si="11"/>
        <v>1</v>
      </c>
      <c r="O62" s="44">
        <v>15</v>
      </c>
      <c r="P62" s="43">
        <v>15</v>
      </c>
      <c r="Q62" s="42"/>
      <c r="R62" s="42"/>
      <c r="S62" s="42"/>
      <c r="T62" s="20">
        <f t="shared" si="12"/>
        <v>15</v>
      </c>
      <c r="U62" s="19">
        <f t="shared" si="13"/>
        <v>15</v>
      </c>
      <c r="V62" s="22"/>
      <c r="W62" s="22"/>
      <c r="X62" s="22"/>
      <c r="Y62" s="54"/>
      <c r="Z62" s="21"/>
      <c r="AA62" s="20">
        <f t="shared" si="14"/>
        <v>0</v>
      </c>
      <c r="AB62" s="19">
        <f t="shared" si="15"/>
        <v>0</v>
      </c>
      <c r="AC62" s="16">
        <v>20</v>
      </c>
      <c r="AD62" s="18"/>
      <c r="AE62" s="17"/>
      <c r="AF62" s="23">
        <f t="shared" si="16"/>
        <v>15</v>
      </c>
      <c r="AG62" s="16">
        <v>45</v>
      </c>
      <c r="AH62" s="23">
        <f t="shared" si="17"/>
        <v>80</v>
      </c>
      <c r="AI62" s="14">
        <f t="shared" si="18"/>
        <v>0.93</v>
      </c>
      <c r="AJ62" s="13"/>
      <c r="AK62" s="12">
        <v>0.01</v>
      </c>
      <c r="AL62" s="11">
        <f t="shared" si="19"/>
        <v>1.01</v>
      </c>
      <c r="AM62" s="10">
        <f t="shared" si="20"/>
        <v>5441403000</v>
      </c>
      <c r="AN62" s="9"/>
      <c r="AO62" s="8"/>
      <c r="AP62" s="8"/>
      <c r="AQ62" s="8"/>
      <c r="AR62" s="8"/>
      <c r="AS62" s="7"/>
      <c r="AT62" s="6">
        <f t="shared" si="21"/>
        <v>0</v>
      </c>
    </row>
    <row r="63" spans="1:46" s="37" customFormat="1" ht="45.75" customHeight="1" thickBot="1" x14ac:dyDescent="0.2">
      <c r="A63" s="36"/>
      <c r="B63" s="35"/>
      <c r="C63" s="47"/>
      <c r="D63" s="47"/>
      <c r="E63" s="47"/>
      <c r="F63" s="47"/>
      <c r="G63" s="51"/>
      <c r="H63" s="50"/>
      <c r="I63" s="38">
        <v>0.51</v>
      </c>
      <c r="J63" s="30">
        <v>0.49</v>
      </c>
      <c r="K63" s="29"/>
      <c r="L63" s="28"/>
      <c r="M63" s="27"/>
      <c r="N63" s="26">
        <f t="shared" si="11"/>
        <v>1</v>
      </c>
      <c r="O63" s="44">
        <v>15</v>
      </c>
      <c r="P63" s="43">
        <v>15</v>
      </c>
      <c r="Q63" s="42"/>
      <c r="R63" s="42"/>
      <c r="S63" s="42"/>
      <c r="T63" s="20">
        <f t="shared" si="12"/>
        <v>15</v>
      </c>
      <c r="U63" s="19">
        <f t="shared" si="13"/>
        <v>15</v>
      </c>
      <c r="V63" s="52"/>
      <c r="W63" s="48"/>
      <c r="X63" s="41"/>
      <c r="Y63" s="41"/>
      <c r="Z63" s="21"/>
      <c r="AA63" s="20">
        <f t="shared" si="14"/>
        <v>0</v>
      </c>
      <c r="AB63" s="19">
        <f t="shared" si="15"/>
        <v>0</v>
      </c>
      <c r="AC63" s="16">
        <v>20</v>
      </c>
      <c r="AD63" s="18"/>
      <c r="AE63" s="17"/>
      <c r="AF63" s="23">
        <f t="shared" si="16"/>
        <v>15</v>
      </c>
      <c r="AG63" s="16">
        <v>45</v>
      </c>
      <c r="AH63" s="23">
        <f t="shared" si="17"/>
        <v>80</v>
      </c>
      <c r="AI63" s="14">
        <f t="shared" si="18"/>
        <v>0.93</v>
      </c>
      <c r="AJ63" s="13"/>
      <c r="AK63" s="12">
        <v>0.01</v>
      </c>
      <c r="AL63" s="11">
        <f t="shared" si="19"/>
        <v>1.01</v>
      </c>
      <c r="AM63" s="10">
        <f t="shared" si="20"/>
        <v>5441403000</v>
      </c>
      <c r="AN63" s="9"/>
      <c r="AO63" s="8"/>
      <c r="AP63" s="8"/>
      <c r="AQ63" s="8"/>
      <c r="AR63" s="8"/>
      <c r="AS63" s="7"/>
      <c r="AT63" s="6">
        <f t="shared" si="21"/>
        <v>0</v>
      </c>
    </row>
    <row r="64" spans="1:46" s="37" customFormat="1" ht="45.75" customHeight="1" thickBot="1" x14ac:dyDescent="0.2">
      <c r="A64" s="36"/>
      <c r="B64" s="35"/>
      <c r="C64" s="39"/>
      <c r="D64" s="53"/>
      <c r="E64" s="39"/>
      <c r="F64" s="39"/>
      <c r="G64" s="50"/>
      <c r="H64" s="45"/>
      <c r="I64" s="38">
        <v>0.51</v>
      </c>
      <c r="J64" s="30">
        <v>0.49</v>
      </c>
      <c r="K64" s="29"/>
      <c r="L64" s="28"/>
      <c r="M64" s="27"/>
      <c r="N64" s="26">
        <f t="shared" si="11"/>
        <v>1</v>
      </c>
      <c r="O64" s="44">
        <v>15</v>
      </c>
      <c r="P64" s="43">
        <v>15</v>
      </c>
      <c r="Q64" s="42"/>
      <c r="R64" s="42"/>
      <c r="S64" s="42"/>
      <c r="T64" s="20">
        <f t="shared" si="12"/>
        <v>15</v>
      </c>
      <c r="U64" s="19">
        <f t="shared" si="13"/>
        <v>15</v>
      </c>
      <c r="V64" s="52"/>
      <c r="W64" s="41"/>
      <c r="X64" s="48"/>
      <c r="Y64" s="48"/>
      <c r="Z64" s="21"/>
      <c r="AA64" s="20">
        <f t="shared" si="14"/>
        <v>0</v>
      </c>
      <c r="AB64" s="19">
        <f t="shared" si="15"/>
        <v>0</v>
      </c>
      <c r="AC64" s="16">
        <v>20</v>
      </c>
      <c r="AD64" s="18"/>
      <c r="AE64" s="17"/>
      <c r="AF64" s="23">
        <f t="shared" si="16"/>
        <v>15</v>
      </c>
      <c r="AG64" s="16">
        <v>45</v>
      </c>
      <c r="AH64" s="23">
        <f t="shared" si="17"/>
        <v>80</v>
      </c>
      <c r="AI64" s="14">
        <f t="shared" si="18"/>
        <v>0.93</v>
      </c>
      <c r="AJ64" s="13"/>
      <c r="AK64" s="12">
        <v>0.01</v>
      </c>
      <c r="AL64" s="11">
        <f t="shared" si="19"/>
        <v>1.01</v>
      </c>
      <c r="AM64" s="10">
        <f t="shared" si="20"/>
        <v>5441403000</v>
      </c>
      <c r="AN64" s="9"/>
      <c r="AO64" s="8"/>
      <c r="AP64" s="8"/>
      <c r="AQ64" s="8"/>
      <c r="AR64" s="8"/>
      <c r="AS64" s="7"/>
      <c r="AT64" s="6">
        <f t="shared" si="21"/>
        <v>0</v>
      </c>
    </row>
    <row r="65" spans="1:46" s="37" customFormat="1" ht="45.75" customHeight="1" thickBot="1" x14ac:dyDescent="0.2">
      <c r="A65" s="36"/>
      <c r="B65" s="35"/>
      <c r="C65" s="39"/>
      <c r="D65" s="47"/>
      <c r="E65" s="39"/>
      <c r="F65" s="47"/>
      <c r="G65" s="51"/>
      <c r="H65" s="50"/>
      <c r="I65" s="38">
        <v>0.51</v>
      </c>
      <c r="J65" s="30">
        <v>0.49</v>
      </c>
      <c r="K65" s="29"/>
      <c r="L65" s="28"/>
      <c r="M65" s="27"/>
      <c r="N65" s="26">
        <f t="shared" si="11"/>
        <v>1</v>
      </c>
      <c r="O65" s="44">
        <v>15</v>
      </c>
      <c r="P65" s="43">
        <v>15</v>
      </c>
      <c r="Q65" s="42"/>
      <c r="R65" s="42"/>
      <c r="S65" s="42"/>
      <c r="T65" s="20">
        <f t="shared" si="12"/>
        <v>15</v>
      </c>
      <c r="U65" s="19">
        <f t="shared" si="13"/>
        <v>15</v>
      </c>
      <c r="V65" s="22"/>
      <c r="W65" s="48"/>
      <c r="X65" s="41"/>
      <c r="Y65" s="48"/>
      <c r="Z65" s="21"/>
      <c r="AA65" s="20">
        <f t="shared" si="14"/>
        <v>0</v>
      </c>
      <c r="AB65" s="19">
        <f t="shared" si="15"/>
        <v>0</v>
      </c>
      <c r="AC65" s="16">
        <v>20</v>
      </c>
      <c r="AD65" s="18"/>
      <c r="AE65" s="17"/>
      <c r="AF65" s="23">
        <f t="shared" si="16"/>
        <v>15</v>
      </c>
      <c r="AG65" s="16">
        <v>45</v>
      </c>
      <c r="AH65" s="23">
        <f t="shared" si="17"/>
        <v>80</v>
      </c>
      <c r="AI65" s="14">
        <f t="shared" si="18"/>
        <v>0.93</v>
      </c>
      <c r="AJ65" s="13"/>
      <c r="AK65" s="12">
        <v>0.01</v>
      </c>
      <c r="AL65" s="11">
        <f t="shared" si="19"/>
        <v>1.01</v>
      </c>
      <c r="AM65" s="10">
        <f t="shared" si="20"/>
        <v>5441403000</v>
      </c>
      <c r="AN65" s="9"/>
      <c r="AO65" s="8"/>
      <c r="AP65" s="8"/>
      <c r="AQ65" s="8"/>
      <c r="AR65" s="8"/>
      <c r="AS65" s="7"/>
      <c r="AT65" s="6">
        <f t="shared" si="21"/>
        <v>0</v>
      </c>
    </row>
    <row r="66" spans="1:46" s="37" customFormat="1" ht="45.75" customHeight="1" thickBot="1" x14ac:dyDescent="0.2">
      <c r="A66" s="36"/>
      <c r="B66" s="35"/>
      <c r="C66" s="39"/>
      <c r="D66" s="47"/>
      <c r="E66" s="39"/>
      <c r="F66" s="47"/>
      <c r="G66" s="49"/>
      <c r="H66" s="45"/>
      <c r="I66" s="38">
        <v>0.51</v>
      </c>
      <c r="J66" s="30">
        <v>0.49</v>
      </c>
      <c r="K66" s="29"/>
      <c r="L66" s="28"/>
      <c r="M66" s="27"/>
      <c r="N66" s="26">
        <f t="shared" si="11"/>
        <v>1</v>
      </c>
      <c r="O66" s="44">
        <v>15</v>
      </c>
      <c r="P66" s="43">
        <v>15</v>
      </c>
      <c r="Q66" s="42"/>
      <c r="R66" s="42"/>
      <c r="S66" s="42"/>
      <c r="T66" s="20">
        <f t="shared" si="12"/>
        <v>15</v>
      </c>
      <c r="U66" s="19">
        <f t="shared" si="13"/>
        <v>15</v>
      </c>
      <c r="V66" s="22"/>
      <c r="W66" s="41"/>
      <c r="X66" s="22"/>
      <c r="Y66" s="48"/>
      <c r="Z66" s="21"/>
      <c r="AA66" s="20">
        <f t="shared" si="14"/>
        <v>0</v>
      </c>
      <c r="AB66" s="19">
        <f t="shared" si="15"/>
        <v>0</v>
      </c>
      <c r="AC66" s="16">
        <v>20</v>
      </c>
      <c r="AD66" s="18"/>
      <c r="AE66" s="17"/>
      <c r="AF66" s="23">
        <f t="shared" si="16"/>
        <v>15</v>
      </c>
      <c r="AG66" s="16">
        <v>45</v>
      </c>
      <c r="AH66" s="23">
        <f t="shared" si="17"/>
        <v>80</v>
      </c>
      <c r="AI66" s="14">
        <f t="shared" si="18"/>
        <v>0.93</v>
      </c>
      <c r="AJ66" s="13"/>
      <c r="AK66" s="12">
        <v>0.01</v>
      </c>
      <c r="AL66" s="11">
        <f t="shared" si="19"/>
        <v>1.01</v>
      </c>
      <c r="AM66" s="10">
        <f t="shared" si="20"/>
        <v>5441403000</v>
      </c>
      <c r="AN66" s="9"/>
      <c r="AO66" s="8"/>
      <c r="AP66" s="8"/>
      <c r="AQ66" s="8"/>
      <c r="AR66" s="8"/>
      <c r="AS66" s="7"/>
      <c r="AT66" s="6">
        <f t="shared" si="21"/>
        <v>0</v>
      </c>
    </row>
    <row r="67" spans="1:46" s="37" customFormat="1" ht="45.75" customHeight="1" thickBot="1" x14ac:dyDescent="0.2">
      <c r="A67" s="36"/>
      <c r="B67" s="35"/>
      <c r="C67" s="34"/>
      <c r="D67" s="39"/>
      <c r="E67" s="39"/>
      <c r="F67" s="39"/>
      <c r="G67" s="33"/>
      <c r="H67" s="32"/>
      <c r="I67" s="38">
        <v>0.51</v>
      </c>
      <c r="J67" s="30">
        <v>0.49</v>
      </c>
      <c r="K67" s="29"/>
      <c r="L67" s="28"/>
      <c r="M67" s="27"/>
      <c r="N67" s="26">
        <f t="shared" si="11"/>
        <v>1</v>
      </c>
      <c r="O67" s="25">
        <v>15</v>
      </c>
      <c r="P67" s="23">
        <v>15</v>
      </c>
      <c r="Q67" s="24"/>
      <c r="R67" s="24"/>
      <c r="S67" s="23"/>
      <c r="T67" s="20">
        <f t="shared" si="12"/>
        <v>15</v>
      </c>
      <c r="U67" s="19">
        <f t="shared" si="13"/>
        <v>15</v>
      </c>
      <c r="V67" s="22"/>
      <c r="W67" s="22"/>
      <c r="X67" s="22"/>
      <c r="Y67" s="22"/>
      <c r="Z67" s="21"/>
      <c r="AA67" s="20">
        <f t="shared" si="14"/>
        <v>0</v>
      </c>
      <c r="AB67" s="19">
        <f t="shared" si="15"/>
        <v>0</v>
      </c>
      <c r="AC67" s="16">
        <v>20</v>
      </c>
      <c r="AD67" s="18"/>
      <c r="AE67" s="17"/>
      <c r="AF67" s="23">
        <f t="shared" si="16"/>
        <v>15</v>
      </c>
      <c r="AG67" s="16">
        <v>45</v>
      </c>
      <c r="AH67" s="23">
        <f t="shared" si="17"/>
        <v>80</v>
      </c>
      <c r="AI67" s="14">
        <f t="shared" si="18"/>
        <v>0.93</v>
      </c>
      <c r="AJ67" s="13"/>
      <c r="AK67" s="12">
        <v>0.01</v>
      </c>
      <c r="AL67" s="11">
        <f t="shared" si="19"/>
        <v>1.01</v>
      </c>
      <c r="AM67" s="10">
        <f t="shared" si="20"/>
        <v>5441403000</v>
      </c>
      <c r="AN67" s="9"/>
      <c r="AO67" s="8"/>
      <c r="AP67" s="8"/>
      <c r="AQ67" s="8"/>
      <c r="AR67" s="8"/>
      <c r="AS67" s="7"/>
      <c r="AT67" s="6">
        <f t="shared" si="21"/>
        <v>0</v>
      </c>
    </row>
    <row r="68" spans="1:46" s="37" customFormat="1" ht="45.75" customHeight="1" thickBot="1" x14ac:dyDescent="0.2">
      <c r="A68" s="36"/>
      <c r="B68" s="35"/>
      <c r="C68" s="39"/>
      <c r="D68" s="47"/>
      <c r="E68" s="47"/>
      <c r="F68" s="47"/>
      <c r="G68" s="46"/>
      <c r="H68" s="45"/>
      <c r="I68" s="38">
        <v>0.51</v>
      </c>
      <c r="J68" s="30">
        <v>0.49</v>
      </c>
      <c r="K68" s="29"/>
      <c r="L68" s="28"/>
      <c r="M68" s="27"/>
      <c r="N68" s="26">
        <f t="shared" si="11"/>
        <v>1</v>
      </c>
      <c r="O68" s="44">
        <v>15</v>
      </c>
      <c r="P68" s="43">
        <v>15</v>
      </c>
      <c r="Q68" s="42"/>
      <c r="R68" s="42"/>
      <c r="S68" s="42"/>
      <c r="T68" s="20">
        <f t="shared" si="12"/>
        <v>15</v>
      </c>
      <c r="U68" s="19">
        <f t="shared" si="13"/>
        <v>15</v>
      </c>
      <c r="V68" s="22"/>
      <c r="W68" s="41"/>
      <c r="X68" s="41"/>
      <c r="Y68" s="40"/>
      <c r="Z68" s="21"/>
      <c r="AA68" s="20">
        <f t="shared" si="14"/>
        <v>0</v>
      </c>
      <c r="AB68" s="19">
        <f t="shared" si="15"/>
        <v>0</v>
      </c>
      <c r="AC68" s="16">
        <v>20</v>
      </c>
      <c r="AD68" s="18"/>
      <c r="AE68" s="17"/>
      <c r="AF68" s="23">
        <f t="shared" si="16"/>
        <v>15</v>
      </c>
      <c r="AG68" s="16">
        <v>45</v>
      </c>
      <c r="AH68" s="23">
        <f t="shared" si="17"/>
        <v>80</v>
      </c>
      <c r="AI68" s="14">
        <f t="shared" si="18"/>
        <v>0.93</v>
      </c>
      <c r="AJ68" s="13"/>
      <c r="AK68" s="12">
        <v>0.01</v>
      </c>
      <c r="AL68" s="11">
        <f t="shared" si="19"/>
        <v>1.01</v>
      </c>
      <c r="AM68" s="10">
        <f t="shared" si="20"/>
        <v>5441403000</v>
      </c>
      <c r="AN68" s="9"/>
      <c r="AO68" s="8"/>
      <c r="AP68" s="8"/>
      <c r="AQ68" s="8"/>
      <c r="AR68" s="8"/>
      <c r="AS68" s="7"/>
      <c r="AT68" s="6">
        <f t="shared" si="21"/>
        <v>0</v>
      </c>
    </row>
    <row r="69" spans="1:46" s="37" customFormat="1" ht="45.75" customHeight="1" thickBot="1" x14ac:dyDescent="0.2">
      <c r="A69" s="36"/>
      <c r="B69" s="35"/>
      <c r="C69" s="39"/>
      <c r="D69" s="34"/>
      <c r="E69" s="34"/>
      <c r="F69" s="34"/>
      <c r="G69" s="33"/>
      <c r="H69" s="32"/>
      <c r="I69" s="38">
        <v>0.51</v>
      </c>
      <c r="J69" s="30">
        <v>0.49</v>
      </c>
      <c r="K69" s="29"/>
      <c r="L69" s="28"/>
      <c r="M69" s="27"/>
      <c r="N69" s="26">
        <f t="shared" ref="N69:N100" si="22">SUM(I69:M69)</f>
        <v>1</v>
      </c>
      <c r="O69" s="25">
        <v>15</v>
      </c>
      <c r="P69" s="23">
        <v>15</v>
      </c>
      <c r="Q69" s="24"/>
      <c r="R69" s="24"/>
      <c r="S69" s="23"/>
      <c r="T69" s="20">
        <f t="shared" ref="T69:T100" si="23">ROUND(((O69*I69)+(P69*J69)+(Q69*K69)+(R69*L69)+(S69*M69)),2)</f>
        <v>15</v>
      </c>
      <c r="U69" s="19">
        <f t="shared" ref="U69:U100" si="24">IF(T69&gt;=15,15,T69)</f>
        <v>15</v>
      </c>
      <c r="V69" s="22"/>
      <c r="W69" s="22"/>
      <c r="X69" s="22"/>
      <c r="Y69" s="22"/>
      <c r="Z69" s="21"/>
      <c r="AA69" s="20">
        <f t="shared" ref="AA69:AA100" si="25">ROUND((((V69*I69)+(W69*J69)+(X69*K69)+(Y69*L69)+(Z69*M69))/$I$2*15),2)</f>
        <v>0</v>
      </c>
      <c r="AB69" s="19">
        <f t="shared" ref="AB69:AB100" si="26">IF(AA69&gt;=15,15,AA69)</f>
        <v>0</v>
      </c>
      <c r="AC69" s="16">
        <v>20</v>
      </c>
      <c r="AD69" s="18"/>
      <c r="AE69" s="17"/>
      <c r="AF69" s="23">
        <f t="shared" ref="AF69:AF100" si="27">IF((U69+AB69+AD69)&gt;=30,30,(U69+AB69+AD69))</f>
        <v>15</v>
      </c>
      <c r="AG69" s="16">
        <v>45</v>
      </c>
      <c r="AH69" s="23">
        <f t="shared" ref="AH69:AH100" si="28">AC69+AF69+AG69+AE69</f>
        <v>80</v>
      </c>
      <c r="AI69" s="14">
        <f t="shared" ref="AI69:AI100" si="29">-((50-((176+(45+(30-AF69)))))/200)</f>
        <v>0.93</v>
      </c>
      <c r="AJ69" s="13"/>
      <c r="AK69" s="12">
        <v>0.01</v>
      </c>
      <c r="AL69" s="11">
        <f t="shared" ref="AL69:AL100" si="30">100%+AK69</f>
        <v>1.01</v>
      </c>
      <c r="AM69" s="10">
        <f t="shared" ref="AM69:AM100" si="31">ROUNDUP($D$2*AI69*AL69,-3)</f>
        <v>5441403000</v>
      </c>
      <c r="AN69" s="9"/>
      <c r="AO69" s="8"/>
      <c r="AP69" s="8"/>
      <c r="AQ69" s="8"/>
      <c r="AR69" s="8"/>
      <c r="AS69" s="7"/>
      <c r="AT69" s="6">
        <f t="shared" ref="AT69:AT100" si="32">(AO69*J69)+(AP69*K69)+(AQ69*L69)+(AR69*M69)+(AS69*N69)</f>
        <v>0</v>
      </c>
    </row>
    <row r="70" spans="1:46" s="37" customFormat="1" ht="45.75" customHeight="1" thickBot="1" x14ac:dyDescent="0.2">
      <c r="A70" s="36"/>
      <c r="B70" s="35"/>
      <c r="C70" s="34"/>
      <c r="D70" s="34"/>
      <c r="E70" s="34"/>
      <c r="F70" s="34"/>
      <c r="G70" s="33"/>
      <c r="H70" s="32"/>
      <c r="I70" s="38">
        <v>0.51</v>
      </c>
      <c r="J70" s="30">
        <v>0.49</v>
      </c>
      <c r="K70" s="29"/>
      <c r="L70" s="28"/>
      <c r="M70" s="27"/>
      <c r="N70" s="26">
        <f t="shared" si="22"/>
        <v>1</v>
      </c>
      <c r="O70" s="25">
        <v>15</v>
      </c>
      <c r="P70" s="23">
        <v>15</v>
      </c>
      <c r="Q70" s="24"/>
      <c r="R70" s="24"/>
      <c r="S70" s="23"/>
      <c r="T70" s="20">
        <f t="shared" si="23"/>
        <v>15</v>
      </c>
      <c r="U70" s="19">
        <f t="shared" si="24"/>
        <v>15</v>
      </c>
      <c r="V70" s="22"/>
      <c r="W70" s="22"/>
      <c r="X70" s="22"/>
      <c r="Y70" s="22"/>
      <c r="Z70" s="21"/>
      <c r="AA70" s="20">
        <f t="shared" si="25"/>
        <v>0</v>
      </c>
      <c r="AB70" s="19">
        <f t="shared" si="26"/>
        <v>0</v>
      </c>
      <c r="AC70" s="16">
        <v>20</v>
      </c>
      <c r="AD70" s="18"/>
      <c r="AE70" s="17"/>
      <c r="AF70" s="23">
        <f t="shared" si="27"/>
        <v>15</v>
      </c>
      <c r="AG70" s="16">
        <v>45</v>
      </c>
      <c r="AH70" s="23">
        <f t="shared" si="28"/>
        <v>80</v>
      </c>
      <c r="AI70" s="14">
        <f t="shared" si="29"/>
        <v>0.93</v>
      </c>
      <c r="AJ70" s="13"/>
      <c r="AK70" s="12">
        <v>0.01</v>
      </c>
      <c r="AL70" s="11">
        <f t="shared" si="30"/>
        <v>1.01</v>
      </c>
      <c r="AM70" s="10">
        <f t="shared" si="31"/>
        <v>5441403000</v>
      </c>
      <c r="AN70" s="9"/>
      <c r="AO70" s="8"/>
      <c r="AP70" s="8"/>
      <c r="AQ70" s="8"/>
      <c r="AR70" s="8"/>
      <c r="AS70" s="7"/>
      <c r="AT70" s="6">
        <f t="shared" si="32"/>
        <v>0</v>
      </c>
    </row>
    <row r="71" spans="1:46" s="37" customFormat="1" ht="45.75" customHeight="1" thickBot="1" x14ac:dyDescent="0.2">
      <c r="A71" s="36"/>
      <c r="B71" s="35"/>
      <c r="C71" s="34"/>
      <c r="D71" s="34"/>
      <c r="E71" s="34"/>
      <c r="F71" s="34"/>
      <c r="G71" s="33"/>
      <c r="H71" s="32"/>
      <c r="I71" s="38">
        <v>0.51</v>
      </c>
      <c r="J71" s="30">
        <v>0.49</v>
      </c>
      <c r="K71" s="29"/>
      <c r="L71" s="28"/>
      <c r="M71" s="27"/>
      <c r="N71" s="26">
        <f t="shared" si="22"/>
        <v>1</v>
      </c>
      <c r="O71" s="25">
        <v>15</v>
      </c>
      <c r="P71" s="23">
        <v>15</v>
      </c>
      <c r="Q71" s="24"/>
      <c r="R71" s="24"/>
      <c r="S71" s="23"/>
      <c r="T71" s="20">
        <f t="shared" si="23"/>
        <v>15</v>
      </c>
      <c r="U71" s="19">
        <f t="shared" si="24"/>
        <v>15</v>
      </c>
      <c r="V71" s="22"/>
      <c r="W71" s="22"/>
      <c r="X71" s="22"/>
      <c r="Y71" s="22"/>
      <c r="Z71" s="21"/>
      <c r="AA71" s="20">
        <f t="shared" si="25"/>
        <v>0</v>
      </c>
      <c r="AB71" s="19">
        <f t="shared" si="26"/>
        <v>0</v>
      </c>
      <c r="AC71" s="16">
        <v>20</v>
      </c>
      <c r="AD71" s="18"/>
      <c r="AE71" s="17"/>
      <c r="AF71" s="23">
        <f t="shared" si="27"/>
        <v>15</v>
      </c>
      <c r="AG71" s="16">
        <v>45</v>
      </c>
      <c r="AH71" s="23">
        <f t="shared" si="28"/>
        <v>80</v>
      </c>
      <c r="AI71" s="14">
        <f t="shared" si="29"/>
        <v>0.93</v>
      </c>
      <c r="AJ71" s="13"/>
      <c r="AK71" s="12">
        <v>0.01</v>
      </c>
      <c r="AL71" s="11">
        <f t="shared" si="30"/>
        <v>1.01</v>
      </c>
      <c r="AM71" s="10">
        <f t="shared" si="31"/>
        <v>5441403000</v>
      </c>
      <c r="AN71" s="9"/>
      <c r="AO71" s="8"/>
      <c r="AP71" s="8"/>
      <c r="AQ71" s="8"/>
      <c r="AR71" s="8"/>
      <c r="AS71" s="7"/>
      <c r="AT71" s="6">
        <f t="shared" si="32"/>
        <v>0</v>
      </c>
    </row>
    <row r="72" spans="1:46" s="37" customFormat="1" ht="45.75" customHeight="1" thickBot="1" x14ac:dyDescent="0.2">
      <c r="A72" s="36"/>
      <c r="B72" s="35"/>
      <c r="C72" s="34"/>
      <c r="D72" s="34"/>
      <c r="E72" s="34"/>
      <c r="F72" s="34"/>
      <c r="G72" s="33"/>
      <c r="H72" s="32"/>
      <c r="I72" s="38">
        <v>0.51</v>
      </c>
      <c r="J72" s="30">
        <v>0.49</v>
      </c>
      <c r="K72" s="29"/>
      <c r="L72" s="28"/>
      <c r="M72" s="27"/>
      <c r="N72" s="26">
        <f t="shared" si="22"/>
        <v>1</v>
      </c>
      <c r="O72" s="25">
        <v>15</v>
      </c>
      <c r="P72" s="23">
        <v>15</v>
      </c>
      <c r="Q72" s="24"/>
      <c r="R72" s="24"/>
      <c r="S72" s="23"/>
      <c r="T72" s="20">
        <f t="shared" si="23"/>
        <v>15</v>
      </c>
      <c r="U72" s="19">
        <f t="shared" si="24"/>
        <v>15</v>
      </c>
      <c r="V72" s="22"/>
      <c r="W72" s="22"/>
      <c r="X72" s="22"/>
      <c r="Y72" s="22"/>
      <c r="Z72" s="21"/>
      <c r="AA72" s="20">
        <f t="shared" si="25"/>
        <v>0</v>
      </c>
      <c r="AB72" s="19">
        <f t="shared" si="26"/>
        <v>0</v>
      </c>
      <c r="AC72" s="16">
        <v>20</v>
      </c>
      <c r="AD72" s="18"/>
      <c r="AE72" s="17"/>
      <c r="AF72" s="23">
        <f t="shared" si="27"/>
        <v>15</v>
      </c>
      <c r="AG72" s="16">
        <v>45</v>
      </c>
      <c r="AH72" s="23">
        <f t="shared" si="28"/>
        <v>80</v>
      </c>
      <c r="AI72" s="14">
        <f t="shared" si="29"/>
        <v>0.93</v>
      </c>
      <c r="AJ72" s="13"/>
      <c r="AK72" s="12">
        <v>0.01</v>
      </c>
      <c r="AL72" s="11">
        <f t="shared" si="30"/>
        <v>1.01</v>
      </c>
      <c r="AM72" s="10">
        <f t="shared" si="31"/>
        <v>5441403000</v>
      </c>
      <c r="AN72" s="9"/>
      <c r="AO72" s="8"/>
      <c r="AP72" s="8"/>
      <c r="AQ72" s="8"/>
      <c r="AR72" s="8"/>
      <c r="AS72" s="7"/>
      <c r="AT72" s="6">
        <f t="shared" si="32"/>
        <v>0</v>
      </c>
    </row>
    <row r="73" spans="1:46" s="37" customFormat="1" ht="45.75" customHeight="1" thickBot="1" x14ac:dyDescent="0.2">
      <c r="A73" s="36"/>
      <c r="B73" s="35"/>
      <c r="C73" s="34"/>
      <c r="D73" s="34"/>
      <c r="E73" s="34"/>
      <c r="F73" s="34"/>
      <c r="G73" s="33"/>
      <c r="H73" s="32"/>
      <c r="I73" s="38">
        <v>0.51</v>
      </c>
      <c r="J73" s="30">
        <v>0.49</v>
      </c>
      <c r="K73" s="29"/>
      <c r="L73" s="28"/>
      <c r="M73" s="27"/>
      <c r="N73" s="26">
        <f t="shared" si="22"/>
        <v>1</v>
      </c>
      <c r="O73" s="25">
        <v>15</v>
      </c>
      <c r="P73" s="23">
        <v>15</v>
      </c>
      <c r="Q73" s="24"/>
      <c r="R73" s="24"/>
      <c r="S73" s="23"/>
      <c r="T73" s="20">
        <f t="shared" si="23"/>
        <v>15</v>
      </c>
      <c r="U73" s="19">
        <f t="shared" si="24"/>
        <v>15</v>
      </c>
      <c r="V73" s="22"/>
      <c r="W73" s="22"/>
      <c r="X73" s="22"/>
      <c r="Y73" s="22"/>
      <c r="Z73" s="21"/>
      <c r="AA73" s="20">
        <f t="shared" si="25"/>
        <v>0</v>
      </c>
      <c r="AB73" s="19">
        <f t="shared" si="26"/>
        <v>0</v>
      </c>
      <c r="AC73" s="16">
        <v>20</v>
      </c>
      <c r="AD73" s="18"/>
      <c r="AE73" s="17"/>
      <c r="AF73" s="23">
        <f t="shared" si="27"/>
        <v>15</v>
      </c>
      <c r="AG73" s="16">
        <v>45</v>
      </c>
      <c r="AH73" s="23">
        <f t="shared" si="28"/>
        <v>80</v>
      </c>
      <c r="AI73" s="14">
        <f t="shared" si="29"/>
        <v>0.93</v>
      </c>
      <c r="AJ73" s="13"/>
      <c r="AK73" s="12">
        <v>0.01</v>
      </c>
      <c r="AL73" s="11">
        <f t="shared" si="30"/>
        <v>1.01</v>
      </c>
      <c r="AM73" s="10">
        <f t="shared" si="31"/>
        <v>5441403000</v>
      </c>
      <c r="AN73" s="9"/>
      <c r="AO73" s="8"/>
      <c r="AP73" s="8"/>
      <c r="AQ73" s="8"/>
      <c r="AR73" s="8"/>
      <c r="AS73" s="7"/>
      <c r="AT73" s="6">
        <f t="shared" si="32"/>
        <v>0</v>
      </c>
    </row>
    <row r="74" spans="1:46" s="37" customFormat="1" ht="45.75" customHeight="1" thickBot="1" x14ac:dyDescent="0.2">
      <c r="A74" s="36"/>
      <c r="B74" s="35"/>
      <c r="C74" s="34"/>
      <c r="D74" s="34"/>
      <c r="E74" s="34"/>
      <c r="F74" s="34"/>
      <c r="G74" s="33"/>
      <c r="H74" s="32"/>
      <c r="I74" s="38">
        <v>0.51</v>
      </c>
      <c r="J74" s="30">
        <v>0.49</v>
      </c>
      <c r="K74" s="29"/>
      <c r="L74" s="28"/>
      <c r="M74" s="27"/>
      <c r="N74" s="26">
        <f t="shared" si="22"/>
        <v>1</v>
      </c>
      <c r="O74" s="25">
        <v>15</v>
      </c>
      <c r="P74" s="23">
        <v>15</v>
      </c>
      <c r="Q74" s="24"/>
      <c r="R74" s="24"/>
      <c r="S74" s="23"/>
      <c r="T74" s="20">
        <f t="shared" si="23"/>
        <v>15</v>
      </c>
      <c r="U74" s="19">
        <f t="shared" si="24"/>
        <v>15</v>
      </c>
      <c r="V74" s="22"/>
      <c r="W74" s="22"/>
      <c r="X74" s="22"/>
      <c r="Y74" s="22"/>
      <c r="Z74" s="21"/>
      <c r="AA74" s="20">
        <f t="shared" si="25"/>
        <v>0</v>
      </c>
      <c r="AB74" s="19">
        <f t="shared" si="26"/>
        <v>0</v>
      </c>
      <c r="AC74" s="16">
        <v>20</v>
      </c>
      <c r="AD74" s="18"/>
      <c r="AE74" s="17"/>
      <c r="AF74" s="23">
        <f t="shared" si="27"/>
        <v>15</v>
      </c>
      <c r="AG74" s="16">
        <v>45</v>
      </c>
      <c r="AH74" s="23">
        <f t="shared" si="28"/>
        <v>80</v>
      </c>
      <c r="AI74" s="14">
        <f t="shared" si="29"/>
        <v>0.93</v>
      </c>
      <c r="AJ74" s="13"/>
      <c r="AK74" s="12">
        <v>0.01</v>
      </c>
      <c r="AL74" s="11">
        <f t="shared" si="30"/>
        <v>1.01</v>
      </c>
      <c r="AM74" s="10">
        <f t="shared" si="31"/>
        <v>5441403000</v>
      </c>
      <c r="AN74" s="9"/>
      <c r="AO74" s="8"/>
      <c r="AP74" s="8"/>
      <c r="AQ74" s="8"/>
      <c r="AR74" s="8"/>
      <c r="AS74" s="7"/>
      <c r="AT74" s="6">
        <f t="shared" si="32"/>
        <v>0</v>
      </c>
    </row>
    <row r="75" spans="1:46" s="37" customFormat="1" ht="45.75" customHeight="1" thickBot="1" x14ac:dyDescent="0.2">
      <c r="A75" s="36"/>
      <c r="B75" s="35"/>
      <c r="C75" s="34"/>
      <c r="D75" s="34"/>
      <c r="E75" s="34"/>
      <c r="F75" s="34"/>
      <c r="G75" s="33"/>
      <c r="H75" s="32"/>
      <c r="I75" s="38">
        <v>0.51</v>
      </c>
      <c r="J75" s="30">
        <v>0.49</v>
      </c>
      <c r="K75" s="29"/>
      <c r="L75" s="28"/>
      <c r="M75" s="27"/>
      <c r="N75" s="26">
        <f t="shared" si="22"/>
        <v>1</v>
      </c>
      <c r="O75" s="25">
        <v>15</v>
      </c>
      <c r="P75" s="23">
        <v>15</v>
      </c>
      <c r="Q75" s="24"/>
      <c r="R75" s="24"/>
      <c r="S75" s="23"/>
      <c r="T75" s="20">
        <f t="shared" si="23"/>
        <v>15</v>
      </c>
      <c r="U75" s="19">
        <f t="shared" si="24"/>
        <v>15</v>
      </c>
      <c r="V75" s="22"/>
      <c r="W75" s="22"/>
      <c r="X75" s="22"/>
      <c r="Y75" s="22"/>
      <c r="Z75" s="21"/>
      <c r="AA75" s="20">
        <f t="shared" si="25"/>
        <v>0</v>
      </c>
      <c r="AB75" s="19">
        <f t="shared" si="26"/>
        <v>0</v>
      </c>
      <c r="AC75" s="16">
        <v>20</v>
      </c>
      <c r="AD75" s="18"/>
      <c r="AE75" s="17"/>
      <c r="AF75" s="23">
        <f t="shared" si="27"/>
        <v>15</v>
      </c>
      <c r="AG75" s="16">
        <v>45</v>
      </c>
      <c r="AH75" s="23">
        <f t="shared" si="28"/>
        <v>80</v>
      </c>
      <c r="AI75" s="14">
        <f t="shared" si="29"/>
        <v>0.93</v>
      </c>
      <c r="AJ75" s="13"/>
      <c r="AK75" s="12">
        <v>0.01</v>
      </c>
      <c r="AL75" s="11">
        <f t="shared" si="30"/>
        <v>1.01</v>
      </c>
      <c r="AM75" s="10">
        <f t="shared" si="31"/>
        <v>5441403000</v>
      </c>
      <c r="AN75" s="9"/>
      <c r="AO75" s="8"/>
      <c r="AP75" s="8"/>
      <c r="AQ75" s="8"/>
      <c r="AR75" s="8"/>
      <c r="AS75" s="7"/>
      <c r="AT75" s="6">
        <f t="shared" si="32"/>
        <v>0</v>
      </c>
    </row>
    <row r="76" spans="1:46" s="37" customFormat="1" ht="45.75" customHeight="1" thickBot="1" x14ac:dyDescent="0.2">
      <c r="A76" s="36"/>
      <c r="B76" s="35"/>
      <c r="C76" s="34"/>
      <c r="D76" s="34"/>
      <c r="E76" s="34"/>
      <c r="F76" s="34"/>
      <c r="G76" s="33"/>
      <c r="H76" s="32"/>
      <c r="I76" s="38">
        <v>0.51</v>
      </c>
      <c r="J76" s="30">
        <v>0.49</v>
      </c>
      <c r="K76" s="29"/>
      <c r="L76" s="28"/>
      <c r="M76" s="27"/>
      <c r="N76" s="26">
        <f t="shared" si="22"/>
        <v>1</v>
      </c>
      <c r="O76" s="25">
        <v>15</v>
      </c>
      <c r="P76" s="23">
        <v>15</v>
      </c>
      <c r="Q76" s="24"/>
      <c r="R76" s="24"/>
      <c r="S76" s="23"/>
      <c r="T76" s="20">
        <f t="shared" si="23"/>
        <v>15</v>
      </c>
      <c r="U76" s="19">
        <f t="shared" si="24"/>
        <v>15</v>
      </c>
      <c r="V76" s="22"/>
      <c r="W76" s="22"/>
      <c r="X76" s="22"/>
      <c r="Y76" s="22"/>
      <c r="Z76" s="21"/>
      <c r="AA76" s="20">
        <f t="shared" si="25"/>
        <v>0</v>
      </c>
      <c r="AB76" s="19">
        <f t="shared" si="26"/>
        <v>0</v>
      </c>
      <c r="AC76" s="16">
        <v>20</v>
      </c>
      <c r="AD76" s="18"/>
      <c r="AE76" s="17"/>
      <c r="AF76" s="23">
        <f t="shared" si="27"/>
        <v>15</v>
      </c>
      <c r="AG76" s="16">
        <v>45</v>
      </c>
      <c r="AH76" s="23">
        <f t="shared" si="28"/>
        <v>80</v>
      </c>
      <c r="AI76" s="14">
        <f t="shared" si="29"/>
        <v>0.93</v>
      </c>
      <c r="AJ76" s="13"/>
      <c r="AK76" s="12">
        <v>0.01</v>
      </c>
      <c r="AL76" s="11">
        <f t="shared" si="30"/>
        <v>1.01</v>
      </c>
      <c r="AM76" s="10">
        <f t="shared" si="31"/>
        <v>5441403000</v>
      </c>
      <c r="AN76" s="9"/>
      <c r="AO76" s="8"/>
      <c r="AP76" s="8"/>
      <c r="AQ76" s="8"/>
      <c r="AR76" s="8"/>
      <c r="AS76" s="7"/>
      <c r="AT76" s="6">
        <f t="shared" si="32"/>
        <v>0</v>
      </c>
    </row>
    <row r="77" spans="1:46" s="37" customFormat="1" ht="45.75" customHeight="1" thickBot="1" x14ac:dyDescent="0.2">
      <c r="A77" s="36"/>
      <c r="B77" s="35"/>
      <c r="C77" s="34"/>
      <c r="D77" s="34"/>
      <c r="E77" s="34"/>
      <c r="F77" s="34"/>
      <c r="G77" s="33"/>
      <c r="H77" s="32"/>
      <c r="I77" s="38">
        <v>0.51</v>
      </c>
      <c r="J77" s="30">
        <v>0.49</v>
      </c>
      <c r="K77" s="29"/>
      <c r="L77" s="28"/>
      <c r="M77" s="27"/>
      <c r="N77" s="26">
        <f t="shared" si="22"/>
        <v>1</v>
      </c>
      <c r="O77" s="25">
        <v>15</v>
      </c>
      <c r="P77" s="23">
        <v>15</v>
      </c>
      <c r="Q77" s="24"/>
      <c r="R77" s="24"/>
      <c r="S77" s="23"/>
      <c r="T77" s="20">
        <f t="shared" si="23"/>
        <v>15</v>
      </c>
      <c r="U77" s="19">
        <f t="shared" si="24"/>
        <v>15</v>
      </c>
      <c r="V77" s="22"/>
      <c r="W77" s="22"/>
      <c r="X77" s="22"/>
      <c r="Y77" s="22"/>
      <c r="Z77" s="21"/>
      <c r="AA77" s="20">
        <f t="shared" si="25"/>
        <v>0</v>
      </c>
      <c r="AB77" s="19">
        <f t="shared" si="26"/>
        <v>0</v>
      </c>
      <c r="AC77" s="16">
        <v>20</v>
      </c>
      <c r="AD77" s="18"/>
      <c r="AE77" s="17"/>
      <c r="AF77" s="23">
        <f t="shared" si="27"/>
        <v>15</v>
      </c>
      <c r="AG77" s="16">
        <v>45</v>
      </c>
      <c r="AH77" s="23">
        <f t="shared" si="28"/>
        <v>80</v>
      </c>
      <c r="AI77" s="14">
        <f t="shared" si="29"/>
        <v>0.93</v>
      </c>
      <c r="AJ77" s="13"/>
      <c r="AK77" s="12">
        <v>0.01</v>
      </c>
      <c r="AL77" s="11">
        <f t="shared" si="30"/>
        <v>1.01</v>
      </c>
      <c r="AM77" s="10">
        <f t="shared" si="31"/>
        <v>5441403000</v>
      </c>
      <c r="AN77" s="9"/>
      <c r="AO77" s="8"/>
      <c r="AP77" s="8"/>
      <c r="AQ77" s="8"/>
      <c r="AR77" s="8"/>
      <c r="AS77" s="7"/>
      <c r="AT77" s="6">
        <f t="shared" si="32"/>
        <v>0</v>
      </c>
    </row>
    <row r="78" spans="1:46" s="37" customFormat="1" ht="45.75" customHeight="1" thickBot="1" x14ac:dyDescent="0.2">
      <c r="A78" s="36"/>
      <c r="B78" s="35"/>
      <c r="C78" s="34"/>
      <c r="D78" s="34"/>
      <c r="E78" s="34"/>
      <c r="F78" s="34"/>
      <c r="G78" s="33"/>
      <c r="H78" s="32"/>
      <c r="I78" s="38">
        <v>0.51</v>
      </c>
      <c r="J78" s="30">
        <v>0.49</v>
      </c>
      <c r="K78" s="29"/>
      <c r="L78" s="28"/>
      <c r="M78" s="27"/>
      <c r="N78" s="26">
        <f t="shared" si="22"/>
        <v>1</v>
      </c>
      <c r="O78" s="25">
        <v>15</v>
      </c>
      <c r="P78" s="23">
        <v>15</v>
      </c>
      <c r="Q78" s="24"/>
      <c r="R78" s="24"/>
      <c r="S78" s="23"/>
      <c r="T78" s="20">
        <f t="shared" si="23"/>
        <v>15</v>
      </c>
      <c r="U78" s="19">
        <f t="shared" si="24"/>
        <v>15</v>
      </c>
      <c r="V78" s="22"/>
      <c r="W78" s="22"/>
      <c r="X78" s="22"/>
      <c r="Y78" s="22"/>
      <c r="Z78" s="21"/>
      <c r="AA78" s="20">
        <f t="shared" si="25"/>
        <v>0</v>
      </c>
      <c r="AB78" s="19">
        <f t="shared" si="26"/>
        <v>0</v>
      </c>
      <c r="AC78" s="16">
        <v>20</v>
      </c>
      <c r="AD78" s="18"/>
      <c r="AE78" s="17"/>
      <c r="AF78" s="23">
        <f t="shared" si="27"/>
        <v>15</v>
      </c>
      <c r="AG78" s="16">
        <v>45</v>
      </c>
      <c r="AH78" s="23">
        <f t="shared" si="28"/>
        <v>80</v>
      </c>
      <c r="AI78" s="14">
        <f t="shared" si="29"/>
        <v>0.93</v>
      </c>
      <c r="AJ78" s="13"/>
      <c r="AK78" s="12">
        <v>0.01</v>
      </c>
      <c r="AL78" s="11">
        <f t="shared" si="30"/>
        <v>1.01</v>
      </c>
      <c r="AM78" s="10">
        <f t="shared" si="31"/>
        <v>5441403000</v>
      </c>
      <c r="AN78" s="9"/>
      <c r="AO78" s="8"/>
      <c r="AP78" s="8"/>
      <c r="AQ78" s="8"/>
      <c r="AR78" s="8"/>
      <c r="AS78" s="7"/>
      <c r="AT78" s="6">
        <f t="shared" si="32"/>
        <v>0</v>
      </c>
    </row>
    <row r="79" spans="1:46" s="37" customFormat="1" ht="45.75" customHeight="1" thickBot="1" x14ac:dyDescent="0.2">
      <c r="A79" s="36"/>
      <c r="B79" s="35"/>
      <c r="C79" s="34"/>
      <c r="D79" s="34"/>
      <c r="E79" s="34"/>
      <c r="F79" s="34"/>
      <c r="G79" s="33"/>
      <c r="H79" s="32"/>
      <c r="I79" s="31">
        <v>0.51</v>
      </c>
      <c r="J79" s="30">
        <v>0.49</v>
      </c>
      <c r="K79" s="29"/>
      <c r="L79" s="28"/>
      <c r="M79" s="27"/>
      <c r="N79" s="26">
        <f t="shared" si="22"/>
        <v>1</v>
      </c>
      <c r="O79" s="25">
        <v>15</v>
      </c>
      <c r="P79" s="23">
        <v>15</v>
      </c>
      <c r="Q79" s="24"/>
      <c r="R79" s="24"/>
      <c r="S79" s="23"/>
      <c r="T79" s="20">
        <f t="shared" si="23"/>
        <v>15</v>
      </c>
      <c r="U79" s="19">
        <f t="shared" si="24"/>
        <v>15</v>
      </c>
      <c r="V79" s="22"/>
      <c r="W79" s="22"/>
      <c r="X79" s="22"/>
      <c r="Y79" s="22"/>
      <c r="Z79" s="21"/>
      <c r="AA79" s="20">
        <f t="shared" si="25"/>
        <v>0</v>
      </c>
      <c r="AB79" s="19">
        <f t="shared" si="26"/>
        <v>0</v>
      </c>
      <c r="AC79" s="16">
        <v>20</v>
      </c>
      <c r="AD79" s="18"/>
      <c r="AE79" s="17"/>
      <c r="AF79" s="23">
        <f t="shared" si="27"/>
        <v>15</v>
      </c>
      <c r="AG79" s="16">
        <v>45</v>
      </c>
      <c r="AH79" s="23">
        <f t="shared" si="28"/>
        <v>80</v>
      </c>
      <c r="AI79" s="14">
        <f t="shared" si="29"/>
        <v>0.93</v>
      </c>
      <c r="AJ79" s="13"/>
      <c r="AK79" s="12">
        <v>0.01</v>
      </c>
      <c r="AL79" s="11">
        <f t="shared" si="30"/>
        <v>1.01</v>
      </c>
      <c r="AM79" s="10">
        <f t="shared" si="31"/>
        <v>5441403000</v>
      </c>
      <c r="AN79" s="9"/>
      <c r="AO79" s="8"/>
      <c r="AP79" s="8"/>
      <c r="AQ79" s="8"/>
      <c r="AR79" s="8"/>
      <c r="AS79" s="7"/>
      <c r="AT79" s="6">
        <f t="shared" si="32"/>
        <v>0</v>
      </c>
    </row>
    <row r="80" spans="1:46" s="37" customFormat="1" ht="45.75" customHeight="1" thickBot="1" x14ac:dyDescent="0.2">
      <c r="A80" s="36"/>
      <c r="B80" s="35"/>
      <c r="C80" s="34"/>
      <c r="D80" s="34"/>
      <c r="E80" s="34"/>
      <c r="F80" s="34"/>
      <c r="G80" s="33"/>
      <c r="H80" s="32"/>
      <c r="I80" s="31">
        <v>0.51</v>
      </c>
      <c r="J80" s="30">
        <v>0.49</v>
      </c>
      <c r="K80" s="29"/>
      <c r="L80" s="28"/>
      <c r="M80" s="27"/>
      <c r="N80" s="26">
        <f t="shared" si="22"/>
        <v>1</v>
      </c>
      <c r="O80" s="25">
        <v>15</v>
      </c>
      <c r="P80" s="23">
        <v>15</v>
      </c>
      <c r="Q80" s="24"/>
      <c r="R80" s="24"/>
      <c r="S80" s="23"/>
      <c r="T80" s="20">
        <f t="shared" si="23"/>
        <v>15</v>
      </c>
      <c r="U80" s="19">
        <f t="shared" si="24"/>
        <v>15</v>
      </c>
      <c r="V80" s="22"/>
      <c r="W80" s="22"/>
      <c r="X80" s="22"/>
      <c r="Y80" s="22"/>
      <c r="Z80" s="21"/>
      <c r="AA80" s="20">
        <f t="shared" si="25"/>
        <v>0</v>
      </c>
      <c r="AB80" s="19">
        <f t="shared" si="26"/>
        <v>0</v>
      </c>
      <c r="AC80" s="16">
        <v>20</v>
      </c>
      <c r="AD80" s="18"/>
      <c r="AE80" s="17"/>
      <c r="AF80" s="23">
        <f t="shared" si="27"/>
        <v>15</v>
      </c>
      <c r="AG80" s="16">
        <v>45</v>
      </c>
      <c r="AH80" s="23">
        <f t="shared" si="28"/>
        <v>80</v>
      </c>
      <c r="AI80" s="14">
        <f t="shared" si="29"/>
        <v>0.93</v>
      </c>
      <c r="AJ80" s="13"/>
      <c r="AK80" s="12">
        <v>0.01</v>
      </c>
      <c r="AL80" s="11">
        <f t="shared" si="30"/>
        <v>1.01</v>
      </c>
      <c r="AM80" s="10">
        <f t="shared" si="31"/>
        <v>5441403000</v>
      </c>
      <c r="AN80" s="9"/>
      <c r="AO80" s="8"/>
      <c r="AP80" s="8"/>
      <c r="AQ80" s="8"/>
      <c r="AR80" s="8"/>
      <c r="AS80" s="7"/>
      <c r="AT80" s="6">
        <f t="shared" si="32"/>
        <v>0</v>
      </c>
    </row>
    <row r="81" spans="1:46" s="37" customFormat="1" ht="45.75" customHeight="1" thickBot="1" x14ac:dyDescent="0.2">
      <c r="A81" s="36"/>
      <c r="B81" s="35"/>
      <c r="C81" s="34"/>
      <c r="D81" s="34"/>
      <c r="E81" s="34"/>
      <c r="F81" s="34"/>
      <c r="G81" s="33"/>
      <c r="H81" s="32"/>
      <c r="I81" s="31">
        <v>0.51</v>
      </c>
      <c r="J81" s="30">
        <v>0.49</v>
      </c>
      <c r="K81" s="29"/>
      <c r="L81" s="28"/>
      <c r="M81" s="27"/>
      <c r="N81" s="26">
        <f t="shared" si="22"/>
        <v>1</v>
      </c>
      <c r="O81" s="25">
        <v>15</v>
      </c>
      <c r="P81" s="23">
        <v>15</v>
      </c>
      <c r="Q81" s="24"/>
      <c r="R81" s="24"/>
      <c r="S81" s="23"/>
      <c r="T81" s="20">
        <f t="shared" si="23"/>
        <v>15</v>
      </c>
      <c r="U81" s="19">
        <f t="shared" si="24"/>
        <v>15</v>
      </c>
      <c r="V81" s="22"/>
      <c r="W81" s="22"/>
      <c r="X81" s="22"/>
      <c r="Y81" s="22"/>
      <c r="Z81" s="21"/>
      <c r="AA81" s="20">
        <f t="shared" si="25"/>
        <v>0</v>
      </c>
      <c r="AB81" s="19">
        <f t="shared" si="26"/>
        <v>0</v>
      </c>
      <c r="AC81" s="16">
        <v>20</v>
      </c>
      <c r="AD81" s="18"/>
      <c r="AE81" s="17"/>
      <c r="AF81" s="23">
        <f t="shared" si="27"/>
        <v>15</v>
      </c>
      <c r="AG81" s="16">
        <v>45</v>
      </c>
      <c r="AH81" s="23">
        <f t="shared" si="28"/>
        <v>80</v>
      </c>
      <c r="AI81" s="14">
        <f t="shared" si="29"/>
        <v>0.93</v>
      </c>
      <c r="AJ81" s="13"/>
      <c r="AK81" s="12">
        <v>0.01</v>
      </c>
      <c r="AL81" s="11">
        <f t="shared" si="30"/>
        <v>1.01</v>
      </c>
      <c r="AM81" s="10">
        <f t="shared" si="31"/>
        <v>5441403000</v>
      </c>
      <c r="AN81" s="9"/>
      <c r="AO81" s="8"/>
      <c r="AP81" s="8"/>
      <c r="AQ81" s="8"/>
      <c r="AR81" s="8"/>
      <c r="AS81" s="7"/>
      <c r="AT81" s="6">
        <f t="shared" si="32"/>
        <v>0</v>
      </c>
    </row>
    <row r="82" spans="1:46" s="37" customFormat="1" ht="45.75" customHeight="1" thickBot="1" x14ac:dyDescent="0.2">
      <c r="A82" s="36"/>
      <c r="B82" s="35"/>
      <c r="C82" s="34"/>
      <c r="D82" s="34"/>
      <c r="E82" s="34"/>
      <c r="F82" s="34"/>
      <c r="G82" s="33"/>
      <c r="H82" s="32"/>
      <c r="I82" s="31">
        <v>0.51</v>
      </c>
      <c r="J82" s="30">
        <v>0.49</v>
      </c>
      <c r="K82" s="29"/>
      <c r="L82" s="28"/>
      <c r="M82" s="27"/>
      <c r="N82" s="26">
        <f t="shared" si="22"/>
        <v>1</v>
      </c>
      <c r="O82" s="25">
        <v>15</v>
      </c>
      <c r="P82" s="23">
        <v>15</v>
      </c>
      <c r="Q82" s="24"/>
      <c r="R82" s="24"/>
      <c r="S82" s="23"/>
      <c r="T82" s="20">
        <f t="shared" si="23"/>
        <v>15</v>
      </c>
      <c r="U82" s="19">
        <f t="shared" si="24"/>
        <v>15</v>
      </c>
      <c r="V82" s="22"/>
      <c r="W82" s="22"/>
      <c r="X82" s="22"/>
      <c r="Y82" s="22"/>
      <c r="Z82" s="21"/>
      <c r="AA82" s="20">
        <f t="shared" si="25"/>
        <v>0</v>
      </c>
      <c r="AB82" s="19">
        <f t="shared" si="26"/>
        <v>0</v>
      </c>
      <c r="AC82" s="16">
        <v>20</v>
      </c>
      <c r="AD82" s="18"/>
      <c r="AE82" s="17"/>
      <c r="AF82" s="23">
        <f t="shared" si="27"/>
        <v>15</v>
      </c>
      <c r="AG82" s="16">
        <v>45</v>
      </c>
      <c r="AH82" s="23">
        <f t="shared" si="28"/>
        <v>80</v>
      </c>
      <c r="AI82" s="14">
        <f t="shared" si="29"/>
        <v>0.93</v>
      </c>
      <c r="AJ82" s="13"/>
      <c r="AK82" s="12">
        <v>0.01</v>
      </c>
      <c r="AL82" s="11">
        <f t="shared" si="30"/>
        <v>1.01</v>
      </c>
      <c r="AM82" s="10">
        <f t="shared" si="31"/>
        <v>5441403000</v>
      </c>
      <c r="AN82" s="9"/>
      <c r="AO82" s="8"/>
      <c r="AP82" s="8"/>
      <c r="AQ82" s="8"/>
      <c r="AR82" s="8"/>
      <c r="AS82" s="7"/>
      <c r="AT82" s="6">
        <f t="shared" si="32"/>
        <v>0</v>
      </c>
    </row>
    <row r="83" spans="1:46" s="37" customFormat="1" ht="45.75" customHeight="1" thickBot="1" x14ac:dyDescent="0.2">
      <c r="A83" s="36"/>
      <c r="B83" s="35"/>
      <c r="C83" s="34"/>
      <c r="D83" s="34"/>
      <c r="E83" s="34"/>
      <c r="F83" s="34"/>
      <c r="G83" s="33"/>
      <c r="H83" s="32"/>
      <c r="I83" s="31">
        <v>0.51</v>
      </c>
      <c r="J83" s="30">
        <v>0.49</v>
      </c>
      <c r="K83" s="29"/>
      <c r="L83" s="28"/>
      <c r="M83" s="27"/>
      <c r="N83" s="26">
        <f t="shared" si="22"/>
        <v>1</v>
      </c>
      <c r="O83" s="25">
        <v>15</v>
      </c>
      <c r="P83" s="23">
        <v>15</v>
      </c>
      <c r="Q83" s="24"/>
      <c r="R83" s="24"/>
      <c r="S83" s="23"/>
      <c r="T83" s="20">
        <f t="shared" si="23"/>
        <v>15</v>
      </c>
      <c r="U83" s="19">
        <f t="shared" si="24"/>
        <v>15</v>
      </c>
      <c r="V83" s="22"/>
      <c r="W83" s="22"/>
      <c r="X83" s="22"/>
      <c r="Y83" s="22"/>
      <c r="Z83" s="21"/>
      <c r="AA83" s="20">
        <f t="shared" si="25"/>
        <v>0</v>
      </c>
      <c r="AB83" s="19">
        <f t="shared" si="26"/>
        <v>0</v>
      </c>
      <c r="AC83" s="16">
        <v>20</v>
      </c>
      <c r="AD83" s="18"/>
      <c r="AE83" s="17"/>
      <c r="AF83" s="23">
        <f t="shared" si="27"/>
        <v>15</v>
      </c>
      <c r="AG83" s="16">
        <v>45</v>
      </c>
      <c r="AH83" s="23">
        <f t="shared" si="28"/>
        <v>80</v>
      </c>
      <c r="AI83" s="14">
        <f t="shared" si="29"/>
        <v>0.93</v>
      </c>
      <c r="AJ83" s="13"/>
      <c r="AK83" s="12">
        <v>0.01</v>
      </c>
      <c r="AL83" s="11">
        <f t="shared" si="30"/>
        <v>1.01</v>
      </c>
      <c r="AM83" s="10">
        <f t="shared" si="31"/>
        <v>5441403000</v>
      </c>
      <c r="AN83" s="9"/>
      <c r="AO83" s="8"/>
      <c r="AP83" s="8"/>
      <c r="AQ83" s="8"/>
      <c r="AR83" s="8"/>
      <c r="AS83" s="7"/>
      <c r="AT83" s="6">
        <f t="shared" si="32"/>
        <v>0</v>
      </c>
    </row>
    <row r="84" spans="1:46" s="37" customFormat="1" ht="45.75" customHeight="1" thickBot="1" x14ac:dyDescent="0.2">
      <c r="A84" s="36"/>
      <c r="B84" s="35"/>
      <c r="C84" s="34"/>
      <c r="D84" s="34"/>
      <c r="E84" s="34"/>
      <c r="F84" s="34"/>
      <c r="G84" s="33"/>
      <c r="H84" s="32"/>
      <c r="I84" s="31">
        <v>0.51</v>
      </c>
      <c r="J84" s="30">
        <v>0.49</v>
      </c>
      <c r="K84" s="29"/>
      <c r="L84" s="28"/>
      <c r="M84" s="27"/>
      <c r="N84" s="26">
        <f t="shared" si="22"/>
        <v>1</v>
      </c>
      <c r="O84" s="25">
        <v>15</v>
      </c>
      <c r="P84" s="23">
        <v>15</v>
      </c>
      <c r="Q84" s="24"/>
      <c r="R84" s="24"/>
      <c r="S84" s="23"/>
      <c r="T84" s="20">
        <f t="shared" si="23"/>
        <v>15</v>
      </c>
      <c r="U84" s="19">
        <f t="shared" si="24"/>
        <v>15</v>
      </c>
      <c r="V84" s="22"/>
      <c r="W84" s="22"/>
      <c r="X84" s="22"/>
      <c r="Y84" s="22"/>
      <c r="Z84" s="21"/>
      <c r="AA84" s="20">
        <f t="shared" si="25"/>
        <v>0</v>
      </c>
      <c r="AB84" s="19">
        <f t="shared" si="26"/>
        <v>0</v>
      </c>
      <c r="AC84" s="16">
        <v>20</v>
      </c>
      <c r="AD84" s="18"/>
      <c r="AE84" s="17"/>
      <c r="AF84" s="23">
        <f t="shared" si="27"/>
        <v>15</v>
      </c>
      <c r="AG84" s="16">
        <v>45</v>
      </c>
      <c r="AH84" s="23">
        <f t="shared" si="28"/>
        <v>80</v>
      </c>
      <c r="AI84" s="14">
        <f t="shared" si="29"/>
        <v>0.93</v>
      </c>
      <c r="AJ84" s="13"/>
      <c r="AK84" s="12">
        <v>0.01</v>
      </c>
      <c r="AL84" s="11">
        <f t="shared" si="30"/>
        <v>1.01</v>
      </c>
      <c r="AM84" s="10">
        <f t="shared" si="31"/>
        <v>5441403000</v>
      </c>
      <c r="AN84" s="9"/>
      <c r="AO84" s="8"/>
      <c r="AP84" s="8"/>
      <c r="AQ84" s="8"/>
      <c r="AR84" s="8"/>
      <c r="AS84" s="7"/>
      <c r="AT84" s="6">
        <f t="shared" si="32"/>
        <v>0</v>
      </c>
    </row>
    <row r="85" spans="1:46" s="37" customFormat="1" ht="45.75" customHeight="1" thickBot="1" x14ac:dyDescent="0.2">
      <c r="A85" s="36"/>
      <c r="B85" s="35"/>
      <c r="C85" s="34"/>
      <c r="D85" s="34"/>
      <c r="E85" s="34"/>
      <c r="F85" s="34"/>
      <c r="G85" s="33"/>
      <c r="H85" s="32"/>
      <c r="I85" s="31">
        <v>0.51</v>
      </c>
      <c r="J85" s="30">
        <v>0.49</v>
      </c>
      <c r="K85" s="29"/>
      <c r="L85" s="28"/>
      <c r="M85" s="27"/>
      <c r="N85" s="26">
        <f t="shared" si="22"/>
        <v>1</v>
      </c>
      <c r="O85" s="25">
        <v>15</v>
      </c>
      <c r="P85" s="23">
        <v>15</v>
      </c>
      <c r="Q85" s="24"/>
      <c r="R85" s="24"/>
      <c r="S85" s="23"/>
      <c r="T85" s="20">
        <f t="shared" si="23"/>
        <v>15</v>
      </c>
      <c r="U85" s="19">
        <f t="shared" si="24"/>
        <v>15</v>
      </c>
      <c r="V85" s="22"/>
      <c r="W85" s="22"/>
      <c r="X85" s="22"/>
      <c r="Y85" s="22"/>
      <c r="Z85" s="21"/>
      <c r="AA85" s="20">
        <f t="shared" si="25"/>
        <v>0</v>
      </c>
      <c r="AB85" s="19">
        <f t="shared" si="26"/>
        <v>0</v>
      </c>
      <c r="AC85" s="16">
        <v>20</v>
      </c>
      <c r="AD85" s="18"/>
      <c r="AE85" s="17"/>
      <c r="AF85" s="23">
        <f t="shared" si="27"/>
        <v>15</v>
      </c>
      <c r="AG85" s="16">
        <v>45</v>
      </c>
      <c r="AH85" s="23">
        <f t="shared" si="28"/>
        <v>80</v>
      </c>
      <c r="AI85" s="14">
        <f t="shared" si="29"/>
        <v>0.93</v>
      </c>
      <c r="AJ85" s="13"/>
      <c r="AK85" s="12">
        <v>0.01</v>
      </c>
      <c r="AL85" s="11">
        <f t="shared" si="30"/>
        <v>1.01</v>
      </c>
      <c r="AM85" s="10">
        <f t="shared" si="31"/>
        <v>5441403000</v>
      </c>
      <c r="AN85" s="9"/>
      <c r="AO85" s="8"/>
      <c r="AP85" s="8"/>
      <c r="AQ85" s="8"/>
      <c r="AR85" s="8"/>
      <c r="AS85" s="7"/>
      <c r="AT85" s="6">
        <f t="shared" si="32"/>
        <v>0</v>
      </c>
    </row>
    <row r="86" spans="1:46" s="37" customFormat="1" ht="45.75" customHeight="1" thickBot="1" x14ac:dyDescent="0.2">
      <c r="A86" s="36"/>
      <c r="B86" s="35"/>
      <c r="C86" s="34"/>
      <c r="D86" s="34"/>
      <c r="E86" s="34"/>
      <c r="F86" s="34"/>
      <c r="G86" s="33"/>
      <c r="H86" s="32"/>
      <c r="I86" s="31">
        <v>0.51</v>
      </c>
      <c r="J86" s="30">
        <v>0.49</v>
      </c>
      <c r="K86" s="29"/>
      <c r="L86" s="28"/>
      <c r="M86" s="27"/>
      <c r="N86" s="26">
        <f t="shared" si="22"/>
        <v>1</v>
      </c>
      <c r="O86" s="25">
        <v>15</v>
      </c>
      <c r="P86" s="23">
        <v>15</v>
      </c>
      <c r="Q86" s="24"/>
      <c r="R86" s="24"/>
      <c r="S86" s="23"/>
      <c r="T86" s="20">
        <f t="shared" si="23"/>
        <v>15</v>
      </c>
      <c r="U86" s="19">
        <f t="shared" si="24"/>
        <v>15</v>
      </c>
      <c r="V86" s="22"/>
      <c r="W86" s="22"/>
      <c r="X86" s="22"/>
      <c r="Y86" s="22"/>
      <c r="Z86" s="21"/>
      <c r="AA86" s="20">
        <f t="shared" si="25"/>
        <v>0</v>
      </c>
      <c r="AB86" s="19">
        <f t="shared" si="26"/>
        <v>0</v>
      </c>
      <c r="AC86" s="16">
        <v>20</v>
      </c>
      <c r="AD86" s="18"/>
      <c r="AE86" s="17"/>
      <c r="AF86" s="23">
        <f t="shared" si="27"/>
        <v>15</v>
      </c>
      <c r="AG86" s="16">
        <v>45</v>
      </c>
      <c r="AH86" s="23">
        <f t="shared" si="28"/>
        <v>80</v>
      </c>
      <c r="AI86" s="14">
        <f t="shared" si="29"/>
        <v>0.93</v>
      </c>
      <c r="AJ86" s="13"/>
      <c r="AK86" s="12">
        <v>0.01</v>
      </c>
      <c r="AL86" s="11">
        <f t="shared" si="30"/>
        <v>1.01</v>
      </c>
      <c r="AM86" s="10">
        <f t="shared" si="31"/>
        <v>5441403000</v>
      </c>
      <c r="AN86" s="9"/>
      <c r="AO86" s="8"/>
      <c r="AP86" s="8"/>
      <c r="AQ86" s="8"/>
      <c r="AR86" s="8"/>
      <c r="AS86" s="7"/>
      <c r="AT86" s="6">
        <f t="shared" si="32"/>
        <v>0</v>
      </c>
    </row>
    <row r="87" spans="1:46" s="37" customFormat="1" ht="45.75" customHeight="1" thickBot="1" x14ac:dyDescent="0.2">
      <c r="A87" s="36"/>
      <c r="B87" s="35"/>
      <c r="C87" s="34"/>
      <c r="D87" s="34"/>
      <c r="E87" s="34"/>
      <c r="F87" s="34"/>
      <c r="G87" s="33"/>
      <c r="H87" s="32"/>
      <c r="I87" s="31">
        <v>0.51</v>
      </c>
      <c r="J87" s="30">
        <v>0.49</v>
      </c>
      <c r="K87" s="29"/>
      <c r="L87" s="28"/>
      <c r="M87" s="27"/>
      <c r="N87" s="26">
        <f t="shared" si="22"/>
        <v>1</v>
      </c>
      <c r="O87" s="25">
        <v>15</v>
      </c>
      <c r="P87" s="23">
        <v>15</v>
      </c>
      <c r="Q87" s="24"/>
      <c r="R87" s="24"/>
      <c r="S87" s="23"/>
      <c r="T87" s="20">
        <f t="shared" si="23"/>
        <v>15</v>
      </c>
      <c r="U87" s="19">
        <f t="shared" si="24"/>
        <v>15</v>
      </c>
      <c r="V87" s="22"/>
      <c r="W87" s="22"/>
      <c r="X87" s="22"/>
      <c r="Y87" s="22"/>
      <c r="Z87" s="21"/>
      <c r="AA87" s="20">
        <f t="shared" si="25"/>
        <v>0</v>
      </c>
      <c r="AB87" s="19">
        <f t="shared" si="26"/>
        <v>0</v>
      </c>
      <c r="AC87" s="16">
        <v>20</v>
      </c>
      <c r="AD87" s="18"/>
      <c r="AE87" s="17"/>
      <c r="AF87" s="23">
        <f t="shared" si="27"/>
        <v>15</v>
      </c>
      <c r="AG87" s="16">
        <v>45</v>
      </c>
      <c r="AH87" s="23">
        <f t="shared" si="28"/>
        <v>80</v>
      </c>
      <c r="AI87" s="14">
        <f t="shared" si="29"/>
        <v>0.93</v>
      </c>
      <c r="AJ87" s="13"/>
      <c r="AK87" s="12">
        <v>0.01</v>
      </c>
      <c r="AL87" s="11">
        <f t="shared" si="30"/>
        <v>1.01</v>
      </c>
      <c r="AM87" s="10">
        <f t="shared" si="31"/>
        <v>5441403000</v>
      </c>
      <c r="AN87" s="9"/>
      <c r="AO87" s="8"/>
      <c r="AP87" s="8"/>
      <c r="AQ87" s="8"/>
      <c r="AR87" s="8"/>
      <c r="AS87" s="7"/>
      <c r="AT87" s="6">
        <f t="shared" si="32"/>
        <v>0</v>
      </c>
    </row>
    <row r="88" spans="1:46" s="37" customFormat="1" ht="45.75" customHeight="1" thickBot="1" x14ac:dyDescent="0.2">
      <c r="A88" s="36"/>
      <c r="B88" s="35"/>
      <c r="C88" s="34"/>
      <c r="D88" s="34"/>
      <c r="E88" s="34"/>
      <c r="F88" s="34"/>
      <c r="G88" s="33"/>
      <c r="H88" s="32"/>
      <c r="I88" s="31">
        <v>0.51</v>
      </c>
      <c r="J88" s="30">
        <v>0.49</v>
      </c>
      <c r="K88" s="29"/>
      <c r="L88" s="28"/>
      <c r="M88" s="27"/>
      <c r="N88" s="26">
        <f t="shared" si="22"/>
        <v>1</v>
      </c>
      <c r="O88" s="25">
        <v>15</v>
      </c>
      <c r="P88" s="23">
        <v>15</v>
      </c>
      <c r="Q88" s="24"/>
      <c r="R88" s="24"/>
      <c r="S88" s="23"/>
      <c r="T88" s="20">
        <f t="shared" si="23"/>
        <v>15</v>
      </c>
      <c r="U88" s="19">
        <f t="shared" si="24"/>
        <v>15</v>
      </c>
      <c r="V88" s="22"/>
      <c r="W88" s="22"/>
      <c r="X88" s="22"/>
      <c r="Y88" s="22"/>
      <c r="Z88" s="21"/>
      <c r="AA88" s="20">
        <f t="shared" si="25"/>
        <v>0</v>
      </c>
      <c r="AB88" s="19">
        <f t="shared" si="26"/>
        <v>0</v>
      </c>
      <c r="AC88" s="16">
        <v>20</v>
      </c>
      <c r="AD88" s="18"/>
      <c r="AE88" s="17"/>
      <c r="AF88" s="23">
        <f t="shared" si="27"/>
        <v>15</v>
      </c>
      <c r="AG88" s="16">
        <v>45</v>
      </c>
      <c r="AH88" s="23">
        <f t="shared" si="28"/>
        <v>80</v>
      </c>
      <c r="AI88" s="14">
        <f t="shared" si="29"/>
        <v>0.93</v>
      </c>
      <c r="AJ88" s="13"/>
      <c r="AK88" s="12">
        <v>0.01</v>
      </c>
      <c r="AL88" s="11">
        <f t="shared" si="30"/>
        <v>1.01</v>
      </c>
      <c r="AM88" s="10">
        <f t="shared" si="31"/>
        <v>5441403000</v>
      </c>
      <c r="AN88" s="9"/>
      <c r="AO88" s="8"/>
      <c r="AP88" s="8"/>
      <c r="AQ88" s="8"/>
      <c r="AR88" s="8"/>
      <c r="AS88" s="7"/>
      <c r="AT88" s="6">
        <f t="shared" si="32"/>
        <v>0</v>
      </c>
    </row>
    <row r="89" spans="1:46" s="37" customFormat="1" ht="45.75" customHeight="1" thickBot="1" x14ac:dyDescent="0.2">
      <c r="A89" s="36"/>
      <c r="B89" s="35"/>
      <c r="C89" s="34"/>
      <c r="D89" s="34"/>
      <c r="E89" s="34"/>
      <c r="F89" s="34"/>
      <c r="G89" s="33"/>
      <c r="H89" s="32"/>
      <c r="I89" s="31">
        <v>0.51</v>
      </c>
      <c r="J89" s="30">
        <v>0.49</v>
      </c>
      <c r="K89" s="29"/>
      <c r="L89" s="28"/>
      <c r="M89" s="27"/>
      <c r="N89" s="26">
        <f t="shared" si="22"/>
        <v>1</v>
      </c>
      <c r="O89" s="25">
        <v>15</v>
      </c>
      <c r="P89" s="23">
        <v>15</v>
      </c>
      <c r="Q89" s="24"/>
      <c r="R89" s="24"/>
      <c r="S89" s="23"/>
      <c r="T89" s="20">
        <f t="shared" si="23"/>
        <v>15</v>
      </c>
      <c r="U89" s="19">
        <f t="shared" si="24"/>
        <v>15</v>
      </c>
      <c r="V89" s="22"/>
      <c r="W89" s="22"/>
      <c r="X89" s="22"/>
      <c r="Y89" s="22"/>
      <c r="Z89" s="21"/>
      <c r="AA89" s="20">
        <f t="shared" si="25"/>
        <v>0</v>
      </c>
      <c r="AB89" s="19">
        <f t="shared" si="26"/>
        <v>0</v>
      </c>
      <c r="AC89" s="16">
        <v>20</v>
      </c>
      <c r="AD89" s="18"/>
      <c r="AE89" s="17"/>
      <c r="AF89" s="23">
        <f t="shared" si="27"/>
        <v>15</v>
      </c>
      <c r="AG89" s="16">
        <v>45</v>
      </c>
      <c r="AH89" s="23">
        <f t="shared" si="28"/>
        <v>80</v>
      </c>
      <c r="AI89" s="14">
        <f t="shared" si="29"/>
        <v>0.93</v>
      </c>
      <c r="AJ89" s="13"/>
      <c r="AK89" s="12">
        <v>0.01</v>
      </c>
      <c r="AL89" s="11">
        <f t="shared" si="30"/>
        <v>1.01</v>
      </c>
      <c r="AM89" s="10">
        <f t="shared" si="31"/>
        <v>5441403000</v>
      </c>
      <c r="AN89" s="9"/>
      <c r="AO89" s="8"/>
      <c r="AP89" s="8"/>
      <c r="AQ89" s="8"/>
      <c r="AR89" s="8"/>
      <c r="AS89" s="7"/>
      <c r="AT89" s="6">
        <f t="shared" si="32"/>
        <v>0</v>
      </c>
    </row>
    <row r="90" spans="1:46" s="37" customFormat="1" ht="45.75" customHeight="1" thickBot="1" x14ac:dyDescent="0.2">
      <c r="A90" s="36"/>
      <c r="B90" s="35"/>
      <c r="C90" s="34"/>
      <c r="D90" s="34"/>
      <c r="E90" s="34"/>
      <c r="F90" s="34"/>
      <c r="G90" s="33"/>
      <c r="H90" s="32"/>
      <c r="I90" s="31">
        <v>0.51</v>
      </c>
      <c r="J90" s="30">
        <v>0.49</v>
      </c>
      <c r="K90" s="29"/>
      <c r="L90" s="28"/>
      <c r="M90" s="27"/>
      <c r="N90" s="26">
        <f t="shared" si="22"/>
        <v>1</v>
      </c>
      <c r="O90" s="25">
        <v>15</v>
      </c>
      <c r="P90" s="23">
        <v>15</v>
      </c>
      <c r="Q90" s="24"/>
      <c r="R90" s="24"/>
      <c r="S90" s="23"/>
      <c r="T90" s="20">
        <f t="shared" si="23"/>
        <v>15</v>
      </c>
      <c r="U90" s="19">
        <f t="shared" si="24"/>
        <v>15</v>
      </c>
      <c r="V90" s="22"/>
      <c r="W90" s="22"/>
      <c r="X90" s="22"/>
      <c r="Y90" s="22"/>
      <c r="Z90" s="21"/>
      <c r="AA90" s="20">
        <f t="shared" si="25"/>
        <v>0</v>
      </c>
      <c r="AB90" s="19">
        <f t="shared" si="26"/>
        <v>0</v>
      </c>
      <c r="AC90" s="16">
        <v>20</v>
      </c>
      <c r="AD90" s="18"/>
      <c r="AE90" s="17"/>
      <c r="AF90" s="23">
        <f t="shared" si="27"/>
        <v>15</v>
      </c>
      <c r="AG90" s="16">
        <v>45</v>
      </c>
      <c r="AH90" s="23">
        <f t="shared" si="28"/>
        <v>80</v>
      </c>
      <c r="AI90" s="14">
        <f t="shared" si="29"/>
        <v>0.93</v>
      </c>
      <c r="AJ90" s="13"/>
      <c r="AK90" s="12">
        <v>0.01</v>
      </c>
      <c r="AL90" s="11">
        <f t="shared" si="30"/>
        <v>1.01</v>
      </c>
      <c r="AM90" s="10">
        <f t="shared" si="31"/>
        <v>5441403000</v>
      </c>
      <c r="AN90" s="9"/>
      <c r="AO90" s="8"/>
      <c r="AP90" s="8"/>
      <c r="AQ90" s="8"/>
      <c r="AR90" s="8"/>
      <c r="AS90" s="7"/>
      <c r="AT90" s="6">
        <f t="shared" si="32"/>
        <v>0</v>
      </c>
    </row>
    <row r="91" spans="1:46" s="37" customFormat="1" ht="45.75" customHeight="1" thickBot="1" x14ac:dyDescent="0.2">
      <c r="A91" s="36"/>
      <c r="B91" s="35"/>
      <c r="C91" s="34"/>
      <c r="D91" s="34"/>
      <c r="E91" s="34"/>
      <c r="F91" s="34"/>
      <c r="G91" s="33"/>
      <c r="H91" s="32"/>
      <c r="I91" s="31">
        <v>0.51</v>
      </c>
      <c r="J91" s="30">
        <v>0.49</v>
      </c>
      <c r="K91" s="29"/>
      <c r="L91" s="28"/>
      <c r="M91" s="27"/>
      <c r="N91" s="26">
        <f t="shared" si="22"/>
        <v>1</v>
      </c>
      <c r="O91" s="25">
        <v>15</v>
      </c>
      <c r="P91" s="23">
        <v>15</v>
      </c>
      <c r="Q91" s="24"/>
      <c r="R91" s="24"/>
      <c r="S91" s="23"/>
      <c r="T91" s="20">
        <f t="shared" si="23"/>
        <v>15</v>
      </c>
      <c r="U91" s="19">
        <f t="shared" si="24"/>
        <v>15</v>
      </c>
      <c r="V91" s="22"/>
      <c r="W91" s="22"/>
      <c r="X91" s="22"/>
      <c r="Y91" s="22"/>
      <c r="Z91" s="21"/>
      <c r="AA91" s="20">
        <f t="shared" si="25"/>
        <v>0</v>
      </c>
      <c r="AB91" s="19">
        <f t="shared" si="26"/>
        <v>0</v>
      </c>
      <c r="AC91" s="16">
        <v>20</v>
      </c>
      <c r="AD91" s="18"/>
      <c r="AE91" s="17"/>
      <c r="AF91" s="23">
        <f t="shared" si="27"/>
        <v>15</v>
      </c>
      <c r="AG91" s="16">
        <v>45</v>
      </c>
      <c r="AH91" s="23">
        <f t="shared" si="28"/>
        <v>80</v>
      </c>
      <c r="AI91" s="14">
        <f t="shared" si="29"/>
        <v>0.93</v>
      </c>
      <c r="AJ91" s="13"/>
      <c r="AK91" s="12">
        <v>0.01</v>
      </c>
      <c r="AL91" s="11">
        <f t="shared" si="30"/>
        <v>1.01</v>
      </c>
      <c r="AM91" s="10">
        <f t="shared" si="31"/>
        <v>5441403000</v>
      </c>
      <c r="AN91" s="9"/>
      <c r="AO91" s="8"/>
      <c r="AP91" s="8"/>
      <c r="AQ91" s="8"/>
      <c r="AR91" s="8"/>
      <c r="AS91" s="7"/>
      <c r="AT91" s="6">
        <f t="shared" si="32"/>
        <v>0</v>
      </c>
    </row>
    <row r="92" spans="1:46" s="37" customFormat="1" ht="45.75" customHeight="1" thickBot="1" x14ac:dyDescent="0.2">
      <c r="A92" s="36"/>
      <c r="B92" s="35"/>
      <c r="C92" s="34"/>
      <c r="D92" s="34"/>
      <c r="E92" s="34"/>
      <c r="F92" s="34"/>
      <c r="G92" s="33"/>
      <c r="H92" s="32"/>
      <c r="I92" s="31">
        <v>0.51</v>
      </c>
      <c r="J92" s="30">
        <v>0.49</v>
      </c>
      <c r="K92" s="29"/>
      <c r="L92" s="28"/>
      <c r="M92" s="27"/>
      <c r="N92" s="26">
        <f t="shared" si="22"/>
        <v>1</v>
      </c>
      <c r="O92" s="25">
        <v>15</v>
      </c>
      <c r="P92" s="23">
        <v>15</v>
      </c>
      <c r="Q92" s="24"/>
      <c r="R92" s="24"/>
      <c r="S92" s="23"/>
      <c r="T92" s="20">
        <f t="shared" si="23"/>
        <v>15</v>
      </c>
      <c r="U92" s="19">
        <f t="shared" si="24"/>
        <v>15</v>
      </c>
      <c r="V92" s="22"/>
      <c r="W92" s="22"/>
      <c r="X92" s="22"/>
      <c r="Y92" s="22"/>
      <c r="Z92" s="21"/>
      <c r="AA92" s="20">
        <f t="shared" si="25"/>
        <v>0</v>
      </c>
      <c r="AB92" s="19">
        <f t="shared" si="26"/>
        <v>0</v>
      </c>
      <c r="AC92" s="16">
        <v>20</v>
      </c>
      <c r="AD92" s="18"/>
      <c r="AE92" s="17"/>
      <c r="AF92" s="23">
        <f t="shared" si="27"/>
        <v>15</v>
      </c>
      <c r="AG92" s="16">
        <v>45</v>
      </c>
      <c r="AH92" s="23">
        <f t="shared" si="28"/>
        <v>80</v>
      </c>
      <c r="AI92" s="14">
        <f t="shared" si="29"/>
        <v>0.93</v>
      </c>
      <c r="AJ92" s="13"/>
      <c r="AK92" s="12">
        <v>0.01</v>
      </c>
      <c r="AL92" s="11">
        <f t="shared" si="30"/>
        <v>1.01</v>
      </c>
      <c r="AM92" s="10">
        <f t="shared" si="31"/>
        <v>5441403000</v>
      </c>
      <c r="AN92" s="9"/>
      <c r="AO92" s="8"/>
      <c r="AP92" s="8"/>
      <c r="AQ92" s="8"/>
      <c r="AR92" s="8"/>
      <c r="AS92" s="7"/>
      <c r="AT92" s="6">
        <f t="shared" si="32"/>
        <v>0</v>
      </c>
    </row>
    <row r="93" spans="1:46" s="37" customFormat="1" ht="45.75" customHeight="1" thickBot="1" x14ac:dyDescent="0.2">
      <c r="A93" s="36"/>
      <c r="B93" s="35"/>
      <c r="C93" s="34"/>
      <c r="D93" s="34"/>
      <c r="E93" s="34"/>
      <c r="F93" s="34"/>
      <c r="G93" s="33"/>
      <c r="H93" s="32"/>
      <c r="I93" s="31">
        <v>0.51</v>
      </c>
      <c r="J93" s="30">
        <v>0.49</v>
      </c>
      <c r="K93" s="29"/>
      <c r="L93" s="28"/>
      <c r="M93" s="27"/>
      <c r="N93" s="26">
        <f t="shared" si="22"/>
        <v>1</v>
      </c>
      <c r="O93" s="25">
        <v>15</v>
      </c>
      <c r="P93" s="23">
        <v>15</v>
      </c>
      <c r="Q93" s="24"/>
      <c r="R93" s="24"/>
      <c r="S93" s="23"/>
      <c r="T93" s="20">
        <f t="shared" si="23"/>
        <v>15</v>
      </c>
      <c r="U93" s="19">
        <f t="shared" si="24"/>
        <v>15</v>
      </c>
      <c r="V93" s="22"/>
      <c r="W93" s="22"/>
      <c r="X93" s="22"/>
      <c r="Y93" s="22"/>
      <c r="Z93" s="21"/>
      <c r="AA93" s="20">
        <f t="shared" si="25"/>
        <v>0</v>
      </c>
      <c r="AB93" s="19">
        <f t="shared" si="26"/>
        <v>0</v>
      </c>
      <c r="AC93" s="16">
        <v>20</v>
      </c>
      <c r="AD93" s="18"/>
      <c r="AE93" s="17"/>
      <c r="AF93" s="23">
        <f t="shared" si="27"/>
        <v>15</v>
      </c>
      <c r="AG93" s="16">
        <v>45</v>
      </c>
      <c r="AH93" s="23">
        <f t="shared" si="28"/>
        <v>80</v>
      </c>
      <c r="AI93" s="14">
        <f t="shared" si="29"/>
        <v>0.93</v>
      </c>
      <c r="AJ93" s="13"/>
      <c r="AK93" s="12">
        <v>0.01</v>
      </c>
      <c r="AL93" s="11">
        <f t="shared" si="30"/>
        <v>1.01</v>
      </c>
      <c r="AM93" s="10">
        <f t="shared" si="31"/>
        <v>5441403000</v>
      </c>
      <c r="AN93" s="9"/>
      <c r="AO93" s="8"/>
      <c r="AP93" s="8"/>
      <c r="AQ93" s="8"/>
      <c r="AR93" s="8"/>
      <c r="AS93" s="7"/>
      <c r="AT93" s="6">
        <f t="shared" si="32"/>
        <v>0</v>
      </c>
    </row>
    <row r="94" spans="1:46" s="37" customFormat="1" ht="45.75" customHeight="1" thickBot="1" x14ac:dyDescent="0.2">
      <c r="A94" s="36"/>
      <c r="B94" s="35"/>
      <c r="C94" s="34"/>
      <c r="D94" s="34"/>
      <c r="E94" s="34"/>
      <c r="F94" s="34"/>
      <c r="G94" s="33"/>
      <c r="H94" s="32"/>
      <c r="I94" s="31">
        <v>0.51</v>
      </c>
      <c r="J94" s="30">
        <v>0.49</v>
      </c>
      <c r="K94" s="29"/>
      <c r="L94" s="28"/>
      <c r="M94" s="27"/>
      <c r="N94" s="26">
        <f t="shared" si="22"/>
        <v>1</v>
      </c>
      <c r="O94" s="25">
        <v>15</v>
      </c>
      <c r="P94" s="23">
        <v>15</v>
      </c>
      <c r="Q94" s="24"/>
      <c r="R94" s="24"/>
      <c r="S94" s="23"/>
      <c r="T94" s="20">
        <f t="shared" si="23"/>
        <v>15</v>
      </c>
      <c r="U94" s="19">
        <f t="shared" si="24"/>
        <v>15</v>
      </c>
      <c r="V94" s="22"/>
      <c r="W94" s="22"/>
      <c r="X94" s="22"/>
      <c r="Y94" s="22"/>
      <c r="Z94" s="21"/>
      <c r="AA94" s="20">
        <f t="shared" si="25"/>
        <v>0</v>
      </c>
      <c r="AB94" s="19">
        <f t="shared" si="26"/>
        <v>0</v>
      </c>
      <c r="AC94" s="16">
        <v>20</v>
      </c>
      <c r="AD94" s="18"/>
      <c r="AE94" s="17"/>
      <c r="AF94" s="23">
        <f t="shared" si="27"/>
        <v>15</v>
      </c>
      <c r="AG94" s="16">
        <v>45</v>
      </c>
      <c r="AH94" s="23">
        <f t="shared" si="28"/>
        <v>80</v>
      </c>
      <c r="AI94" s="14">
        <f t="shared" si="29"/>
        <v>0.93</v>
      </c>
      <c r="AJ94" s="13"/>
      <c r="AK94" s="12">
        <v>0.01</v>
      </c>
      <c r="AL94" s="11">
        <f t="shared" si="30"/>
        <v>1.01</v>
      </c>
      <c r="AM94" s="10">
        <f t="shared" si="31"/>
        <v>5441403000</v>
      </c>
      <c r="AN94" s="9"/>
      <c r="AO94" s="8"/>
      <c r="AP94" s="8"/>
      <c r="AQ94" s="8"/>
      <c r="AR94" s="8"/>
      <c r="AS94" s="7"/>
      <c r="AT94" s="6">
        <f t="shared" si="32"/>
        <v>0</v>
      </c>
    </row>
    <row r="95" spans="1:46" s="37" customFormat="1" ht="45.75" customHeight="1" thickBot="1" x14ac:dyDescent="0.2">
      <c r="A95" s="36"/>
      <c r="B95" s="35"/>
      <c r="C95" s="34"/>
      <c r="D95" s="34"/>
      <c r="E95" s="34"/>
      <c r="F95" s="34"/>
      <c r="G95" s="33"/>
      <c r="H95" s="32"/>
      <c r="I95" s="31">
        <v>0.51</v>
      </c>
      <c r="J95" s="30">
        <v>0.49</v>
      </c>
      <c r="K95" s="29"/>
      <c r="L95" s="28"/>
      <c r="M95" s="27"/>
      <c r="N95" s="26">
        <f t="shared" si="22"/>
        <v>1</v>
      </c>
      <c r="O95" s="25">
        <v>15</v>
      </c>
      <c r="P95" s="23">
        <v>15</v>
      </c>
      <c r="Q95" s="24"/>
      <c r="R95" s="24"/>
      <c r="S95" s="23"/>
      <c r="T95" s="20">
        <f t="shared" si="23"/>
        <v>15</v>
      </c>
      <c r="U95" s="19">
        <f t="shared" si="24"/>
        <v>15</v>
      </c>
      <c r="V95" s="22"/>
      <c r="W95" s="22"/>
      <c r="X95" s="22"/>
      <c r="Y95" s="22"/>
      <c r="Z95" s="21"/>
      <c r="AA95" s="20">
        <f t="shared" si="25"/>
        <v>0</v>
      </c>
      <c r="AB95" s="19">
        <f t="shared" si="26"/>
        <v>0</v>
      </c>
      <c r="AC95" s="16">
        <v>20</v>
      </c>
      <c r="AD95" s="18"/>
      <c r="AE95" s="17"/>
      <c r="AF95" s="23">
        <f t="shared" si="27"/>
        <v>15</v>
      </c>
      <c r="AG95" s="16">
        <v>45</v>
      </c>
      <c r="AH95" s="23">
        <f t="shared" si="28"/>
        <v>80</v>
      </c>
      <c r="AI95" s="14">
        <f t="shared" si="29"/>
        <v>0.93</v>
      </c>
      <c r="AJ95" s="13"/>
      <c r="AK95" s="12">
        <v>0.01</v>
      </c>
      <c r="AL95" s="11">
        <f t="shared" si="30"/>
        <v>1.01</v>
      </c>
      <c r="AM95" s="10">
        <f t="shared" si="31"/>
        <v>5441403000</v>
      </c>
      <c r="AN95" s="9"/>
      <c r="AO95" s="8"/>
      <c r="AP95" s="8"/>
      <c r="AQ95" s="8"/>
      <c r="AR95" s="8"/>
      <c r="AS95" s="7"/>
      <c r="AT95" s="6">
        <f t="shared" si="32"/>
        <v>0</v>
      </c>
    </row>
    <row r="96" spans="1:46" s="37" customFormat="1" ht="45.75" customHeight="1" thickBot="1" x14ac:dyDescent="0.2">
      <c r="A96" s="36"/>
      <c r="B96" s="35"/>
      <c r="C96" s="34"/>
      <c r="D96" s="34"/>
      <c r="E96" s="34"/>
      <c r="F96" s="34"/>
      <c r="G96" s="33"/>
      <c r="H96" s="32"/>
      <c r="I96" s="31">
        <v>0.51</v>
      </c>
      <c r="J96" s="30">
        <v>0.49</v>
      </c>
      <c r="K96" s="29"/>
      <c r="L96" s="28"/>
      <c r="M96" s="27"/>
      <c r="N96" s="26">
        <f t="shared" si="22"/>
        <v>1</v>
      </c>
      <c r="O96" s="25">
        <v>15</v>
      </c>
      <c r="P96" s="23">
        <v>15</v>
      </c>
      <c r="Q96" s="24"/>
      <c r="R96" s="24"/>
      <c r="S96" s="23"/>
      <c r="T96" s="20">
        <f t="shared" si="23"/>
        <v>15</v>
      </c>
      <c r="U96" s="19">
        <f t="shared" si="24"/>
        <v>15</v>
      </c>
      <c r="V96" s="22"/>
      <c r="W96" s="22"/>
      <c r="X96" s="22"/>
      <c r="Y96" s="22"/>
      <c r="Z96" s="21"/>
      <c r="AA96" s="20">
        <f t="shared" si="25"/>
        <v>0</v>
      </c>
      <c r="AB96" s="19">
        <f t="shared" si="26"/>
        <v>0</v>
      </c>
      <c r="AC96" s="16">
        <v>20</v>
      </c>
      <c r="AD96" s="18"/>
      <c r="AE96" s="17"/>
      <c r="AF96" s="23">
        <f t="shared" si="27"/>
        <v>15</v>
      </c>
      <c r="AG96" s="16">
        <v>45</v>
      </c>
      <c r="AH96" s="23">
        <f t="shared" si="28"/>
        <v>80</v>
      </c>
      <c r="AI96" s="14">
        <f t="shared" si="29"/>
        <v>0.93</v>
      </c>
      <c r="AJ96" s="13"/>
      <c r="AK96" s="12">
        <v>0.01</v>
      </c>
      <c r="AL96" s="11">
        <f t="shared" si="30"/>
        <v>1.01</v>
      </c>
      <c r="AM96" s="10">
        <f t="shared" si="31"/>
        <v>5441403000</v>
      </c>
      <c r="AN96" s="9"/>
      <c r="AO96" s="8"/>
      <c r="AP96" s="8"/>
      <c r="AQ96" s="8"/>
      <c r="AR96" s="8"/>
      <c r="AS96" s="7"/>
      <c r="AT96" s="6">
        <f t="shared" si="32"/>
        <v>0</v>
      </c>
    </row>
    <row r="97" spans="1:46" s="37" customFormat="1" ht="45.75" customHeight="1" thickBot="1" x14ac:dyDescent="0.2">
      <c r="A97" s="36"/>
      <c r="B97" s="35"/>
      <c r="C97" s="34"/>
      <c r="D97" s="34"/>
      <c r="E97" s="34"/>
      <c r="F97" s="34"/>
      <c r="G97" s="33"/>
      <c r="H97" s="32"/>
      <c r="I97" s="31">
        <v>0.51</v>
      </c>
      <c r="J97" s="30">
        <v>0.49</v>
      </c>
      <c r="K97" s="29"/>
      <c r="L97" s="28"/>
      <c r="M97" s="27"/>
      <c r="N97" s="26">
        <f t="shared" si="22"/>
        <v>1</v>
      </c>
      <c r="O97" s="25">
        <v>15</v>
      </c>
      <c r="P97" s="23">
        <v>15</v>
      </c>
      <c r="Q97" s="24"/>
      <c r="R97" s="24"/>
      <c r="S97" s="23"/>
      <c r="T97" s="20">
        <f t="shared" si="23"/>
        <v>15</v>
      </c>
      <c r="U97" s="19">
        <f t="shared" si="24"/>
        <v>15</v>
      </c>
      <c r="V97" s="22"/>
      <c r="W97" s="22"/>
      <c r="X97" s="22"/>
      <c r="Y97" s="22"/>
      <c r="Z97" s="21"/>
      <c r="AA97" s="20">
        <f t="shared" si="25"/>
        <v>0</v>
      </c>
      <c r="AB97" s="19">
        <f t="shared" si="26"/>
        <v>0</v>
      </c>
      <c r="AC97" s="16">
        <v>20</v>
      </c>
      <c r="AD97" s="18"/>
      <c r="AE97" s="17"/>
      <c r="AF97" s="23">
        <f t="shared" si="27"/>
        <v>15</v>
      </c>
      <c r="AG97" s="16">
        <v>45</v>
      </c>
      <c r="AH97" s="23">
        <f t="shared" si="28"/>
        <v>80</v>
      </c>
      <c r="AI97" s="14">
        <f t="shared" si="29"/>
        <v>0.93</v>
      </c>
      <c r="AJ97" s="13"/>
      <c r="AK97" s="12">
        <v>0.01</v>
      </c>
      <c r="AL97" s="11">
        <f t="shared" si="30"/>
        <v>1.01</v>
      </c>
      <c r="AM97" s="10">
        <f t="shared" si="31"/>
        <v>5441403000</v>
      </c>
      <c r="AN97" s="9"/>
      <c r="AO97" s="8"/>
      <c r="AP97" s="8"/>
      <c r="AQ97" s="8"/>
      <c r="AR97" s="8"/>
      <c r="AS97" s="7"/>
      <c r="AT97" s="6">
        <f t="shared" si="32"/>
        <v>0</v>
      </c>
    </row>
    <row r="98" spans="1:46" s="37" customFormat="1" ht="45.75" customHeight="1" thickBot="1" x14ac:dyDescent="0.2">
      <c r="A98" s="36"/>
      <c r="B98" s="35"/>
      <c r="C98" s="34"/>
      <c r="D98" s="34"/>
      <c r="E98" s="34"/>
      <c r="F98" s="34"/>
      <c r="G98" s="33"/>
      <c r="H98" s="32"/>
      <c r="I98" s="31">
        <v>0.51</v>
      </c>
      <c r="J98" s="30">
        <v>0.49</v>
      </c>
      <c r="K98" s="29"/>
      <c r="L98" s="28"/>
      <c r="M98" s="27"/>
      <c r="N98" s="26">
        <f t="shared" si="22"/>
        <v>1</v>
      </c>
      <c r="O98" s="25">
        <v>15</v>
      </c>
      <c r="P98" s="23">
        <v>15</v>
      </c>
      <c r="Q98" s="24"/>
      <c r="R98" s="24"/>
      <c r="S98" s="23"/>
      <c r="T98" s="20">
        <f t="shared" si="23"/>
        <v>15</v>
      </c>
      <c r="U98" s="19">
        <f t="shared" si="24"/>
        <v>15</v>
      </c>
      <c r="V98" s="22"/>
      <c r="W98" s="22"/>
      <c r="X98" s="22"/>
      <c r="Y98" s="22"/>
      <c r="Z98" s="21"/>
      <c r="AA98" s="20">
        <f t="shared" si="25"/>
        <v>0</v>
      </c>
      <c r="AB98" s="19">
        <f t="shared" si="26"/>
        <v>0</v>
      </c>
      <c r="AC98" s="16">
        <v>20</v>
      </c>
      <c r="AD98" s="18"/>
      <c r="AE98" s="17"/>
      <c r="AF98" s="23">
        <f t="shared" si="27"/>
        <v>15</v>
      </c>
      <c r="AG98" s="16">
        <v>45</v>
      </c>
      <c r="AH98" s="23">
        <f t="shared" si="28"/>
        <v>80</v>
      </c>
      <c r="AI98" s="14">
        <f t="shared" si="29"/>
        <v>0.93</v>
      </c>
      <c r="AJ98" s="13"/>
      <c r="AK98" s="12">
        <v>0.01</v>
      </c>
      <c r="AL98" s="11">
        <f t="shared" si="30"/>
        <v>1.01</v>
      </c>
      <c r="AM98" s="10">
        <f t="shared" si="31"/>
        <v>5441403000</v>
      </c>
      <c r="AN98" s="9"/>
      <c r="AO98" s="8"/>
      <c r="AP98" s="8"/>
      <c r="AQ98" s="8"/>
      <c r="AR98" s="8"/>
      <c r="AS98" s="7"/>
      <c r="AT98" s="6">
        <f t="shared" si="32"/>
        <v>0</v>
      </c>
    </row>
    <row r="99" spans="1:46" s="37" customFormat="1" ht="45.75" customHeight="1" thickBot="1" x14ac:dyDescent="0.2">
      <c r="A99" s="36"/>
      <c r="B99" s="35"/>
      <c r="C99" s="34"/>
      <c r="D99" s="34"/>
      <c r="E99" s="34"/>
      <c r="F99" s="34"/>
      <c r="G99" s="33"/>
      <c r="H99" s="32"/>
      <c r="I99" s="31">
        <v>0.51</v>
      </c>
      <c r="J99" s="30">
        <v>0.49</v>
      </c>
      <c r="K99" s="29"/>
      <c r="L99" s="28"/>
      <c r="M99" s="27"/>
      <c r="N99" s="26">
        <f t="shared" si="22"/>
        <v>1</v>
      </c>
      <c r="O99" s="25">
        <v>15</v>
      </c>
      <c r="P99" s="23">
        <v>15</v>
      </c>
      <c r="Q99" s="24"/>
      <c r="R99" s="24"/>
      <c r="S99" s="23"/>
      <c r="T99" s="20">
        <f t="shared" si="23"/>
        <v>15</v>
      </c>
      <c r="U99" s="19">
        <f t="shared" si="24"/>
        <v>15</v>
      </c>
      <c r="V99" s="22"/>
      <c r="W99" s="22"/>
      <c r="X99" s="22"/>
      <c r="Y99" s="22"/>
      <c r="Z99" s="21"/>
      <c r="AA99" s="20">
        <f t="shared" si="25"/>
        <v>0</v>
      </c>
      <c r="AB99" s="19">
        <f t="shared" si="26"/>
        <v>0</v>
      </c>
      <c r="AC99" s="16">
        <v>20</v>
      </c>
      <c r="AD99" s="18"/>
      <c r="AE99" s="17"/>
      <c r="AF99" s="23">
        <f t="shared" si="27"/>
        <v>15</v>
      </c>
      <c r="AG99" s="16">
        <v>45</v>
      </c>
      <c r="AH99" s="23">
        <f t="shared" si="28"/>
        <v>80</v>
      </c>
      <c r="AI99" s="14">
        <f t="shared" si="29"/>
        <v>0.93</v>
      </c>
      <c r="AJ99" s="13"/>
      <c r="AK99" s="12">
        <v>0.01</v>
      </c>
      <c r="AL99" s="11">
        <f t="shared" si="30"/>
        <v>1.01</v>
      </c>
      <c r="AM99" s="10">
        <f t="shared" si="31"/>
        <v>5441403000</v>
      </c>
      <c r="AN99" s="9"/>
      <c r="AO99" s="8"/>
      <c r="AP99" s="8"/>
      <c r="AQ99" s="8"/>
      <c r="AR99" s="8"/>
      <c r="AS99" s="7"/>
      <c r="AT99" s="6">
        <f t="shared" si="32"/>
        <v>0</v>
      </c>
    </row>
    <row r="100" spans="1:46" s="37" customFormat="1" ht="45.75" customHeight="1" thickBot="1" x14ac:dyDescent="0.2">
      <c r="A100" s="36"/>
      <c r="B100" s="35"/>
      <c r="C100" s="34"/>
      <c r="D100" s="34"/>
      <c r="E100" s="34"/>
      <c r="F100" s="34"/>
      <c r="G100" s="33"/>
      <c r="H100" s="32"/>
      <c r="I100" s="31">
        <v>0.51</v>
      </c>
      <c r="J100" s="30">
        <v>0.49</v>
      </c>
      <c r="K100" s="29"/>
      <c r="L100" s="28"/>
      <c r="M100" s="27"/>
      <c r="N100" s="26">
        <f t="shared" si="22"/>
        <v>1</v>
      </c>
      <c r="O100" s="25">
        <v>15</v>
      </c>
      <c r="P100" s="23">
        <v>15</v>
      </c>
      <c r="Q100" s="24"/>
      <c r="R100" s="24"/>
      <c r="S100" s="23"/>
      <c r="T100" s="20">
        <f t="shared" si="23"/>
        <v>15</v>
      </c>
      <c r="U100" s="19">
        <f t="shared" si="24"/>
        <v>15</v>
      </c>
      <c r="V100" s="22"/>
      <c r="W100" s="22"/>
      <c r="X100" s="22"/>
      <c r="Y100" s="22"/>
      <c r="Z100" s="21"/>
      <c r="AA100" s="20">
        <f t="shared" si="25"/>
        <v>0</v>
      </c>
      <c r="AB100" s="19">
        <f t="shared" si="26"/>
        <v>0</v>
      </c>
      <c r="AC100" s="16">
        <v>20</v>
      </c>
      <c r="AD100" s="18"/>
      <c r="AE100" s="17"/>
      <c r="AF100" s="23">
        <f t="shared" si="27"/>
        <v>15</v>
      </c>
      <c r="AG100" s="16">
        <v>45</v>
      </c>
      <c r="AH100" s="23">
        <f t="shared" si="28"/>
        <v>80</v>
      </c>
      <c r="AI100" s="14">
        <f t="shared" si="29"/>
        <v>0.93</v>
      </c>
      <c r="AJ100" s="13"/>
      <c r="AK100" s="12">
        <v>0.01</v>
      </c>
      <c r="AL100" s="11">
        <f t="shared" si="30"/>
        <v>1.01</v>
      </c>
      <c r="AM100" s="10">
        <f t="shared" si="31"/>
        <v>5441403000</v>
      </c>
      <c r="AN100" s="9"/>
      <c r="AO100" s="8"/>
      <c r="AP100" s="8"/>
      <c r="AQ100" s="8"/>
      <c r="AR100" s="8"/>
      <c r="AS100" s="7"/>
      <c r="AT100" s="6">
        <f t="shared" si="32"/>
        <v>0</v>
      </c>
    </row>
    <row r="101" spans="1:46" s="37" customFormat="1" ht="45.75" customHeight="1" thickBot="1" x14ac:dyDescent="0.2">
      <c r="A101" s="36"/>
      <c r="B101" s="35"/>
      <c r="C101" s="34"/>
      <c r="D101" s="34"/>
      <c r="E101" s="34"/>
      <c r="F101" s="34"/>
      <c r="G101" s="33"/>
      <c r="H101" s="32"/>
      <c r="I101" s="31">
        <v>0.51</v>
      </c>
      <c r="J101" s="30">
        <v>0.49</v>
      </c>
      <c r="K101" s="29"/>
      <c r="L101" s="28"/>
      <c r="M101" s="27"/>
      <c r="N101" s="26">
        <f t="shared" ref="N101:N132" si="33">SUM(I101:M101)</f>
        <v>1</v>
      </c>
      <c r="O101" s="25">
        <v>15</v>
      </c>
      <c r="P101" s="23">
        <v>15</v>
      </c>
      <c r="Q101" s="24"/>
      <c r="R101" s="24"/>
      <c r="S101" s="23"/>
      <c r="T101" s="20">
        <f t="shared" ref="T101:T132" si="34">ROUND(((O101*I101)+(P101*J101)+(Q101*K101)+(R101*L101)+(S101*M101)),2)</f>
        <v>15</v>
      </c>
      <c r="U101" s="19">
        <f t="shared" ref="U101:U132" si="35">IF(T101&gt;=15,15,T101)</f>
        <v>15</v>
      </c>
      <c r="V101" s="22"/>
      <c r="W101" s="22"/>
      <c r="X101" s="22"/>
      <c r="Y101" s="22"/>
      <c r="Z101" s="21"/>
      <c r="AA101" s="20">
        <f t="shared" ref="AA101:AA132" si="36">ROUND((((V101*I101)+(W101*J101)+(X101*K101)+(Y101*L101)+(Z101*M101))/$I$2*15),2)</f>
        <v>0</v>
      </c>
      <c r="AB101" s="19">
        <f t="shared" ref="AB101:AB132" si="37">IF(AA101&gt;=15,15,AA101)</f>
        <v>0</v>
      </c>
      <c r="AC101" s="16">
        <v>20</v>
      </c>
      <c r="AD101" s="18"/>
      <c r="AE101" s="17"/>
      <c r="AF101" s="23">
        <f t="shared" ref="AF101:AF132" si="38">IF((U101+AB101+AD101)&gt;=30,30,(U101+AB101+AD101))</f>
        <v>15</v>
      </c>
      <c r="AG101" s="16">
        <v>45</v>
      </c>
      <c r="AH101" s="23">
        <f t="shared" ref="AH101:AH132" si="39">AC101+AF101+AG101+AE101</f>
        <v>80</v>
      </c>
      <c r="AI101" s="14">
        <f t="shared" ref="AI101:AI132" si="40">-((50-((176+(45+(30-AF101)))))/200)</f>
        <v>0.93</v>
      </c>
      <c r="AJ101" s="13"/>
      <c r="AK101" s="12">
        <v>0.01</v>
      </c>
      <c r="AL101" s="11">
        <f t="shared" ref="AL101:AL132" si="41">100%+AK101</f>
        <v>1.01</v>
      </c>
      <c r="AM101" s="10">
        <f t="shared" ref="AM101:AM132" si="42">ROUNDUP($D$2*AI101*AL101,-3)</f>
        <v>5441403000</v>
      </c>
      <c r="AN101" s="9"/>
      <c r="AO101" s="8"/>
      <c r="AP101" s="8"/>
      <c r="AQ101" s="8"/>
      <c r="AR101" s="8"/>
      <c r="AS101" s="7"/>
      <c r="AT101" s="6">
        <f t="shared" ref="AT101:AT132" si="43">(AO101*J101)+(AP101*K101)+(AQ101*L101)+(AR101*M101)+(AS101*N101)</f>
        <v>0</v>
      </c>
    </row>
    <row r="102" spans="1:46" s="37" customFormat="1" ht="45.75" customHeight="1" thickBot="1" x14ac:dyDescent="0.2">
      <c r="A102" s="36"/>
      <c r="B102" s="35"/>
      <c r="C102" s="34"/>
      <c r="D102" s="34"/>
      <c r="E102" s="34"/>
      <c r="F102" s="34"/>
      <c r="G102" s="33"/>
      <c r="H102" s="32"/>
      <c r="I102" s="31">
        <v>0.51</v>
      </c>
      <c r="J102" s="30">
        <v>0.49</v>
      </c>
      <c r="K102" s="29"/>
      <c r="L102" s="28"/>
      <c r="M102" s="27"/>
      <c r="N102" s="26">
        <f t="shared" si="33"/>
        <v>1</v>
      </c>
      <c r="O102" s="25">
        <v>15</v>
      </c>
      <c r="P102" s="23">
        <v>15</v>
      </c>
      <c r="Q102" s="24"/>
      <c r="R102" s="24"/>
      <c r="S102" s="23"/>
      <c r="T102" s="20">
        <f t="shared" si="34"/>
        <v>15</v>
      </c>
      <c r="U102" s="19">
        <f t="shared" si="35"/>
        <v>15</v>
      </c>
      <c r="V102" s="22"/>
      <c r="W102" s="22"/>
      <c r="X102" s="22"/>
      <c r="Y102" s="22"/>
      <c r="Z102" s="21"/>
      <c r="AA102" s="20">
        <f t="shared" si="36"/>
        <v>0</v>
      </c>
      <c r="AB102" s="19">
        <f t="shared" si="37"/>
        <v>0</v>
      </c>
      <c r="AC102" s="16">
        <v>20</v>
      </c>
      <c r="AD102" s="18"/>
      <c r="AE102" s="17"/>
      <c r="AF102" s="23">
        <f t="shared" si="38"/>
        <v>15</v>
      </c>
      <c r="AG102" s="16">
        <v>45</v>
      </c>
      <c r="AH102" s="23">
        <f t="shared" si="39"/>
        <v>80</v>
      </c>
      <c r="AI102" s="14">
        <f t="shared" si="40"/>
        <v>0.93</v>
      </c>
      <c r="AJ102" s="13"/>
      <c r="AK102" s="12">
        <v>0.01</v>
      </c>
      <c r="AL102" s="11">
        <f t="shared" si="41"/>
        <v>1.01</v>
      </c>
      <c r="AM102" s="10">
        <f t="shared" si="42"/>
        <v>5441403000</v>
      </c>
      <c r="AN102" s="9"/>
      <c r="AO102" s="8"/>
      <c r="AP102" s="8"/>
      <c r="AQ102" s="8"/>
      <c r="AR102" s="8"/>
      <c r="AS102" s="7"/>
      <c r="AT102" s="6">
        <f t="shared" si="43"/>
        <v>0</v>
      </c>
    </row>
    <row r="103" spans="1:46" s="37" customFormat="1" ht="45.75" customHeight="1" thickBot="1" x14ac:dyDescent="0.2">
      <c r="A103" s="36"/>
      <c r="B103" s="35"/>
      <c r="C103" s="34"/>
      <c r="D103" s="34"/>
      <c r="E103" s="34"/>
      <c r="F103" s="34"/>
      <c r="G103" s="33"/>
      <c r="H103" s="32"/>
      <c r="I103" s="31">
        <v>0.51</v>
      </c>
      <c r="J103" s="30">
        <v>0.49</v>
      </c>
      <c r="K103" s="29"/>
      <c r="L103" s="28"/>
      <c r="M103" s="27"/>
      <c r="N103" s="26">
        <f t="shared" si="33"/>
        <v>1</v>
      </c>
      <c r="O103" s="25">
        <v>15</v>
      </c>
      <c r="P103" s="23">
        <v>15</v>
      </c>
      <c r="Q103" s="24"/>
      <c r="R103" s="24"/>
      <c r="S103" s="23"/>
      <c r="T103" s="20">
        <f t="shared" si="34"/>
        <v>15</v>
      </c>
      <c r="U103" s="19">
        <f t="shared" si="35"/>
        <v>15</v>
      </c>
      <c r="V103" s="22"/>
      <c r="W103" s="22"/>
      <c r="X103" s="22"/>
      <c r="Y103" s="22"/>
      <c r="Z103" s="21"/>
      <c r="AA103" s="20">
        <f t="shared" si="36"/>
        <v>0</v>
      </c>
      <c r="AB103" s="19">
        <f t="shared" si="37"/>
        <v>0</v>
      </c>
      <c r="AC103" s="16">
        <v>20</v>
      </c>
      <c r="AD103" s="18"/>
      <c r="AE103" s="17"/>
      <c r="AF103" s="23">
        <f t="shared" si="38"/>
        <v>15</v>
      </c>
      <c r="AG103" s="16">
        <v>45</v>
      </c>
      <c r="AH103" s="23">
        <f t="shared" si="39"/>
        <v>80</v>
      </c>
      <c r="AI103" s="14">
        <f t="shared" si="40"/>
        <v>0.93</v>
      </c>
      <c r="AJ103" s="13"/>
      <c r="AK103" s="12">
        <v>0.01</v>
      </c>
      <c r="AL103" s="11">
        <f t="shared" si="41"/>
        <v>1.01</v>
      </c>
      <c r="AM103" s="10">
        <f t="shared" si="42"/>
        <v>5441403000</v>
      </c>
      <c r="AN103" s="9"/>
      <c r="AO103" s="8"/>
      <c r="AP103" s="8"/>
      <c r="AQ103" s="8"/>
      <c r="AR103" s="8"/>
      <c r="AS103" s="7"/>
      <c r="AT103" s="6">
        <f t="shared" si="43"/>
        <v>0</v>
      </c>
    </row>
    <row r="104" spans="1:46" s="37" customFormat="1" ht="45.75" customHeight="1" thickBot="1" x14ac:dyDescent="0.2">
      <c r="A104" s="36"/>
      <c r="B104" s="35"/>
      <c r="C104" s="34"/>
      <c r="D104" s="34"/>
      <c r="E104" s="34"/>
      <c r="F104" s="34"/>
      <c r="G104" s="33"/>
      <c r="H104" s="32"/>
      <c r="I104" s="31">
        <v>0.51</v>
      </c>
      <c r="J104" s="30">
        <v>0.49</v>
      </c>
      <c r="K104" s="29"/>
      <c r="L104" s="28"/>
      <c r="M104" s="27"/>
      <c r="N104" s="26">
        <f t="shared" si="33"/>
        <v>1</v>
      </c>
      <c r="O104" s="25">
        <v>15</v>
      </c>
      <c r="P104" s="23">
        <v>15</v>
      </c>
      <c r="Q104" s="24"/>
      <c r="R104" s="24"/>
      <c r="S104" s="23"/>
      <c r="T104" s="20">
        <f t="shared" si="34"/>
        <v>15</v>
      </c>
      <c r="U104" s="19">
        <f t="shared" si="35"/>
        <v>15</v>
      </c>
      <c r="V104" s="22"/>
      <c r="W104" s="22"/>
      <c r="X104" s="22"/>
      <c r="Y104" s="22"/>
      <c r="Z104" s="21"/>
      <c r="AA104" s="20">
        <f t="shared" si="36"/>
        <v>0</v>
      </c>
      <c r="AB104" s="19">
        <f t="shared" si="37"/>
        <v>0</v>
      </c>
      <c r="AC104" s="16">
        <v>20</v>
      </c>
      <c r="AD104" s="18"/>
      <c r="AE104" s="17"/>
      <c r="AF104" s="23">
        <f t="shared" si="38"/>
        <v>15</v>
      </c>
      <c r="AG104" s="16">
        <v>45</v>
      </c>
      <c r="AH104" s="23">
        <f t="shared" si="39"/>
        <v>80</v>
      </c>
      <c r="AI104" s="14">
        <f t="shared" si="40"/>
        <v>0.93</v>
      </c>
      <c r="AJ104" s="13"/>
      <c r="AK104" s="12">
        <v>0.01</v>
      </c>
      <c r="AL104" s="11">
        <f t="shared" si="41"/>
        <v>1.01</v>
      </c>
      <c r="AM104" s="10">
        <f t="shared" si="42"/>
        <v>5441403000</v>
      </c>
      <c r="AN104" s="9"/>
      <c r="AO104" s="8"/>
      <c r="AP104" s="8"/>
      <c r="AQ104" s="8"/>
      <c r="AR104" s="8"/>
      <c r="AS104" s="7"/>
      <c r="AT104" s="6">
        <f t="shared" si="43"/>
        <v>0</v>
      </c>
    </row>
    <row r="105" spans="1:46" s="37" customFormat="1" ht="45.75" customHeight="1" thickBot="1" x14ac:dyDescent="0.2">
      <c r="A105" s="36"/>
      <c r="B105" s="35"/>
      <c r="C105" s="34"/>
      <c r="D105" s="34"/>
      <c r="E105" s="34"/>
      <c r="F105" s="34"/>
      <c r="G105" s="33"/>
      <c r="H105" s="32"/>
      <c r="I105" s="31">
        <v>0.51</v>
      </c>
      <c r="J105" s="30">
        <v>0.49</v>
      </c>
      <c r="K105" s="29"/>
      <c r="L105" s="28"/>
      <c r="M105" s="27"/>
      <c r="N105" s="26">
        <f t="shared" si="33"/>
        <v>1</v>
      </c>
      <c r="O105" s="25">
        <v>15</v>
      </c>
      <c r="P105" s="23">
        <v>15</v>
      </c>
      <c r="Q105" s="24"/>
      <c r="R105" s="24"/>
      <c r="S105" s="23"/>
      <c r="T105" s="20">
        <f t="shared" si="34"/>
        <v>15</v>
      </c>
      <c r="U105" s="19">
        <f t="shared" si="35"/>
        <v>15</v>
      </c>
      <c r="V105" s="22"/>
      <c r="W105" s="22"/>
      <c r="X105" s="22"/>
      <c r="Y105" s="22"/>
      <c r="Z105" s="21"/>
      <c r="AA105" s="20">
        <f t="shared" si="36"/>
        <v>0</v>
      </c>
      <c r="AB105" s="19">
        <f t="shared" si="37"/>
        <v>0</v>
      </c>
      <c r="AC105" s="16">
        <v>20</v>
      </c>
      <c r="AD105" s="18"/>
      <c r="AE105" s="17"/>
      <c r="AF105" s="23">
        <f t="shared" si="38"/>
        <v>15</v>
      </c>
      <c r="AG105" s="16">
        <v>45</v>
      </c>
      <c r="AH105" s="23">
        <f t="shared" si="39"/>
        <v>80</v>
      </c>
      <c r="AI105" s="14">
        <f t="shared" si="40"/>
        <v>0.93</v>
      </c>
      <c r="AJ105" s="13"/>
      <c r="AK105" s="12">
        <v>0.01</v>
      </c>
      <c r="AL105" s="11">
        <f t="shared" si="41"/>
        <v>1.01</v>
      </c>
      <c r="AM105" s="10">
        <f t="shared" si="42"/>
        <v>5441403000</v>
      </c>
      <c r="AN105" s="9"/>
      <c r="AO105" s="8"/>
      <c r="AP105" s="8"/>
      <c r="AQ105" s="8"/>
      <c r="AR105" s="8"/>
      <c r="AS105" s="7"/>
      <c r="AT105" s="6">
        <f t="shared" si="43"/>
        <v>0</v>
      </c>
    </row>
    <row r="106" spans="1:46" s="37" customFormat="1" ht="45.75" customHeight="1" thickBot="1" x14ac:dyDescent="0.2">
      <c r="A106" s="36"/>
      <c r="B106" s="35"/>
      <c r="C106" s="34"/>
      <c r="D106" s="34"/>
      <c r="E106" s="34"/>
      <c r="F106" s="34"/>
      <c r="G106" s="33"/>
      <c r="H106" s="32"/>
      <c r="I106" s="31">
        <v>0.51</v>
      </c>
      <c r="J106" s="30">
        <v>0.49</v>
      </c>
      <c r="K106" s="29"/>
      <c r="L106" s="28"/>
      <c r="M106" s="27"/>
      <c r="N106" s="26">
        <f t="shared" si="33"/>
        <v>1</v>
      </c>
      <c r="O106" s="25">
        <v>15</v>
      </c>
      <c r="P106" s="23">
        <v>15</v>
      </c>
      <c r="Q106" s="24"/>
      <c r="R106" s="24"/>
      <c r="S106" s="23"/>
      <c r="T106" s="20">
        <f t="shared" si="34"/>
        <v>15</v>
      </c>
      <c r="U106" s="19">
        <f t="shared" si="35"/>
        <v>15</v>
      </c>
      <c r="V106" s="22"/>
      <c r="W106" s="22"/>
      <c r="X106" s="22"/>
      <c r="Y106" s="22"/>
      <c r="Z106" s="21"/>
      <c r="AA106" s="20">
        <f t="shared" si="36"/>
        <v>0</v>
      </c>
      <c r="AB106" s="19">
        <f t="shared" si="37"/>
        <v>0</v>
      </c>
      <c r="AC106" s="16">
        <v>20</v>
      </c>
      <c r="AD106" s="18"/>
      <c r="AE106" s="17"/>
      <c r="AF106" s="23">
        <f t="shared" si="38"/>
        <v>15</v>
      </c>
      <c r="AG106" s="16">
        <v>45</v>
      </c>
      <c r="AH106" s="23">
        <f t="shared" si="39"/>
        <v>80</v>
      </c>
      <c r="AI106" s="14">
        <f t="shared" si="40"/>
        <v>0.93</v>
      </c>
      <c r="AJ106" s="13"/>
      <c r="AK106" s="12">
        <v>0.01</v>
      </c>
      <c r="AL106" s="11">
        <f t="shared" si="41"/>
        <v>1.01</v>
      </c>
      <c r="AM106" s="10">
        <f t="shared" si="42"/>
        <v>5441403000</v>
      </c>
      <c r="AN106" s="9"/>
      <c r="AO106" s="8"/>
      <c r="AP106" s="8"/>
      <c r="AQ106" s="8"/>
      <c r="AR106" s="8"/>
      <c r="AS106" s="7"/>
      <c r="AT106" s="6">
        <f t="shared" si="43"/>
        <v>0</v>
      </c>
    </row>
    <row r="107" spans="1:46" s="37" customFormat="1" ht="45.75" customHeight="1" thickBot="1" x14ac:dyDescent="0.2">
      <c r="A107" s="36"/>
      <c r="B107" s="35"/>
      <c r="C107" s="34"/>
      <c r="D107" s="34"/>
      <c r="E107" s="34"/>
      <c r="F107" s="34"/>
      <c r="G107" s="33"/>
      <c r="H107" s="32"/>
      <c r="I107" s="31">
        <v>0.51</v>
      </c>
      <c r="J107" s="30">
        <v>0.49</v>
      </c>
      <c r="K107" s="29"/>
      <c r="L107" s="28"/>
      <c r="M107" s="27"/>
      <c r="N107" s="26">
        <f t="shared" si="33"/>
        <v>1</v>
      </c>
      <c r="O107" s="25">
        <v>15</v>
      </c>
      <c r="P107" s="23">
        <v>15</v>
      </c>
      <c r="Q107" s="24"/>
      <c r="R107" s="24"/>
      <c r="S107" s="23"/>
      <c r="T107" s="20">
        <f t="shared" si="34"/>
        <v>15</v>
      </c>
      <c r="U107" s="19">
        <f t="shared" si="35"/>
        <v>15</v>
      </c>
      <c r="V107" s="22"/>
      <c r="W107" s="22"/>
      <c r="X107" s="22"/>
      <c r="Y107" s="22"/>
      <c r="Z107" s="21"/>
      <c r="AA107" s="20">
        <f t="shared" si="36"/>
        <v>0</v>
      </c>
      <c r="AB107" s="19">
        <f t="shared" si="37"/>
        <v>0</v>
      </c>
      <c r="AC107" s="16">
        <v>20</v>
      </c>
      <c r="AD107" s="18"/>
      <c r="AE107" s="17"/>
      <c r="AF107" s="23">
        <f t="shared" si="38"/>
        <v>15</v>
      </c>
      <c r="AG107" s="16">
        <v>45</v>
      </c>
      <c r="AH107" s="23">
        <f t="shared" si="39"/>
        <v>80</v>
      </c>
      <c r="AI107" s="14">
        <f t="shared" si="40"/>
        <v>0.93</v>
      </c>
      <c r="AJ107" s="13"/>
      <c r="AK107" s="12">
        <v>0.01</v>
      </c>
      <c r="AL107" s="11">
        <f t="shared" si="41"/>
        <v>1.01</v>
      </c>
      <c r="AM107" s="10">
        <f t="shared" si="42"/>
        <v>5441403000</v>
      </c>
      <c r="AN107" s="9"/>
      <c r="AO107" s="8"/>
      <c r="AP107" s="8"/>
      <c r="AQ107" s="8"/>
      <c r="AR107" s="8"/>
      <c r="AS107" s="7"/>
      <c r="AT107" s="6">
        <f t="shared" si="43"/>
        <v>0</v>
      </c>
    </row>
    <row r="108" spans="1:46" s="37" customFormat="1" ht="45.75" customHeight="1" thickBot="1" x14ac:dyDescent="0.2">
      <c r="A108" s="36"/>
      <c r="B108" s="35"/>
      <c r="C108" s="34"/>
      <c r="D108" s="34"/>
      <c r="E108" s="34"/>
      <c r="F108" s="34"/>
      <c r="G108" s="33"/>
      <c r="H108" s="32"/>
      <c r="I108" s="31">
        <v>0.51</v>
      </c>
      <c r="J108" s="30">
        <v>0.49</v>
      </c>
      <c r="K108" s="29"/>
      <c r="L108" s="28"/>
      <c r="M108" s="27"/>
      <c r="N108" s="26">
        <f t="shared" si="33"/>
        <v>1</v>
      </c>
      <c r="O108" s="25">
        <v>15</v>
      </c>
      <c r="P108" s="23">
        <v>15</v>
      </c>
      <c r="Q108" s="24"/>
      <c r="R108" s="24"/>
      <c r="S108" s="23"/>
      <c r="T108" s="20">
        <f t="shared" si="34"/>
        <v>15</v>
      </c>
      <c r="U108" s="19">
        <f t="shared" si="35"/>
        <v>15</v>
      </c>
      <c r="V108" s="22"/>
      <c r="W108" s="22"/>
      <c r="X108" s="22"/>
      <c r="Y108" s="22"/>
      <c r="Z108" s="21"/>
      <c r="AA108" s="20">
        <f t="shared" si="36"/>
        <v>0</v>
      </c>
      <c r="AB108" s="19">
        <f t="shared" si="37"/>
        <v>0</v>
      </c>
      <c r="AC108" s="16">
        <v>20</v>
      </c>
      <c r="AD108" s="18"/>
      <c r="AE108" s="17"/>
      <c r="AF108" s="23">
        <f t="shared" si="38"/>
        <v>15</v>
      </c>
      <c r="AG108" s="16">
        <v>45</v>
      </c>
      <c r="AH108" s="23">
        <f t="shared" si="39"/>
        <v>80</v>
      </c>
      <c r="AI108" s="14">
        <f t="shared" si="40"/>
        <v>0.93</v>
      </c>
      <c r="AJ108" s="13"/>
      <c r="AK108" s="12">
        <v>0.01</v>
      </c>
      <c r="AL108" s="11">
        <f t="shared" si="41"/>
        <v>1.01</v>
      </c>
      <c r="AM108" s="10">
        <f t="shared" si="42"/>
        <v>5441403000</v>
      </c>
      <c r="AN108" s="9"/>
      <c r="AO108" s="8"/>
      <c r="AP108" s="8"/>
      <c r="AQ108" s="8"/>
      <c r="AR108" s="8"/>
      <c r="AS108" s="7"/>
      <c r="AT108" s="6">
        <f t="shared" si="43"/>
        <v>0</v>
      </c>
    </row>
    <row r="109" spans="1:46" s="37" customFormat="1" ht="45.75" customHeight="1" thickBot="1" x14ac:dyDescent="0.2">
      <c r="A109" s="36"/>
      <c r="B109" s="35"/>
      <c r="C109" s="34"/>
      <c r="D109" s="34"/>
      <c r="E109" s="34"/>
      <c r="F109" s="34"/>
      <c r="G109" s="33"/>
      <c r="H109" s="32"/>
      <c r="I109" s="31">
        <v>0.51</v>
      </c>
      <c r="J109" s="30">
        <v>0.49</v>
      </c>
      <c r="K109" s="29"/>
      <c r="L109" s="28"/>
      <c r="M109" s="27"/>
      <c r="N109" s="26">
        <f t="shared" si="33"/>
        <v>1</v>
      </c>
      <c r="O109" s="25">
        <v>15</v>
      </c>
      <c r="P109" s="23">
        <v>15</v>
      </c>
      <c r="Q109" s="24"/>
      <c r="R109" s="24"/>
      <c r="S109" s="23"/>
      <c r="T109" s="20">
        <f t="shared" si="34"/>
        <v>15</v>
      </c>
      <c r="U109" s="19">
        <f t="shared" si="35"/>
        <v>15</v>
      </c>
      <c r="V109" s="22"/>
      <c r="W109" s="22"/>
      <c r="X109" s="22"/>
      <c r="Y109" s="22"/>
      <c r="Z109" s="21"/>
      <c r="AA109" s="20">
        <f t="shared" si="36"/>
        <v>0</v>
      </c>
      <c r="AB109" s="19">
        <f t="shared" si="37"/>
        <v>0</v>
      </c>
      <c r="AC109" s="16">
        <v>20</v>
      </c>
      <c r="AD109" s="18"/>
      <c r="AE109" s="17"/>
      <c r="AF109" s="23">
        <f t="shared" si="38"/>
        <v>15</v>
      </c>
      <c r="AG109" s="16">
        <v>45</v>
      </c>
      <c r="AH109" s="23">
        <f t="shared" si="39"/>
        <v>80</v>
      </c>
      <c r="AI109" s="14">
        <f t="shared" si="40"/>
        <v>0.93</v>
      </c>
      <c r="AJ109" s="13"/>
      <c r="AK109" s="12">
        <v>0.01</v>
      </c>
      <c r="AL109" s="11">
        <f t="shared" si="41"/>
        <v>1.01</v>
      </c>
      <c r="AM109" s="10">
        <f t="shared" si="42"/>
        <v>5441403000</v>
      </c>
      <c r="AN109" s="9"/>
      <c r="AO109" s="8"/>
      <c r="AP109" s="8"/>
      <c r="AQ109" s="8"/>
      <c r="AR109" s="8"/>
      <c r="AS109" s="7"/>
      <c r="AT109" s="6">
        <f t="shared" si="43"/>
        <v>0</v>
      </c>
    </row>
    <row r="110" spans="1:46" s="37" customFormat="1" ht="45.75" customHeight="1" thickBot="1" x14ac:dyDescent="0.2">
      <c r="A110" s="36"/>
      <c r="B110" s="35"/>
      <c r="C110" s="34"/>
      <c r="D110" s="34"/>
      <c r="E110" s="34"/>
      <c r="F110" s="34"/>
      <c r="G110" s="33"/>
      <c r="H110" s="32"/>
      <c r="I110" s="31">
        <v>0.51</v>
      </c>
      <c r="J110" s="30">
        <v>0.49</v>
      </c>
      <c r="K110" s="29"/>
      <c r="L110" s="28"/>
      <c r="M110" s="27"/>
      <c r="N110" s="26">
        <f t="shared" si="33"/>
        <v>1</v>
      </c>
      <c r="O110" s="25">
        <v>15</v>
      </c>
      <c r="P110" s="23">
        <v>15</v>
      </c>
      <c r="Q110" s="24"/>
      <c r="R110" s="24"/>
      <c r="S110" s="23"/>
      <c r="T110" s="20">
        <f t="shared" si="34"/>
        <v>15</v>
      </c>
      <c r="U110" s="19">
        <f t="shared" si="35"/>
        <v>15</v>
      </c>
      <c r="V110" s="22"/>
      <c r="W110" s="22"/>
      <c r="X110" s="22"/>
      <c r="Y110" s="22"/>
      <c r="Z110" s="21"/>
      <c r="AA110" s="20">
        <f t="shared" si="36"/>
        <v>0</v>
      </c>
      <c r="AB110" s="19">
        <f t="shared" si="37"/>
        <v>0</v>
      </c>
      <c r="AC110" s="16">
        <v>20</v>
      </c>
      <c r="AD110" s="18"/>
      <c r="AE110" s="17"/>
      <c r="AF110" s="23">
        <f t="shared" si="38"/>
        <v>15</v>
      </c>
      <c r="AG110" s="16">
        <v>45</v>
      </c>
      <c r="AH110" s="23">
        <f t="shared" si="39"/>
        <v>80</v>
      </c>
      <c r="AI110" s="14">
        <f t="shared" si="40"/>
        <v>0.93</v>
      </c>
      <c r="AJ110" s="13"/>
      <c r="AK110" s="12">
        <v>0.01</v>
      </c>
      <c r="AL110" s="11">
        <f t="shared" si="41"/>
        <v>1.01</v>
      </c>
      <c r="AM110" s="10">
        <f t="shared" si="42"/>
        <v>5441403000</v>
      </c>
      <c r="AN110" s="9"/>
      <c r="AO110" s="8"/>
      <c r="AP110" s="8"/>
      <c r="AQ110" s="8"/>
      <c r="AR110" s="8"/>
      <c r="AS110" s="7"/>
      <c r="AT110" s="6">
        <f t="shared" si="43"/>
        <v>0</v>
      </c>
    </row>
    <row r="111" spans="1:46" s="37" customFormat="1" ht="45.75" customHeight="1" thickBot="1" x14ac:dyDescent="0.2">
      <c r="A111" s="36"/>
      <c r="B111" s="35"/>
      <c r="C111" s="34"/>
      <c r="D111" s="34"/>
      <c r="E111" s="34"/>
      <c r="F111" s="34"/>
      <c r="G111" s="33"/>
      <c r="H111" s="32"/>
      <c r="I111" s="31">
        <v>0.51</v>
      </c>
      <c r="J111" s="30">
        <v>0.49</v>
      </c>
      <c r="K111" s="29"/>
      <c r="L111" s="28"/>
      <c r="M111" s="27"/>
      <c r="N111" s="26">
        <f t="shared" si="33"/>
        <v>1</v>
      </c>
      <c r="O111" s="25">
        <v>15</v>
      </c>
      <c r="P111" s="23">
        <v>15</v>
      </c>
      <c r="Q111" s="24"/>
      <c r="R111" s="24"/>
      <c r="S111" s="23"/>
      <c r="T111" s="20">
        <f t="shared" si="34"/>
        <v>15</v>
      </c>
      <c r="U111" s="19">
        <f t="shared" si="35"/>
        <v>15</v>
      </c>
      <c r="V111" s="22"/>
      <c r="W111" s="22"/>
      <c r="X111" s="22"/>
      <c r="Y111" s="22"/>
      <c r="Z111" s="21"/>
      <c r="AA111" s="20">
        <f t="shared" si="36"/>
        <v>0</v>
      </c>
      <c r="AB111" s="19">
        <f t="shared" si="37"/>
        <v>0</v>
      </c>
      <c r="AC111" s="16">
        <v>20</v>
      </c>
      <c r="AD111" s="18"/>
      <c r="AE111" s="17"/>
      <c r="AF111" s="23">
        <f t="shared" si="38"/>
        <v>15</v>
      </c>
      <c r="AG111" s="16">
        <v>45</v>
      </c>
      <c r="AH111" s="23">
        <f t="shared" si="39"/>
        <v>80</v>
      </c>
      <c r="AI111" s="14">
        <f t="shared" si="40"/>
        <v>0.93</v>
      </c>
      <c r="AJ111" s="13"/>
      <c r="AK111" s="12">
        <v>0.01</v>
      </c>
      <c r="AL111" s="11">
        <f t="shared" si="41"/>
        <v>1.01</v>
      </c>
      <c r="AM111" s="10">
        <f t="shared" si="42"/>
        <v>5441403000</v>
      </c>
      <c r="AN111" s="9"/>
      <c r="AO111" s="8"/>
      <c r="AP111" s="8"/>
      <c r="AQ111" s="8"/>
      <c r="AR111" s="8"/>
      <c r="AS111" s="7"/>
      <c r="AT111" s="6">
        <f t="shared" si="43"/>
        <v>0</v>
      </c>
    </row>
    <row r="112" spans="1:46" s="37" customFormat="1" ht="45.75" customHeight="1" thickBot="1" x14ac:dyDescent="0.2">
      <c r="A112" s="36"/>
      <c r="B112" s="35"/>
      <c r="C112" s="34"/>
      <c r="D112" s="34"/>
      <c r="E112" s="34"/>
      <c r="F112" s="34"/>
      <c r="G112" s="33"/>
      <c r="H112" s="32"/>
      <c r="I112" s="31">
        <v>0.51</v>
      </c>
      <c r="J112" s="30">
        <v>0.49</v>
      </c>
      <c r="K112" s="29"/>
      <c r="L112" s="28"/>
      <c r="M112" s="27"/>
      <c r="N112" s="26">
        <f t="shared" si="33"/>
        <v>1</v>
      </c>
      <c r="O112" s="25">
        <v>15</v>
      </c>
      <c r="P112" s="23">
        <v>15</v>
      </c>
      <c r="Q112" s="24"/>
      <c r="R112" s="24"/>
      <c r="S112" s="23"/>
      <c r="T112" s="20">
        <f t="shared" si="34"/>
        <v>15</v>
      </c>
      <c r="U112" s="19">
        <f t="shared" si="35"/>
        <v>15</v>
      </c>
      <c r="V112" s="22"/>
      <c r="W112" s="22"/>
      <c r="X112" s="22"/>
      <c r="Y112" s="22"/>
      <c r="Z112" s="21"/>
      <c r="AA112" s="20">
        <f t="shared" si="36"/>
        <v>0</v>
      </c>
      <c r="AB112" s="19">
        <f t="shared" si="37"/>
        <v>0</v>
      </c>
      <c r="AC112" s="16">
        <v>20</v>
      </c>
      <c r="AD112" s="18"/>
      <c r="AE112" s="17"/>
      <c r="AF112" s="23">
        <f t="shared" si="38"/>
        <v>15</v>
      </c>
      <c r="AG112" s="16">
        <v>45</v>
      </c>
      <c r="AH112" s="23">
        <f t="shared" si="39"/>
        <v>80</v>
      </c>
      <c r="AI112" s="14">
        <f t="shared" si="40"/>
        <v>0.93</v>
      </c>
      <c r="AJ112" s="13"/>
      <c r="AK112" s="12">
        <v>0.01</v>
      </c>
      <c r="AL112" s="11">
        <f t="shared" si="41"/>
        <v>1.01</v>
      </c>
      <c r="AM112" s="10">
        <f t="shared" si="42"/>
        <v>5441403000</v>
      </c>
      <c r="AN112" s="9"/>
      <c r="AO112" s="8"/>
      <c r="AP112" s="8"/>
      <c r="AQ112" s="8"/>
      <c r="AR112" s="8"/>
      <c r="AS112" s="7"/>
      <c r="AT112" s="6">
        <f t="shared" si="43"/>
        <v>0</v>
      </c>
    </row>
    <row r="113" spans="1:46" s="37" customFormat="1" ht="45.75" customHeight="1" thickBot="1" x14ac:dyDescent="0.2">
      <c r="A113" s="36"/>
      <c r="B113" s="35"/>
      <c r="C113" s="34"/>
      <c r="D113" s="34"/>
      <c r="E113" s="34"/>
      <c r="F113" s="34"/>
      <c r="G113" s="33"/>
      <c r="H113" s="32"/>
      <c r="I113" s="31">
        <v>0.51</v>
      </c>
      <c r="J113" s="30">
        <v>0.49</v>
      </c>
      <c r="K113" s="29"/>
      <c r="L113" s="28"/>
      <c r="M113" s="27"/>
      <c r="N113" s="26">
        <f t="shared" si="33"/>
        <v>1</v>
      </c>
      <c r="O113" s="25">
        <v>15</v>
      </c>
      <c r="P113" s="23">
        <v>15</v>
      </c>
      <c r="Q113" s="24"/>
      <c r="R113" s="24"/>
      <c r="S113" s="23"/>
      <c r="T113" s="20">
        <f t="shared" si="34"/>
        <v>15</v>
      </c>
      <c r="U113" s="19">
        <f t="shared" si="35"/>
        <v>15</v>
      </c>
      <c r="V113" s="22"/>
      <c r="W113" s="22"/>
      <c r="X113" s="22"/>
      <c r="Y113" s="22"/>
      <c r="Z113" s="21"/>
      <c r="AA113" s="20">
        <f t="shared" si="36"/>
        <v>0</v>
      </c>
      <c r="AB113" s="19">
        <f t="shared" si="37"/>
        <v>0</v>
      </c>
      <c r="AC113" s="16">
        <v>20</v>
      </c>
      <c r="AD113" s="18"/>
      <c r="AE113" s="17"/>
      <c r="AF113" s="23">
        <f t="shared" si="38"/>
        <v>15</v>
      </c>
      <c r="AG113" s="16">
        <v>45</v>
      </c>
      <c r="AH113" s="23">
        <f t="shared" si="39"/>
        <v>80</v>
      </c>
      <c r="AI113" s="14">
        <f t="shared" si="40"/>
        <v>0.93</v>
      </c>
      <c r="AJ113" s="13"/>
      <c r="AK113" s="12">
        <v>0.01</v>
      </c>
      <c r="AL113" s="11">
        <f t="shared" si="41"/>
        <v>1.01</v>
      </c>
      <c r="AM113" s="10">
        <f t="shared" si="42"/>
        <v>5441403000</v>
      </c>
      <c r="AN113" s="9"/>
      <c r="AO113" s="8"/>
      <c r="AP113" s="8"/>
      <c r="AQ113" s="8"/>
      <c r="AR113" s="8"/>
      <c r="AS113" s="7"/>
      <c r="AT113" s="6">
        <f t="shared" si="43"/>
        <v>0</v>
      </c>
    </row>
    <row r="114" spans="1:46" s="37" customFormat="1" ht="45.75" customHeight="1" thickBot="1" x14ac:dyDescent="0.2">
      <c r="A114" s="36"/>
      <c r="B114" s="35"/>
      <c r="C114" s="34"/>
      <c r="D114" s="34"/>
      <c r="E114" s="34"/>
      <c r="F114" s="34"/>
      <c r="G114" s="33"/>
      <c r="H114" s="32"/>
      <c r="I114" s="31">
        <v>0.51</v>
      </c>
      <c r="J114" s="30">
        <v>0.49</v>
      </c>
      <c r="K114" s="29"/>
      <c r="L114" s="28"/>
      <c r="M114" s="27"/>
      <c r="N114" s="26">
        <f t="shared" si="33"/>
        <v>1</v>
      </c>
      <c r="O114" s="25">
        <v>15</v>
      </c>
      <c r="P114" s="23">
        <v>15</v>
      </c>
      <c r="Q114" s="24"/>
      <c r="R114" s="24"/>
      <c r="S114" s="23"/>
      <c r="T114" s="20">
        <f t="shared" si="34"/>
        <v>15</v>
      </c>
      <c r="U114" s="19">
        <f t="shared" si="35"/>
        <v>15</v>
      </c>
      <c r="V114" s="22"/>
      <c r="W114" s="22"/>
      <c r="X114" s="22"/>
      <c r="Y114" s="22"/>
      <c r="Z114" s="21"/>
      <c r="AA114" s="20">
        <f t="shared" si="36"/>
        <v>0</v>
      </c>
      <c r="AB114" s="19">
        <f t="shared" si="37"/>
        <v>0</v>
      </c>
      <c r="AC114" s="16">
        <v>20</v>
      </c>
      <c r="AD114" s="18"/>
      <c r="AE114" s="17"/>
      <c r="AF114" s="23">
        <f t="shared" si="38"/>
        <v>15</v>
      </c>
      <c r="AG114" s="16">
        <v>45</v>
      </c>
      <c r="AH114" s="23">
        <f t="shared" si="39"/>
        <v>80</v>
      </c>
      <c r="AI114" s="14">
        <f t="shared" si="40"/>
        <v>0.93</v>
      </c>
      <c r="AJ114" s="13"/>
      <c r="AK114" s="12">
        <v>0.01</v>
      </c>
      <c r="AL114" s="11">
        <f t="shared" si="41"/>
        <v>1.01</v>
      </c>
      <c r="AM114" s="10">
        <f t="shared" si="42"/>
        <v>5441403000</v>
      </c>
      <c r="AN114" s="9"/>
      <c r="AO114" s="8"/>
      <c r="AP114" s="8"/>
      <c r="AQ114" s="8"/>
      <c r="AR114" s="8"/>
      <c r="AS114" s="7"/>
      <c r="AT114" s="6">
        <f t="shared" si="43"/>
        <v>0</v>
      </c>
    </row>
    <row r="115" spans="1:46" s="37" customFormat="1" ht="45.75" customHeight="1" thickBot="1" x14ac:dyDescent="0.2">
      <c r="A115" s="36"/>
      <c r="B115" s="35"/>
      <c r="C115" s="34"/>
      <c r="D115" s="34"/>
      <c r="E115" s="34"/>
      <c r="F115" s="34"/>
      <c r="G115" s="33"/>
      <c r="H115" s="32"/>
      <c r="I115" s="31">
        <v>0.51</v>
      </c>
      <c r="J115" s="30">
        <v>0.49</v>
      </c>
      <c r="K115" s="29"/>
      <c r="L115" s="28"/>
      <c r="M115" s="27"/>
      <c r="N115" s="26">
        <f t="shared" si="33"/>
        <v>1</v>
      </c>
      <c r="O115" s="25">
        <v>15</v>
      </c>
      <c r="P115" s="23">
        <v>15</v>
      </c>
      <c r="Q115" s="24"/>
      <c r="R115" s="24"/>
      <c r="S115" s="23"/>
      <c r="T115" s="20">
        <f t="shared" si="34"/>
        <v>15</v>
      </c>
      <c r="U115" s="19">
        <f t="shared" si="35"/>
        <v>15</v>
      </c>
      <c r="V115" s="22"/>
      <c r="W115" s="22"/>
      <c r="X115" s="22"/>
      <c r="Y115" s="22"/>
      <c r="Z115" s="21"/>
      <c r="AA115" s="20">
        <f t="shared" si="36"/>
        <v>0</v>
      </c>
      <c r="AB115" s="19">
        <f t="shared" si="37"/>
        <v>0</v>
      </c>
      <c r="AC115" s="16">
        <v>20</v>
      </c>
      <c r="AD115" s="18"/>
      <c r="AE115" s="17"/>
      <c r="AF115" s="23">
        <f t="shared" si="38"/>
        <v>15</v>
      </c>
      <c r="AG115" s="16">
        <v>45</v>
      </c>
      <c r="AH115" s="23">
        <f t="shared" si="39"/>
        <v>80</v>
      </c>
      <c r="AI115" s="14">
        <f t="shared" si="40"/>
        <v>0.93</v>
      </c>
      <c r="AJ115" s="13"/>
      <c r="AK115" s="12">
        <v>0.01</v>
      </c>
      <c r="AL115" s="11">
        <f t="shared" si="41"/>
        <v>1.01</v>
      </c>
      <c r="AM115" s="10">
        <f t="shared" si="42"/>
        <v>5441403000</v>
      </c>
      <c r="AN115" s="9"/>
      <c r="AO115" s="8"/>
      <c r="AP115" s="8"/>
      <c r="AQ115" s="8"/>
      <c r="AR115" s="8"/>
      <c r="AS115" s="7"/>
      <c r="AT115" s="6">
        <f t="shared" si="43"/>
        <v>0</v>
      </c>
    </row>
    <row r="116" spans="1:46" s="37" customFormat="1" ht="45.75" customHeight="1" thickBot="1" x14ac:dyDescent="0.2">
      <c r="A116" s="36"/>
      <c r="B116" s="35"/>
      <c r="C116" s="34"/>
      <c r="D116" s="34"/>
      <c r="E116" s="34"/>
      <c r="F116" s="34"/>
      <c r="G116" s="33"/>
      <c r="H116" s="32"/>
      <c r="I116" s="31">
        <v>0.51</v>
      </c>
      <c r="J116" s="30">
        <v>0.49</v>
      </c>
      <c r="K116" s="29"/>
      <c r="L116" s="28"/>
      <c r="M116" s="27"/>
      <c r="N116" s="26">
        <f t="shared" si="33"/>
        <v>1</v>
      </c>
      <c r="O116" s="25">
        <v>15</v>
      </c>
      <c r="P116" s="23">
        <v>15</v>
      </c>
      <c r="Q116" s="24"/>
      <c r="R116" s="24"/>
      <c r="S116" s="23"/>
      <c r="T116" s="20">
        <f t="shared" si="34"/>
        <v>15</v>
      </c>
      <c r="U116" s="19">
        <f t="shared" si="35"/>
        <v>15</v>
      </c>
      <c r="V116" s="22"/>
      <c r="W116" s="22"/>
      <c r="X116" s="22"/>
      <c r="Y116" s="22"/>
      <c r="Z116" s="21"/>
      <c r="AA116" s="20">
        <f t="shared" si="36"/>
        <v>0</v>
      </c>
      <c r="AB116" s="19">
        <f t="shared" si="37"/>
        <v>0</v>
      </c>
      <c r="AC116" s="16">
        <v>20</v>
      </c>
      <c r="AD116" s="18"/>
      <c r="AE116" s="17"/>
      <c r="AF116" s="23">
        <f t="shared" si="38"/>
        <v>15</v>
      </c>
      <c r="AG116" s="16">
        <v>45</v>
      </c>
      <c r="AH116" s="23">
        <f t="shared" si="39"/>
        <v>80</v>
      </c>
      <c r="AI116" s="14">
        <f t="shared" si="40"/>
        <v>0.93</v>
      </c>
      <c r="AJ116" s="13"/>
      <c r="AK116" s="12">
        <v>0.01</v>
      </c>
      <c r="AL116" s="11">
        <f t="shared" si="41"/>
        <v>1.01</v>
      </c>
      <c r="AM116" s="10">
        <f t="shared" si="42"/>
        <v>5441403000</v>
      </c>
      <c r="AN116" s="9"/>
      <c r="AO116" s="8"/>
      <c r="AP116" s="8"/>
      <c r="AQ116" s="8"/>
      <c r="AR116" s="8"/>
      <c r="AS116" s="7"/>
      <c r="AT116" s="6">
        <f t="shared" si="43"/>
        <v>0</v>
      </c>
    </row>
    <row r="117" spans="1:46" s="37" customFormat="1" ht="45.75" customHeight="1" thickBot="1" x14ac:dyDescent="0.2">
      <c r="A117" s="36"/>
      <c r="B117" s="35"/>
      <c r="C117" s="34"/>
      <c r="D117" s="34"/>
      <c r="E117" s="34"/>
      <c r="F117" s="34"/>
      <c r="G117" s="33"/>
      <c r="H117" s="32"/>
      <c r="I117" s="31">
        <v>0.51</v>
      </c>
      <c r="J117" s="30">
        <v>0.49</v>
      </c>
      <c r="K117" s="29"/>
      <c r="L117" s="28"/>
      <c r="M117" s="27"/>
      <c r="N117" s="26">
        <f t="shared" si="33"/>
        <v>1</v>
      </c>
      <c r="O117" s="25">
        <v>15</v>
      </c>
      <c r="P117" s="23">
        <v>15</v>
      </c>
      <c r="Q117" s="24"/>
      <c r="R117" s="24"/>
      <c r="S117" s="23"/>
      <c r="T117" s="20">
        <f t="shared" si="34"/>
        <v>15</v>
      </c>
      <c r="U117" s="19">
        <f t="shared" si="35"/>
        <v>15</v>
      </c>
      <c r="V117" s="22"/>
      <c r="W117" s="22"/>
      <c r="X117" s="22"/>
      <c r="Y117" s="22"/>
      <c r="Z117" s="21"/>
      <c r="AA117" s="20">
        <f t="shared" si="36"/>
        <v>0</v>
      </c>
      <c r="AB117" s="19">
        <f t="shared" si="37"/>
        <v>0</v>
      </c>
      <c r="AC117" s="16">
        <v>20</v>
      </c>
      <c r="AD117" s="18"/>
      <c r="AE117" s="17"/>
      <c r="AF117" s="23">
        <f t="shared" si="38"/>
        <v>15</v>
      </c>
      <c r="AG117" s="16">
        <v>45</v>
      </c>
      <c r="AH117" s="23">
        <f t="shared" si="39"/>
        <v>80</v>
      </c>
      <c r="AI117" s="14">
        <f t="shared" si="40"/>
        <v>0.93</v>
      </c>
      <c r="AJ117" s="13"/>
      <c r="AK117" s="12">
        <v>0.01</v>
      </c>
      <c r="AL117" s="11">
        <f t="shared" si="41"/>
        <v>1.01</v>
      </c>
      <c r="AM117" s="10">
        <f t="shared" si="42"/>
        <v>5441403000</v>
      </c>
      <c r="AN117" s="9"/>
      <c r="AO117" s="8"/>
      <c r="AP117" s="8"/>
      <c r="AQ117" s="8"/>
      <c r="AR117" s="8"/>
      <c r="AS117" s="7"/>
      <c r="AT117" s="6">
        <f t="shared" si="43"/>
        <v>0</v>
      </c>
    </row>
    <row r="118" spans="1:46" s="37" customFormat="1" ht="45.75" customHeight="1" thickBot="1" x14ac:dyDescent="0.2">
      <c r="A118" s="36"/>
      <c r="B118" s="35"/>
      <c r="C118" s="34"/>
      <c r="D118" s="34"/>
      <c r="E118" s="34"/>
      <c r="F118" s="34"/>
      <c r="G118" s="33"/>
      <c r="H118" s="32"/>
      <c r="I118" s="31">
        <v>0.51</v>
      </c>
      <c r="J118" s="30">
        <v>0.49</v>
      </c>
      <c r="K118" s="29"/>
      <c r="L118" s="28"/>
      <c r="M118" s="27"/>
      <c r="N118" s="26">
        <f t="shared" si="33"/>
        <v>1</v>
      </c>
      <c r="O118" s="25">
        <v>15</v>
      </c>
      <c r="P118" s="23">
        <v>15</v>
      </c>
      <c r="Q118" s="24"/>
      <c r="R118" s="24"/>
      <c r="S118" s="23"/>
      <c r="T118" s="20">
        <f t="shared" si="34"/>
        <v>15</v>
      </c>
      <c r="U118" s="19">
        <f t="shared" si="35"/>
        <v>15</v>
      </c>
      <c r="V118" s="22"/>
      <c r="W118" s="22"/>
      <c r="X118" s="22"/>
      <c r="Y118" s="22"/>
      <c r="Z118" s="21"/>
      <c r="AA118" s="20">
        <f t="shared" si="36"/>
        <v>0</v>
      </c>
      <c r="AB118" s="19">
        <f t="shared" si="37"/>
        <v>0</v>
      </c>
      <c r="AC118" s="16">
        <v>20</v>
      </c>
      <c r="AD118" s="18"/>
      <c r="AE118" s="17"/>
      <c r="AF118" s="23">
        <f t="shared" si="38"/>
        <v>15</v>
      </c>
      <c r="AG118" s="16">
        <v>45</v>
      </c>
      <c r="AH118" s="23">
        <f t="shared" si="39"/>
        <v>80</v>
      </c>
      <c r="AI118" s="14">
        <f t="shared" si="40"/>
        <v>0.93</v>
      </c>
      <c r="AJ118" s="13"/>
      <c r="AK118" s="12">
        <v>0.01</v>
      </c>
      <c r="AL118" s="11">
        <f t="shared" si="41"/>
        <v>1.01</v>
      </c>
      <c r="AM118" s="10">
        <f t="shared" si="42"/>
        <v>5441403000</v>
      </c>
      <c r="AN118" s="9"/>
      <c r="AO118" s="8"/>
      <c r="AP118" s="8"/>
      <c r="AQ118" s="8"/>
      <c r="AR118" s="8"/>
      <c r="AS118" s="7"/>
      <c r="AT118" s="6">
        <f t="shared" si="43"/>
        <v>0</v>
      </c>
    </row>
    <row r="119" spans="1:46" s="37" customFormat="1" ht="45.75" customHeight="1" thickBot="1" x14ac:dyDescent="0.2">
      <c r="A119" s="36"/>
      <c r="B119" s="35"/>
      <c r="C119" s="34"/>
      <c r="D119" s="34"/>
      <c r="E119" s="34"/>
      <c r="F119" s="34"/>
      <c r="G119" s="33"/>
      <c r="H119" s="32"/>
      <c r="I119" s="31">
        <v>0.51</v>
      </c>
      <c r="J119" s="30">
        <v>0.49</v>
      </c>
      <c r="K119" s="29"/>
      <c r="L119" s="28"/>
      <c r="M119" s="27"/>
      <c r="N119" s="26">
        <f t="shared" si="33"/>
        <v>1</v>
      </c>
      <c r="O119" s="25">
        <v>15</v>
      </c>
      <c r="P119" s="23">
        <v>15</v>
      </c>
      <c r="Q119" s="24"/>
      <c r="R119" s="24"/>
      <c r="S119" s="23"/>
      <c r="T119" s="20">
        <f t="shared" si="34"/>
        <v>15</v>
      </c>
      <c r="U119" s="19">
        <f t="shared" si="35"/>
        <v>15</v>
      </c>
      <c r="V119" s="22"/>
      <c r="W119" s="22"/>
      <c r="X119" s="22"/>
      <c r="Y119" s="22"/>
      <c r="Z119" s="21"/>
      <c r="AA119" s="20">
        <f t="shared" si="36"/>
        <v>0</v>
      </c>
      <c r="AB119" s="19">
        <f t="shared" si="37"/>
        <v>0</v>
      </c>
      <c r="AC119" s="16">
        <v>20</v>
      </c>
      <c r="AD119" s="18"/>
      <c r="AE119" s="17"/>
      <c r="AF119" s="23">
        <f t="shared" si="38"/>
        <v>15</v>
      </c>
      <c r="AG119" s="16">
        <v>45</v>
      </c>
      <c r="AH119" s="23">
        <f t="shared" si="39"/>
        <v>80</v>
      </c>
      <c r="AI119" s="14">
        <f t="shared" si="40"/>
        <v>0.93</v>
      </c>
      <c r="AJ119" s="13"/>
      <c r="AK119" s="12">
        <v>0.01</v>
      </c>
      <c r="AL119" s="11">
        <f t="shared" si="41"/>
        <v>1.01</v>
      </c>
      <c r="AM119" s="10">
        <f t="shared" si="42"/>
        <v>5441403000</v>
      </c>
      <c r="AN119" s="9"/>
      <c r="AO119" s="8"/>
      <c r="AP119" s="8"/>
      <c r="AQ119" s="8"/>
      <c r="AR119" s="8"/>
      <c r="AS119" s="7"/>
      <c r="AT119" s="6">
        <f t="shared" si="43"/>
        <v>0</v>
      </c>
    </row>
    <row r="120" spans="1:46" s="37" customFormat="1" ht="45.75" customHeight="1" thickBot="1" x14ac:dyDescent="0.2">
      <c r="A120" s="36"/>
      <c r="B120" s="35"/>
      <c r="C120" s="34"/>
      <c r="D120" s="34"/>
      <c r="E120" s="34"/>
      <c r="F120" s="34"/>
      <c r="G120" s="33"/>
      <c r="H120" s="32"/>
      <c r="I120" s="31">
        <v>0.51</v>
      </c>
      <c r="J120" s="30">
        <v>0.49</v>
      </c>
      <c r="K120" s="29"/>
      <c r="L120" s="28"/>
      <c r="M120" s="27"/>
      <c r="N120" s="26">
        <f t="shared" si="33"/>
        <v>1</v>
      </c>
      <c r="O120" s="25">
        <v>15</v>
      </c>
      <c r="P120" s="23">
        <v>15</v>
      </c>
      <c r="Q120" s="24"/>
      <c r="R120" s="24"/>
      <c r="S120" s="23"/>
      <c r="T120" s="20">
        <f t="shared" si="34"/>
        <v>15</v>
      </c>
      <c r="U120" s="19">
        <f t="shared" si="35"/>
        <v>15</v>
      </c>
      <c r="V120" s="22"/>
      <c r="W120" s="22"/>
      <c r="X120" s="22"/>
      <c r="Y120" s="22"/>
      <c r="Z120" s="21"/>
      <c r="AA120" s="20">
        <f t="shared" si="36"/>
        <v>0</v>
      </c>
      <c r="AB120" s="19">
        <f t="shared" si="37"/>
        <v>0</v>
      </c>
      <c r="AC120" s="16">
        <v>20</v>
      </c>
      <c r="AD120" s="18"/>
      <c r="AE120" s="17"/>
      <c r="AF120" s="23">
        <f t="shared" si="38"/>
        <v>15</v>
      </c>
      <c r="AG120" s="16">
        <v>45</v>
      </c>
      <c r="AH120" s="23">
        <f t="shared" si="39"/>
        <v>80</v>
      </c>
      <c r="AI120" s="14">
        <f t="shared" si="40"/>
        <v>0.93</v>
      </c>
      <c r="AJ120" s="13"/>
      <c r="AK120" s="12">
        <v>0.01</v>
      </c>
      <c r="AL120" s="11">
        <f t="shared" si="41"/>
        <v>1.01</v>
      </c>
      <c r="AM120" s="10">
        <f t="shared" si="42"/>
        <v>5441403000</v>
      </c>
      <c r="AN120" s="9"/>
      <c r="AO120" s="8"/>
      <c r="AP120" s="8"/>
      <c r="AQ120" s="8"/>
      <c r="AR120" s="8"/>
      <c r="AS120" s="7"/>
      <c r="AT120" s="6">
        <f t="shared" si="43"/>
        <v>0</v>
      </c>
    </row>
    <row r="121" spans="1:46" s="37" customFormat="1" ht="45.75" customHeight="1" thickBot="1" x14ac:dyDescent="0.2">
      <c r="A121" s="36"/>
      <c r="B121" s="35"/>
      <c r="C121" s="34"/>
      <c r="D121" s="34"/>
      <c r="E121" s="34"/>
      <c r="F121" s="34"/>
      <c r="G121" s="33"/>
      <c r="H121" s="32"/>
      <c r="I121" s="31">
        <v>0.51</v>
      </c>
      <c r="J121" s="30">
        <v>0.49</v>
      </c>
      <c r="K121" s="29"/>
      <c r="L121" s="28"/>
      <c r="M121" s="27"/>
      <c r="N121" s="26">
        <f t="shared" si="33"/>
        <v>1</v>
      </c>
      <c r="O121" s="25">
        <v>15</v>
      </c>
      <c r="P121" s="23">
        <v>15</v>
      </c>
      <c r="Q121" s="24"/>
      <c r="R121" s="24"/>
      <c r="S121" s="23"/>
      <c r="T121" s="20">
        <f t="shared" si="34"/>
        <v>15</v>
      </c>
      <c r="U121" s="19">
        <f t="shared" si="35"/>
        <v>15</v>
      </c>
      <c r="V121" s="22"/>
      <c r="W121" s="22"/>
      <c r="X121" s="22"/>
      <c r="Y121" s="22"/>
      <c r="Z121" s="21"/>
      <c r="AA121" s="20">
        <f t="shared" si="36"/>
        <v>0</v>
      </c>
      <c r="AB121" s="19">
        <f t="shared" si="37"/>
        <v>0</v>
      </c>
      <c r="AC121" s="16">
        <v>20</v>
      </c>
      <c r="AD121" s="18"/>
      <c r="AE121" s="17"/>
      <c r="AF121" s="23">
        <f t="shared" si="38"/>
        <v>15</v>
      </c>
      <c r="AG121" s="16">
        <v>45</v>
      </c>
      <c r="AH121" s="23">
        <f t="shared" si="39"/>
        <v>80</v>
      </c>
      <c r="AI121" s="14">
        <f t="shared" si="40"/>
        <v>0.93</v>
      </c>
      <c r="AJ121" s="13"/>
      <c r="AK121" s="12">
        <v>0.01</v>
      </c>
      <c r="AL121" s="11">
        <f t="shared" si="41"/>
        <v>1.01</v>
      </c>
      <c r="AM121" s="10">
        <f t="shared" si="42"/>
        <v>5441403000</v>
      </c>
      <c r="AN121" s="9"/>
      <c r="AO121" s="8"/>
      <c r="AP121" s="8"/>
      <c r="AQ121" s="8"/>
      <c r="AR121" s="8"/>
      <c r="AS121" s="7"/>
      <c r="AT121" s="6">
        <f t="shared" si="43"/>
        <v>0</v>
      </c>
    </row>
    <row r="122" spans="1:46" s="37" customFormat="1" ht="45.75" customHeight="1" thickBot="1" x14ac:dyDescent="0.2">
      <c r="A122" s="36"/>
      <c r="B122" s="35"/>
      <c r="C122" s="34"/>
      <c r="D122" s="34"/>
      <c r="E122" s="34"/>
      <c r="F122" s="34"/>
      <c r="G122" s="33"/>
      <c r="H122" s="32"/>
      <c r="I122" s="31">
        <v>0.51</v>
      </c>
      <c r="J122" s="30">
        <v>0.49</v>
      </c>
      <c r="K122" s="29"/>
      <c r="L122" s="28"/>
      <c r="M122" s="27"/>
      <c r="N122" s="26">
        <f t="shared" si="33"/>
        <v>1</v>
      </c>
      <c r="O122" s="25">
        <v>15</v>
      </c>
      <c r="P122" s="23">
        <v>15</v>
      </c>
      <c r="Q122" s="24"/>
      <c r="R122" s="24"/>
      <c r="S122" s="23"/>
      <c r="T122" s="20">
        <f t="shared" si="34"/>
        <v>15</v>
      </c>
      <c r="U122" s="19">
        <f t="shared" si="35"/>
        <v>15</v>
      </c>
      <c r="V122" s="22"/>
      <c r="W122" s="22"/>
      <c r="X122" s="22"/>
      <c r="Y122" s="22"/>
      <c r="Z122" s="21"/>
      <c r="AA122" s="20">
        <f t="shared" si="36"/>
        <v>0</v>
      </c>
      <c r="AB122" s="19">
        <f t="shared" si="37"/>
        <v>0</v>
      </c>
      <c r="AC122" s="16">
        <v>20</v>
      </c>
      <c r="AD122" s="18"/>
      <c r="AE122" s="17"/>
      <c r="AF122" s="23">
        <f t="shared" si="38"/>
        <v>15</v>
      </c>
      <c r="AG122" s="16">
        <v>45</v>
      </c>
      <c r="AH122" s="23">
        <f t="shared" si="39"/>
        <v>80</v>
      </c>
      <c r="AI122" s="14">
        <f t="shared" si="40"/>
        <v>0.93</v>
      </c>
      <c r="AJ122" s="13"/>
      <c r="AK122" s="12">
        <v>0.01</v>
      </c>
      <c r="AL122" s="11">
        <f t="shared" si="41"/>
        <v>1.01</v>
      </c>
      <c r="AM122" s="10">
        <f t="shared" si="42"/>
        <v>5441403000</v>
      </c>
      <c r="AN122" s="9"/>
      <c r="AO122" s="8"/>
      <c r="AP122" s="8"/>
      <c r="AQ122" s="8"/>
      <c r="AR122" s="8"/>
      <c r="AS122" s="7"/>
      <c r="AT122" s="6">
        <f t="shared" si="43"/>
        <v>0</v>
      </c>
    </row>
    <row r="123" spans="1:46" s="37" customFormat="1" ht="45.75" customHeight="1" thickBot="1" x14ac:dyDescent="0.2">
      <c r="A123" s="36"/>
      <c r="B123" s="35"/>
      <c r="C123" s="34"/>
      <c r="D123" s="34"/>
      <c r="E123" s="34"/>
      <c r="F123" s="34"/>
      <c r="G123" s="33"/>
      <c r="H123" s="32"/>
      <c r="I123" s="31">
        <v>0.51</v>
      </c>
      <c r="J123" s="30">
        <v>0.49</v>
      </c>
      <c r="K123" s="29"/>
      <c r="L123" s="28"/>
      <c r="M123" s="27"/>
      <c r="N123" s="26">
        <f t="shared" si="33"/>
        <v>1</v>
      </c>
      <c r="O123" s="25">
        <v>15</v>
      </c>
      <c r="P123" s="23">
        <v>15</v>
      </c>
      <c r="Q123" s="24"/>
      <c r="R123" s="24"/>
      <c r="S123" s="23"/>
      <c r="T123" s="20">
        <f t="shared" si="34"/>
        <v>15</v>
      </c>
      <c r="U123" s="19">
        <f t="shared" si="35"/>
        <v>15</v>
      </c>
      <c r="V123" s="22"/>
      <c r="W123" s="22"/>
      <c r="X123" s="22"/>
      <c r="Y123" s="22"/>
      <c r="Z123" s="21"/>
      <c r="AA123" s="20">
        <f t="shared" si="36"/>
        <v>0</v>
      </c>
      <c r="AB123" s="19">
        <f t="shared" si="37"/>
        <v>0</v>
      </c>
      <c r="AC123" s="16">
        <v>20</v>
      </c>
      <c r="AD123" s="18"/>
      <c r="AE123" s="17"/>
      <c r="AF123" s="23">
        <f t="shared" si="38"/>
        <v>15</v>
      </c>
      <c r="AG123" s="16">
        <v>45</v>
      </c>
      <c r="AH123" s="23">
        <f t="shared" si="39"/>
        <v>80</v>
      </c>
      <c r="AI123" s="14">
        <f t="shared" si="40"/>
        <v>0.93</v>
      </c>
      <c r="AJ123" s="13"/>
      <c r="AK123" s="12">
        <v>0.01</v>
      </c>
      <c r="AL123" s="11">
        <f t="shared" si="41"/>
        <v>1.01</v>
      </c>
      <c r="AM123" s="10">
        <f t="shared" si="42"/>
        <v>5441403000</v>
      </c>
      <c r="AN123" s="9"/>
      <c r="AO123" s="8"/>
      <c r="AP123" s="8"/>
      <c r="AQ123" s="8"/>
      <c r="AR123" s="8"/>
      <c r="AS123" s="7"/>
      <c r="AT123" s="6">
        <f t="shared" si="43"/>
        <v>0</v>
      </c>
    </row>
    <row r="124" spans="1:46" s="37" customFormat="1" ht="45.75" customHeight="1" thickBot="1" x14ac:dyDescent="0.2">
      <c r="A124" s="36"/>
      <c r="B124" s="35"/>
      <c r="C124" s="34"/>
      <c r="D124" s="34"/>
      <c r="E124" s="34"/>
      <c r="F124" s="34"/>
      <c r="G124" s="33"/>
      <c r="H124" s="32"/>
      <c r="I124" s="31">
        <v>0.51</v>
      </c>
      <c r="J124" s="30">
        <v>0.49</v>
      </c>
      <c r="K124" s="29"/>
      <c r="L124" s="28"/>
      <c r="M124" s="27"/>
      <c r="N124" s="26">
        <f t="shared" si="33"/>
        <v>1</v>
      </c>
      <c r="O124" s="25">
        <v>15</v>
      </c>
      <c r="P124" s="23">
        <v>15</v>
      </c>
      <c r="Q124" s="24"/>
      <c r="R124" s="24"/>
      <c r="S124" s="23"/>
      <c r="T124" s="20">
        <f t="shared" si="34"/>
        <v>15</v>
      </c>
      <c r="U124" s="19">
        <f t="shared" si="35"/>
        <v>15</v>
      </c>
      <c r="V124" s="22"/>
      <c r="W124" s="22"/>
      <c r="X124" s="22"/>
      <c r="Y124" s="22"/>
      <c r="Z124" s="21"/>
      <c r="AA124" s="20">
        <f t="shared" si="36"/>
        <v>0</v>
      </c>
      <c r="AB124" s="19">
        <f t="shared" si="37"/>
        <v>0</v>
      </c>
      <c r="AC124" s="16">
        <v>20</v>
      </c>
      <c r="AD124" s="18"/>
      <c r="AE124" s="17"/>
      <c r="AF124" s="23">
        <f t="shared" si="38"/>
        <v>15</v>
      </c>
      <c r="AG124" s="16">
        <v>45</v>
      </c>
      <c r="AH124" s="23">
        <f t="shared" si="39"/>
        <v>80</v>
      </c>
      <c r="AI124" s="14">
        <f t="shared" si="40"/>
        <v>0.93</v>
      </c>
      <c r="AJ124" s="13"/>
      <c r="AK124" s="12">
        <v>0.01</v>
      </c>
      <c r="AL124" s="11">
        <f t="shared" si="41"/>
        <v>1.01</v>
      </c>
      <c r="AM124" s="10">
        <f t="shared" si="42"/>
        <v>5441403000</v>
      </c>
      <c r="AN124" s="9"/>
      <c r="AO124" s="8"/>
      <c r="AP124" s="8"/>
      <c r="AQ124" s="8"/>
      <c r="AR124" s="8"/>
      <c r="AS124" s="7"/>
      <c r="AT124" s="6">
        <f t="shared" si="43"/>
        <v>0</v>
      </c>
    </row>
    <row r="125" spans="1:46" s="37" customFormat="1" ht="45.75" customHeight="1" thickBot="1" x14ac:dyDescent="0.2">
      <c r="A125" s="36"/>
      <c r="B125" s="35"/>
      <c r="C125" s="34"/>
      <c r="D125" s="34"/>
      <c r="E125" s="34"/>
      <c r="F125" s="34"/>
      <c r="G125" s="33"/>
      <c r="H125" s="32"/>
      <c r="I125" s="31">
        <v>0.51</v>
      </c>
      <c r="J125" s="30">
        <v>0.49</v>
      </c>
      <c r="K125" s="29"/>
      <c r="L125" s="28"/>
      <c r="M125" s="27"/>
      <c r="N125" s="26">
        <f t="shared" si="33"/>
        <v>1</v>
      </c>
      <c r="O125" s="25">
        <v>15</v>
      </c>
      <c r="P125" s="23">
        <v>15</v>
      </c>
      <c r="Q125" s="24"/>
      <c r="R125" s="24"/>
      <c r="S125" s="23"/>
      <c r="T125" s="20">
        <f t="shared" si="34"/>
        <v>15</v>
      </c>
      <c r="U125" s="19">
        <f t="shared" si="35"/>
        <v>15</v>
      </c>
      <c r="V125" s="22"/>
      <c r="W125" s="22"/>
      <c r="X125" s="22"/>
      <c r="Y125" s="22"/>
      <c r="Z125" s="21"/>
      <c r="AA125" s="20">
        <f t="shared" si="36"/>
        <v>0</v>
      </c>
      <c r="AB125" s="19">
        <f t="shared" si="37"/>
        <v>0</v>
      </c>
      <c r="AC125" s="16">
        <v>20</v>
      </c>
      <c r="AD125" s="18"/>
      <c r="AE125" s="17"/>
      <c r="AF125" s="23">
        <f t="shared" si="38"/>
        <v>15</v>
      </c>
      <c r="AG125" s="16">
        <v>45</v>
      </c>
      <c r="AH125" s="23">
        <f t="shared" si="39"/>
        <v>80</v>
      </c>
      <c r="AI125" s="14">
        <f t="shared" si="40"/>
        <v>0.93</v>
      </c>
      <c r="AJ125" s="13"/>
      <c r="AK125" s="12">
        <v>0.01</v>
      </c>
      <c r="AL125" s="11">
        <f t="shared" si="41"/>
        <v>1.01</v>
      </c>
      <c r="AM125" s="10">
        <f t="shared" si="42"/>
        <v>5441403000</v>
      </c>
      <c r="AN125" s="9"/>
      <c r="AO125" s="8"/>
      <c r="AP125" s="8"/>
      <c r="AQ125" s="8"/>
      <c r="AR125" s="8"/>
      <c r="AS125" s="7"/>
      <c r="AT125" s="6">
        <f t="shared" si="43"/>
        <v>0</v>
      </c>
    </row>
    <row r="126" spans="1:46" s="37" customFormat="1" ht="45.75" customHeight="1" thickBot="1" x14ac:dyDescent="0.2">
      <c r="A126" s="36"/>
      <c r="B126" s="35"/>
      <c r="C126" s="34"/>
      <c r="D126" s="34"/>
      <c r="E126" s="34"/>
      <c r="F126" s="34"/>
      <c r="G126" s="33"/>
      <c r="H126" s="32"/>
      <c r="I126" s="31">
        <v>0.51</v>
      </c>
      <c r="J126" s="30">
        <v>0.49</v>
      </c>
      <c r="K126" s="29"/>
      <c r="L126" s="28"/>
      <c r="M126" s="27"/>
      <c r="N126" s="26">
        <f t="shared" si="33"/>
        <v>1</v>
      </c>
      <c r="O126" s="25">
        <v>15</v>
      </c>
      <c r="P126" s="23">
        <v>15</v>
      </c>
      <c r="Q126" s="24"/>
      <c r="R126" s="24"/>
      <c r="S126" s="23"/>
      <c r="T126" s="20">
        <f t="shared" si="34"/>
        <v>15</v>
      </c>
      <c r="U126" s="19">
        <f t="shared" si="35"/>
        <v>15</v>
      </c>
      <c r="V126" s="22"/>
      <c r="W126" s="22"/>
      <c r="X126" s="22"/>
      <c r="Y126" s="22"/>
      <c r="Z126" s="21"/>
      <c r="AA126" s="20">
        <f t="shared" si="36"/>
        <v>0</v>
      </c>
      <c r="AB126" s="19">
        <f t="shared" si="37"/>
        <v>0</v>
      </c>
      <c r="AC126" s="16">
        <v>20</v>
      </c>
      <c r="AD126" s="18"/>
      <c r="AE126" s="17"/>
      <c r="AF126" s="23">
        <f t="shared" si="38"/>
        <v>15</v>
      </c>
      <c r="AG126" s="16">
        <v>45</v>
      </c>
      <c r="AH126" s="23">
        <f t="shared" si="39"/>
        <v>80</v>
      </c>
      <c r="AI126" s="14">
        <f t="shared" si="40"/>
        <v>0.93</v>
      </c>
      <c r="AJ126" s="13"/>
      <c r="AK126" s="12">
        <v>0.01</v>
      </c>
      <c r="AL126" s="11">
        <f t="shared" si="41"/>
        <v>1.01</v>
      </c>
      <c r="AM126" s="10">
        <f t="shared" si="42"/>
        <v>5441403000</v>
      </c>
      <c r="AN126" s="9"/>
      <c r="AO126" s="8"/>
      <c r="AP126" s="8"/>
      <c r="AQ126" s="8"/>
      <c r="AR126" s="8"/>
      <c r="AS126" s="7"/>
      <c r="AT126" s="6">
        <f t="shared" si="43"/>
        <v>0</v>
      </c>
    </row>
    <row r="127" spans="1:46" s="37" customFormat="1" ht="45.75" customHeight="1" thickBot="1" x14ac:dyDescent="0.2">
      <c r="A127" s="36"/>
      <c r="B127" s="35"/>
      <c r="C127" s="34"/>
      <c r="D127" s="34"/>
      <c r="E127" s="34"/>
      <c r="F127" s="34"/>
      <c r="G127" s="33"/>
      <c r="H127" s="32"/>
      <c r="I127" s="31">
        <v>0.51</v>
      </c>
      <c r="J127" s="30">
        <v>0.49</v>
      </c>
      <c r="K127" s="29"/>
      <c r="L127" s="28"/>
      <c r="M127" s="27"/>
      <c r="N127" s="26">
        <f t="shared" si="33"/>
        <v>1</v>
      </c>
      <c r="O127" s="25">
        <v>15</v>
      </c>
      <c r="P127" s="23">
        <v>15</v>
      </c>
      <c r="Q127" s="24"/>
      <c r="R127" s="24"/>
      <c r="S127" s="23"/>
      <c r="T127" s="20">
        <f t="shared" si="34"/>
        <v>15</v>
      </c>
      <c r="U127" s="19">
        <f t="shared" si="35"/>
        <v>15</v>
      </c>
      <c r="V127" s="22"/>
      <c r="W127" s="22"/>
      <c r="X127" s="22"/>
      <c r="Y127" s="22"/>
      <c r="Z127" s="21"/>
      <c r="AA127" s="20">
        <f t="shared" si="36"/>
        <v>0</v>
      </c>
      <c r="AB127" s="19">
        <f t="shared" si="37"/>
        <v>0</v>
      </c>
      <c r="AC127" s="16">
        <v>20</v>
      </c>
      <c r="AD127" s="18"/>
      <c r="AE127" s="17"/>
      <c r="AF127" s="23">
        <f t="shared" si="38"/>
        <v>15</v>
      </c>
      <c r="AG127" s="16">
        <v>45</v>
      </c>
      <c r="AH127" s="23">
        <f t="shared" si="39"/>
        <v>80</v>
      </c>
      <c r="AI127" s="14">
        <f t="shared" si="40"/>
        <v>0.93</v>
      </c>
      <c r="AJ127" s="13"/>
      <c r="AK127" s="12">
        <v>0.01</v>
      </c>
      <c r="AL127" s="11">
        <f t="shared" si="41"/>
        <v>1.01</v>
      </c>
      <c r="AM127" s="10">
        <f t="shared" si="42"/>
        <v>5441403000</v>
      </c>
      <c r="AN127" s="9"/>
      <c r="AO127" s="8"/>
      <c r="AP127" s="8"/>
      <c r="AQ127" s="8"/>
      <c r="AR127" s="8"/>
      <c r="AS127" s="7"/>
      <c r="AT127" s="6">
        <f t="shared" si="43"/>
        <v>0</v>
      </c>
    </row>
    <row r="128" spans="1:46" s="37" customFormat="1" ht="45.75" customHeight="1" thickBot="1" x14ac:dyDescent="0.2">
      <c r="A128" s="36"/>
      <c r="B128" s="35"/>
      <c r="C128" s="34"/>
      <c r="D128" s="34"/>
      <c r="E128" s="34"/>
      <c r="F128" s="34"/>
      <c r="G128" s="33"/>
      <c r="H128" s="32"/>
      <c r="I128" s="31">
        <v>0.51</v>
      </c>
      <c r="J128" s="30">
        <v>0.49</v>
      </c>
      <c r="K128" s="29"/>
      <c r="L128" s="28"/>
      <c r="M128" s="27"/>
      <c r="N128" s="26">
        <f t="shared" si="33"/>
        <v>1</v>
      </c>
      <c r="O128" s="25">
        <v>15</v>
      </c>
      <c r="P128" s="23">
        <v>15</v>
      </c>
      <c r="Q128" s="24"/>
      <c r="R128" s="24"/>
      <c r="S128" s="23"/>
      <c r="T128" s="20">
        <f t="shared" si="34"/>
        <v>15</v>
      </c>
      <c r="U128" s="19">
        <f t="shared" si="35"/>
        <v>15</v>
      </c>
      <c r="V128" s="22"/>
      <c r="W128" s="22"/>
      <c r="X128" s="22"/>
      <c r="Y128" s="22"/>
      <c r="Z128" s="21"/>
      <c r="AA128" s="20">
        <f t="shared" si="36"/>
        <v>0</v>
      </c>
      <c r="AB128" s="19">
        <f t="shared" si="37"/>
        <v>0</v>
      </c>
      <c r="AC128" s="16">
        <v>20</v>
      </c>
      <c r="AD128" s="18"/>
      <c r="AE128" s="17"/>
      <c r="AF128" s="23">
        <f t="shared" si="38"/>
        <v>15</v>
      </c>
      <c r="AG128" s="16">
        <v>45</v>
      </c>
      <c r="AH128" s="23">
        <f t="shared" si="39"/>
        <v>80</v>
      </c>
      <c r="AI128" s="14">
        <f t="shared" si="40"/>
        <v>0.93</v>
      </c>
      <c r="AJ128" s="13"/>
      <c r="AK128" s="12">
        <v>0.01</v>
      </c>
      <c r="AL128" s="11">
        <f t="shared" si="41"/>
        <v>1.01</v>
      </c>
      <c r="AM128" s="10">
        <f t="shared" si="42"/>
        <v>5441403000</v>
      </c>
      <c r="AN128" s="9"/>
      <c r="AO128" s="8"/>
      <c r="AP128" s="8"/>
      <c r="AQ128" s="8"/>
      <c r="AR128" s="8"/>
      <c r="AS128" s="7"/>
      <c r="AT128" s="6">
        <f t="shared" si="43"/>
        <v>0</v>
      </c>
    </row>
    <row r="129" spans="1:46" s="37" customFormat="1" ht="45.75" customHeight="1" thickBot="1" x14ac:dyDescent="0.2">
      <c r="A129" s="36"/>
      <c r="B129" s="35"/>
      <c r="C129" s="34"/>
      <c r="D129" s="34"/>
      <c r="E129" s="34"/>
      <c r="F129" s="34"/>
      <c r="G129" s="33"/>
      <c r="H129" s="32"/>
      <c r="I129" s="31">
        <v>0.51</v>
      </c>
      <c r="J129" s="30">
        <v>0.49</v>
      </c>
      <c r="K129" s="29"/>
      <c r="L129" s="28"/>
      <c r="M129" s="27"/>
      <c r="N129" s="26">
        <f t="shared" si="33"/>
        <v>1</v>
      </c>
      <c r="O129" s="25">
        <v>15</v>
      </c>
      <c r="P129" s="23">
        <v>15</v>
      </c>
      <c r="Q129" s="24"/>
      <c r="R129" s="24"/>
      <c r="S129" s="23"/>
      <c r="T129" s="20">
        <f t="shared" si="34"/>
        <v>15</v>
      </c>
      <c r="U129" s="19">
        <f t="shared" si="35"/>
        <v>15</v>
      </c>
      <c r="V129" s="22"/>
      <c r="W129" s="22"/>
      <c r="X129" s="22"/>
      <c r="Y129" s="22"/>
      <c r="Z129" s="21"/>
      <c r="AA129" s="20">
        <f t="shared" si="36"/>
        <v>0</v>
      </c>
      <c r="AB129" s="19">
        <f t="shared" si="37"/>
        <v>0</v>
      </c>
      <c r="AC129" s="16">
        <v>20</v>
      </c>
      <c r="AD129" s="18"/>
      <c r="AE129" s="17"/>
      <c r="AF129" s="23">
        <f t="shared" si="38"/>
        <v>15</v>
      </c>
      <c r="AG129" s="16">
        <v>45</v>
      </c>
      <c r="AH129" s="23">
        <f t="shared" si="39"/>
        <v>80</v>
      </c>
      <c r="AI129" s="14">
        <f t="shared" si="40"/>
        <v>0.93</v>
      </c>
      <c r="AJ129" s="13"/>
      <c r="AK129" s="12">
        <v>0.01</v>
      </c>
      <c r="AL129" s="11">
        <f t="shared" si="41"/>
        <v>1.01</v>
      </c>
      <c r="AM129" s="10">
        <f t="shared" si="42"/>
        <v>5441403000</v>
      </c>
      <c r="AN129" s="9"/>
      <c r="AO129" s="8"/>
      <c r="AP129" s="8"/>
      <c r="AQ129" s="8"/>
      <c r="AR129" s="8"/>
      <c r="AS129" s="7"/>
      <c r="AT129" s="6">
        <f t="shared" si="43"/>
        <v>0</v>
      </c>
    </row>
    <row r="130" spans="1:46" s="37" customFormat="1" ht="45.75" customHeight="1" thickBot="1" x14ac:dyDescent="0.2">
      <c r="A130" s="36"/>
      <c r="B130" s="35"/>
      <c r="C130" s="34"/>
      <c r="D130" s="34"/>
      <c r="E130" s="34"/>
      <c r="F130" s="34"/>
      <c r="G130" s="33"/>
      <c r="H130" s="32"/>
      <c r="I130" s="31">
        <v>0.51</v>
      </c>
      <c r="J130" s="30">
        <v>0.49</v>
      </c>
      <c r="K130" s="29"/>
      <c r="L130" s="28"/>
      <c r="M130" s="27"/>
      <c r="N130" s="26">
        <f t="shared" si="33"/>
        <v>1</v>
      </c>
      <c r="O130" s="25">
        <v>15</v>
      </c>
      <c r="P130" s="23">
        <v>15</v>
      </c>
      <c r="Q130" s="24"/>
      <c r="R130" s="24"/>
      <c r="S130" s="23"/>
      <c r="T130" s="20">
        <f t="shared" si="34"/>
        <v>15</v>
      </c>
      <c r="U130" s="19">
        <f t="shared" si="35"/>
        <v>15</v>
      </c>
      <c r="V130" s="22"/>
      <c r="W130" s="22"/>
      <c r="X130" s="22"/>
      <c r="Y130" s="22"/>
      <c r="Z130" s="21"/>
      <c r="AA130" s="20">
        <f t="shared" si="36"/>
        <v>0</v>
      </c>
      <c r="AB130" s="19">
        <f t="shared" si="37"/>
        <v>0</v>
      </c>
      <c r="AC130" s="16">
        <v>20</v>
      </c>
      <c r="AD130" s="18"/>
      <c r="AE130" s="17"/>
      <c r="AF130" s="23">
        <f t="shared" si="38"/>
        <v>15</v>
      </c>
      <c r="AG130" s="16">
        <v>45</v>
      </c>
      <c r="AH130" s="23">
        <f t="shared" si="39"/>
        <v>80</v>
      </c>
      <c r="AI130" s="14">
        <f t="shared" si="40"/>
        <v>0.93</v>
      </c>
      <c r="AJ130" s="13"/>
      <c r="AK130" s="12">
        <v>0.01</v>
      </c>
      <c r="AL130" s="11">
        <f t="shared" si="41"/>
        <v>1.01</v>
      </c>
      <c r="AM130" s="10">
        <f t="shared" si="42"/>
        <v>5441403000</v>
      </c>
      <c r="AN130" s="9"/>
      <c r="AO130" s="8"/>
      <c r="AP130" s="8"/>
      <c r="AQ130" s="8"/>
      <c r="AR130" s="8"/>
      <c r="AS130" s="7"/>
      <c r="AT130" s="6">
        <f t="shared" si="43"/>
        <v>0</v>
      </c>
    </row>
    <row r="131" spans="1:46" s="37" customFormat="1" ht="45.75" customHeight="1" thickBot="1" x14ac:dyDescent="0.2">
      <c r="A131" s="36"/>
      <c r="B131" s="35"/>
      <c r="C131" s="34"/>
      <c r="D131" s="34"/>
      <c r="E131" s="34"/>
      <c r="F131" s="34"/>
      <c r="G131" s="33"/>
      <c r="H131" s="32"/>
      <c r="I131" s="31">
        <v>0.51</v>
      </c>
      <c r="J131" s="30">
        <v>0.49</v>
      </c>
      <c r="K131" s="29"/>
      <c r="L131" s="28"/>
      <c r="M131" s="27"/>
      <c r="N131" s="26">
        <f t="shared" si="33"/>
        <v>1</v>
      </c>
      <c r="O131" s="25">
        <v>15</v>
      </c>
      <c r="P131" s="23">
        <v>15</v>
      </c>
      <c r="Q131" s="24"/>
      <c r="R131" s="24"/>
      <c r="S131" s="23"/>
      <c r="T131" s="20">
        <f t="shared" si="34"/>
        <v>15</v>
      </c>
      <c r="U131" s="19">
        <f t="shared" si="35"/>
        <v>15</v>
      </c>
      <c r="V131" s="22"/>
      <c r="W131" s="22"/>
      <c r="X131" s="22"/>
      <c r="Y131" s="22"/>
      <c r="Z131" s="21"/>
      <c r="AA131" s="20">
        <f t="shared" si="36"/>
        <v>0</v>
      </c>
      <c r="AB131" s="19">
        <f t="shared" si="37"/>
        <v>0</v>
      </c>
      <c r="AC131" s="16">
        <v>20</v>
      </c>
      <c r="AD131" s="18"/>
      <c r="AE131" s="17"/>
      <c r="AF131" s="23">
        <f t="shared" si="38"/>
        <v>15</v>
      </c>
      <c r="AG131" s="16">
        <v>45</v>
      </c>
      <c r="AH131" s="23">
        <f t="shared" si="39"/>
        <v>80</v>
      </c>
      <c r="AI131" s="14">
        <f t="shared" si="40"/>
        <v>0.93</v>
      </c>
      <c r="AJ131" s="13"/>
      <c r="AK131" s="12">
        <v>0.01</v>
      </c>
      <c r="AL131" s="11">
        <f t="shared" si="41"/>
        <v>1.01</v>
      </c>
      <c r="AM131" s="10">
        <f t="shared" si="42"/>
        <v>5441403000</v>
      </c>
      <c r="AN131" s="9"/>
      <c r="AO131" s="8"/>
      <c r="AP131" s="8"/>
      <c r="AQ131" s="8"/>
      <c r="AR131" s="8"/>
      <c r="AS131" s="7"/>
      <c r="AT131" s="6">
        <f t="shared" si="43"/>
        <v>0</v>
      </c>
    </row>
    <row r="132" spans="1:46" s="37" customFormat="1" ht="45.75" customHeight="1" thickBot="1" x14ac:dyDescent="0.2">
      <c r="A132" s="36"/>
      <c r="B132" s="35"/>
      <c r="C132" s="34"/>
      <c r="D132" s="34"/>
      <c r="E132" s="34"/>
      <c r="F132" s="34"/>
      <c r="G132" s="33"/>
      <c r="H132" s="32"/>
      <c r="I132" s="31">
        <v>0.51</v>
      </c>
      <c r="J132" s="30">
        <v>0.49</v>
      </c>
      <c r="K132" s="29"/>
      <c r="L132" s="28"/>
      <c r="M132" s="27"/>
      <c r="N132" s="26">
        <f t="shared" si="33"/>
        <v>1</v>
      </c>
      <c r="O132" s="25">
        <v>15</v>
      </c>
      <c r="P132" s="23">
        <v>15</v>
      </c>
      <c r="Q132" s="24"/>
      <c r="R132" s="24"/>
      <c r="S132" s="23"/>
      <c r="T132" s="20">
        <f t="shared" si="34"/>
        <v>15</v>
      </c>
      <c r="U132" s="19">
        <f t="shared" si="35"/>
        <v>15</v>
      </c>
      <c r="V132" s="22"/>
      <c r="W132" s="22"/>
      <c r="X132" s="22"/>
      <c r="Y132" s="22"/>
      <c r="Z132" s="21"/>
      <c r="AA132" s="20">
        <f t="shared" si="36"/>
        <v>0</v>
      </c>
      <c r="AB132" s="19">
        <f t="shared" si="37"/>
        <v>0</v>
      </c>
      <c r="AC132" s="16">
        <v>20</v>
      </c>
      <c r="AD132" s="18"/>
      <c r="AE132" s="17"/>
      <c r="AF132" s="23">
        <f t="shared" si="38"/>
        <v>15</v>
      </c>
      <c r="AG132" s="16">
        <v>45</v>
      </c>
      <c r="AH132" s="23">
        <f t="shared" si="39"/>
        <v>80</v>
      </c>
      <c r="AI132" s="14">
        <f t="shared" si="40"/>
        <v>0.93</v>
      </c>
      <c r="AJ132" s="13"/>
      <c r="AK132" s="12">
        <v>0.01</v>
      </c>
      <c r="AL132" s="11">
        <f t="shared" si="41"/>
        <v>1.01</v>
      </c>
      <c r="AM132" s="10">
        <f t="shared" si="42"/>
        <v>5441403000</v>
      </c>
      <c r="AN132" s="9"/>
      <c r="AO132" s="8"/>
      <c r="AP132" s="8"/>
      <c r="AQ132" s="8"/>
      <c r="AR132" s="8"/>
      <c r="AS132" s="7"/>
      <c r="AT132" s="6">
        <f t="shared" si="43"/>
        <v>0</v>
      </c>
    </row>
    <row r="133" spans="1:46" s="37" customFormat="1" ht="45.75" customHeight="1" thickBot="1" x14ac:dyDescent="0.2">
      <c r="A133" s="36"/>
      <c r="B133" s="35"/>
      <c r="C133" s="34"/>
      <c r="D133" s="34"/>
      <c r="E133" s="34"/>
      <c r="F133" s="34"/>
      <c r="G133" s="33"/>
      <c r="H133" s="32"/>
      <c r="I133" s="31">
        <v>0.51</v>
      </c>
      <c r="J133" s="30">
        <v>0.49</v>
      </c>
      <c r="K133" s="29"/>
      <c r="L133" s="28"/>
      <c r="M133" s="27"/>
      <c r="N133" s="26">
        <f t="shared" ref="N133:N140" si="44">SUM(I133:M133)</f>
        <v>1</v>
      </c>
      <c r="O133" s="25">
        <v>15</v>
      </c>
      <c r="P133" s="23">
        <v>15</v>
      </c>
      <c r="Q133" s="24"/>
      <c r="R133" s="24"/>
      <c r="S133" s="23"/>
      <c r="T133" s="20">
        <f t="shared" ref="T133:T140" si="45">ROUND(((O133*I133)+(P133*J133)+(Q133*K133)+(R133*L133)+(S133*M133)),2)</f>
        <v>15</v>
      </c>
      <c r="U133" s="19">
        <f t="shared" ref="U133:U140" si="46">IF(T133&gt;=15,15,T133)</f>
        <v>15</v>
      </c>
      <c r="V133" s="22"/>
      <c r="W133" s="22"/>
      <c r="X133" s="22"/>
      <c r="Y133" s="22"/>
      <c r="Z133" s="21"/>
      <c r="AA133" s="20">
        <f t="shared" ref="AA133:AA140" si="47">ROUND((((V133*I133)+(W133*J133)+(X133*K133)+(Y133*L133)+(Z133*M133))/$I$2*15),2)</f>
        <v>0</v>
      </c>
      <c r="AB133" s="19">
        <f t="shared" ref="AB133:AB140" si="48">IF(AA133&gt;=15,15,AA133)</f>
        <v>0</v>
      </c>
      <c r="AC133" s="16">
        <v>20</v>
      </c>
      <c r="AD133" s="18"/>
      <c r="AE133" s="17"/>
      <c r="AF133" s="23">
        <f t="shared" ref="AF133:AF140" si="49">IF((U133+AB133+AD133)&gt;=30,30,(U133+AB133+AD133))</f>
        <v>15</v>
      </c>
      <c r="AG133" s="16">
        <v>45</v>
      </c>
      <c r="AH133" s="23">
        <f t="shared" ref="AH133:AH140" si="50">AC133+AF133+AG133+AE133</f>
        <v>80</v>
      </c>
      <c r="AI133" s="14">
        <f t="shared" ref="AI133:AI140" si="51">-((50-((176+(45+(30-AF133)))))/200)</f>
        <v>0.93</v>
      </c>
      <c r="AJ133" s="13"/>
      <c r="AK133" s="12">
        <v>0.01</v>
      </c>
      <c r="AL133" s="11">
        <f t="shared" ref="AL133:AL140" si="52">100%+AK133</f>
        <v>1.01</v>
      </c>
      <c r="AM133" s="10">
        <f t="shared" ref="AM133:AM140" si="53">ROUNDUP($D$2*AI133*AL133,-3)</f>
        <v>5441403000</v>
      </c>
      <c r="AN133" s="9"/>
      <c r="AO133" s="8"/>
      <c r="AP133" s="8"/>
      <c r="AQ133" s="8"/>
      <c r="AR133" s="8"/>
      <c r="AS133" s="7"/>
      <c r="AT133" s="6">
        <f t="shared" ref="AT133:AT140" si="54">(AO133*J133)+(AP133*K133)+(AQ133*L133)+(AR133*M133)+(AS133*N133)</f>
        <v>0</v>
      </c>
    </row>
    <row r="134" spans="1:46" s="37" customFormat="1" ht="45.75" customHeight="1" thickBot="1" x14ac:dyDescent="0.2">
      <c r="A134" s="36"/>
      <c r="B134" s="35"/>
      <c r="C134" s="34"/>
      <c r="D134" s="34"/>
      <c r="E134" s="34"/>
      <c r="F134" s="34"/>
      <c r="G134" s="33"/>
      <c r="H134" s="32"/>
      <c r="I134" s="31">
        <v>0.51</v>
      </c>
      <c r="J134" s="30">
        <v>0.49</v>
      </c>
      <c r="K134" s="29"/>
      <c r="L134" s="28"/>
      <c r="M134" s="27"/>
      <c r="N134" s="26">
        <f t="shared" si="44"/>
        <v>1</v>
      </c>
      <c r="O134" s="25">
        <v>15</v>
      </c>
      <c r="P134" s="23">
        <v>15</v>
      </c>
      <c r="Q134" s="24"/>
      <c r="R134" s="24"/>
      <c r="S134" s="23"/>
      <c r="T134" s="20">
        <f t="shared" si="45"/>
        <v>15</v>
      </c>
      <c r="U134" s="19">
        <f t="shared" si="46"/>
        <v>15</v>
      </c>
      <c r="V134" s="22"/>
      <c r="W134" s="22"/>
      <c r="X134" s="22"/>
      <c r="Y134" s="22"/>
      <c r="Z134" s="21"/>
      <c r="AA134" s="20">
        <f t="shared" si="47"/>
        <v>0</v>
      </c>
      <c r="AB134" s="19">
        <f t="shared" si="48"/>
        <v>0</v>
      </c>
      <c r="AC134" s="16">
        <v>20</v>
      </c>
      <c r="AD134" s="18"/>
      <c r="AE134" s="17"/>
      <c r="AF134" s="23">
        <f t="shared" si="49"/>
        <v>15</v>
      </c>
      <c r="AG134" s="16">
        <v>45</v>
      </c>
      <c r="AH134" s="23">
        <f t="shared" si="50"/>
        <v>80</v>
      </c>
      <c r="AI134" s="14">
        <f t="shared" si="51"/>
        <v>0.93</v>
      </c>
      <c r="AJ134" s="13"/>
      <c r="AK134" s="12">
        <v>0.01</v>
      </c>
      <c r="AL134" s="11">
        <f t="shared" si="52"/>
        <v>1.01</v>
      </c>
      <c r="AM134" s="10">
        <f t="shared" si="53"/>
        <v>5441403000</v>
      </c>
      <c r="AN134" s="9"/>
      <c r="AO134" s="8"/>
      <c r="AP134" s="8"/>
      <c r="AQ134" s="8"/>
      <c r="AR134" s="8"/>
      <c r="AS134" s="7"/>
      <c r="AT134" s="6">
        <f t="shared" si="54"/>
        <v>0</v>
      </c>
    </row>
    <row r="135" spans="1:46" s="37" customFormat="1" ht="45.75" customHeight="1" thickBot="1" x14ac:dyDescent="0.2">
      <c r="A135" s="36"/>
      <c r="B135" s="35"/>
      <c r="C135" s="34"/>
      <c r="D135" s="34"/>
      <c r="E135" s="34"/>
      <c r="F135" s="34"/>
      <c r="G135" s="33"/>
      <c r="H135" s="32"/>
      <c r="I135" s="31">
        <v>0.51</v>
      </c>
      <c r="J135" s="30">
        <v>0.49</v>
      </c>
      <c r="K135" s="29"/>
      <c r="L135" s="28"/>
      <c r="M135" s="27"/>
      <c r="N135" s="26">
        <f t="shared" si="44"/>
        <v>1</v>
      </c>
      <c r="O135" s="25">
        <v>15</v>
      </c>
      <c r="P135" s="23">
        <v>15</v>
      </c>
      <c r="Q135" s="24"/>
      <c r="R135" s="24"/>
      <c r="S135" s="23"/>
      <c r="T135" s="20">
        <f t="shared" si="45"/>
        <v>15</v>
      </c>
      <c r="U135" s="19">
        <f t="shared" si="46"/>
        <v>15</v>
      </c>
      <c r="V135" s="22"/>
      <c r="W135" s="22"/>
      <c r="X135" s="22"/>
      <c r="Y135" s="22"/>
      <c r="Z135" s="21"/>
      <c r="AA135" s="20">
        <f t="shared" si="47"/>
        <v>0</v>
      </c>
      <c r="AB135" s="19">
        <f t="shared" si="48"/>
        <v>0</v>
      </c>
      <c r="AC135" s="16">
        <v>20</v>
      </c>
      <c r="AD135" s="18"/>
      <c r="AE135" s="17"/>
      <c r="AF135" s="23">
        <f t="shared" si="49"/>
        <v>15</v>
      </c>
      <c r="AG135" s="16">
        <v>45</v>
      </c>
      <c r="AH135" s="23">
        <f t="shared" si="50"/>
        <v>80</v>
      </c>
      <c r="AI135" s="14">
        <f t="shared" si="51"/>
        <v>0.93</v>
      </c>
      <c r="AJ135" s="13"/>
      <c r="AK135" s="12">
        <v>0.01</v>
      </c>
      <c r="AL135" s="11">
        <f t="shared" si="52"/>
        <v>1.01</v>
      </c>
      <c r="AM135" s="10">
        <f t="shared" si="53"/>
        <v>5441403000</v>
      </c>
      <c r="AN135" s="9"/>
      <c r="AO135" s="8"/>
      <c r="AP135" s="8"/>
      <c r="AQ135" s="8"/>
      <c r="AR135" s="8"/>
      <c r="AS135" s="7"/>
      <c r="AT135" s="6">
        <f t="shared" si="54"/>
        <v>0</v>
      </c>
    </row>
    <row r="136" spans="1:46" s="37" customFormat="1" ht="45.75" customHeight="1" thickBot="1" x14ac:dyDescent="0.2">
      <c r="A136" s="36"/>
      <c r="B136" s="35"/>
      <c r="C136" s="34"/>
      <c r="D136" s="34"/>
      <c r="E136" s="34"/>
      <c r="F136" s="34"/>
      <c r="G136" s="33"/>
      <c r="H136" s="32"/>
      <c r="I136" s="31">
        <v>0.51</v>
      </c>
      <c r="J136" s="30">
        <v>0.49</v>
      </c>
      <c r="K136" s="29"/>
      <c r="L136" s="28"/>
      <c r="M136" s="27"/>
      <c r="N136" s="26">
        <f t="shared" si="44"/>
        <v>1</v>
      </c>
      <c r="O136" s="25">
        <v>15</v>
      </c>
      <c r="P136" s="23">
        <v>15</v>
      </c>
      <c r="Q136" s="24"/>
      <c r="R136" s="24"/>
      <c r="S136" s="23"/>
      <c r="T136" s="20">
        <f t="shared" si="45"/>
        <v>15</v>
      </c>
      <c r="U136" s="19">
        <f t="shared" si="46"/>
        <v>15</v>
      </c>
      <c r="V136" s="22"/>
      <c r="W136" s="22"/>
      <c r="X136" s="22"/>
      <c r="Y136" s="22"/>
      <c r="Z136" s="21"/>
      <c r="AA136" s="20">
        <f t="shared" si="47"/>
        <v>0</v>
      </c>
      <c r="AB136" s="19">
        <f t="shared" si="48"/>
        <v>0</v>
      </c>
      <c r="AC136" s="16">
        <v>20</v>
      </c>
      <c r="AD136" s="18"/>
      <c r="AE136" s="17"/>
      <c r="AF136" s="23">
        <f t="shared" si="49"/>
        <v>15</v>
      </c>
      <c r="AG136" s="16">
        <v>45</v>
      </c>
      <c r="AH136" s="23">
        <f t="shared" si="50"/>
        <v>80</v>
      </c>
      <c r="AI136" s="14">
        <f t="shared" si="51"/>
        <v>0.93</v>
      </c>
      <c r="AJ136" s="13"/>
      <c r="AK136" s="12">
        <v>0.01</v>
      </c>
      <c r="AL136" s="11">
        <f t="shared" si="52"/>
        <v>1.01</v>
      </c>
      <c r="AM136" s="10">
        <f t="shared" si="53"/>
        <v>5441403000</v>
      </c>
      <c r="AN136" s="9"/>
      <c r="AO136" s="8"/>
      <c r="AP136" s="8"/>
      <c r="AQ136" s="8"/>
      <c r="AR136" s="8"/>
      <c r="AS136" s="7"/>
      <c r="AT136" s="6">
        <f t="shared" si="54"/>
        <v>0</v>
      </c>
    </row>
    <row r="137" spans="1:46" s="37" customFormat="1" ht="45.75" customHeight="1" thickBot="1" x14ac:dyDescent="0.2">
      <c r="A137" s="36"/>
      <c r="B137" s="35"/>
      <c r="C137" s="34"/>
      <c r="D137" s="34"/>
      <c r="E137" s="34"/>
      <c r="F137" s="34"/>
      <c r="G137" s="33"/>
      <c r="H137" s="32"/>
      <c r="I137" s="31">
        <v>0.51</v>
      </c>
      <c r="J137" s="30">
        <v>0.49</v>
      </c>
      <c r="K137" s="29"/>
      <c r="L137" s="28"/>
      <c r="M137" s="27"/>
      <c r="N137" s="26">
        <f t="shared" si="44"/>
        <v>1</v>
      </c>
      <c r="O137" s="25">
        <v>15</v>
      </c>
      <c r="P137" s="23">
        <v>15</v>
      </c>
      <c r="Q137" s="24"/>
      <c r="R137" s="24"/>
      <c r="S137" s="23"/>
      <c r="T137" s="20">
        <f t="shared" si="45"/>
        <v>15</v>
      </c>
      <c r="U137" s="19">
        <f t="shared" si="46"/>
        <v>15</v>
      </c>
      <c r="V137" s="22"/>
      <c r="W137" s="22"/>
      <c r="X137" s="22"/>
      <c r="Y137" s="22"/>
      <c r="Z137" s="21"/>
      <c r="AA137" s="20">
        <f t="shared" si="47"/>
        <v>0</v>
      </c>
      <c r="AB137" s="19">
        <f t="shared" si="48"/>
        <v>0</v>
      </c>
      <c r="AC137" s="16">
        <v>20</v>
      </c>
      <c r="AD137" s="18"/>
      <c r="AE137" s="17"/>
      <c r="AF137" s="23">
        <f t="shared" si="49"/>
        <v>15</v>
      </c>
      <c r="AG137" s="16">
        <v>45</v>
      </c>
      <c r="AH137" s="23">
        <f t="shared" si="50"/>
        <v>80</v>
      </c>
      <c r="AI137" s="14">
        <f t="shared" si="51"/>
        <v>0.93</v>
      </c>
      <c r="AJ137" s="13"/>
      <c r="AK137" s="12">
        <v>0.01</v>
      </c>
      <c r="AL137" s="11">
        <f t="shared" si="52"/>
        <v>1.01</v>
      </c>
      <c r="AM137" s="10">
        <f t="shared" si="53"/>
        <v>5441403000</v>
      </c>
      <c r="AN137" s="9"/>
      <c r="AO137" s="8"/>
      <c r="AP137" s="8"/>
      <c r="AQ137" s="8"/>
      <c r="AR137" s="8"/>
      <c r="AS137" s="7"/>
      <c r="AT137" s="6">
        <f t="shared" si="54"/>
        <v>0</v>
      </c>
    </row>
    <row r="138" spans="1:46" s="37" customFormat="1" ht="45.75" customHeight="1" thickBot="1" x14ac:dyDescent="0.2">
      <c r="A138" s="36"/>
      <c r="B138" s="35"/>
      <c r="C138" s="34"/>
      <c r="D138" s="34"/>
      <c r="E138" s="34"/>
      <c r="F138" s="34"/>
      <c r="G138" s="33"/>
      <c r="H138" s="32"/>
      <c r="I138" s="31">
        <v>0.51</v>
      </c>
      <c r="J138" s="30">
        <v>0.49</v>
      </c>
      <c r="K138" s="29"/>
      <c r="L138" s="28"/>
      <c r="M138" s="27"/>
      <c r="N138" s="26">
        <f t="shared" si="44"/>
        <v>1</v>
      </c>
      <c r="O138" s="25">
        <v>15</v>
      </c>
      <c r="P138" s="23">
        <v>15</v>
      </c>
      <c r="Q138" s="24"/>
      <c r="R138" s="24"/>
      <c r="S138" s="23"/>
      <c r="T138" s="20">
        <f t="shared" si="45"/>
        <v>15</v>
      </c>
      <c r="U138" s="19">
        <f t="shared" si="46"/>
        <v>15</v>
      </c>
      <c r="V138" s="22"/>
      <c r="W138" s="22"/>
      <c r="X138" s="22"/>
      <c r="Y138" s="22"/>
      <c r="Z138" s="21"/>
      <c r="AA138" s="20">
        <f t="shared" si="47"/>
        <v>0</v>
      </c>
      <c r="AB138" s="19">
        <f t="shared" si="48"/>
        <v>0</v>
      </c>
      <c r="AC138" s="16">
        <v>20</v>
      </c>
      <c r="AD138" s="18"/>
      <c r="AE138" s="17"/>
      <c r="AF138" s="23">
        <f t="shared" si="49"/>
        <v>15</v>
      </c>
      <c r="AG138" s="16">
        <v>45</v>
      </c>
      <c r="AH138" s="23">
        <f t="shared" si="50"/>
        <v>80</v>
      </c>
      <c r="AI138" s="14">
        <f t="shared" si="51"/>
        <v>0.93</v>
      </c>
      <c r="AJ138" s="13"/>
      <c r="AK138" s="12">
        <v>0.01</v>
      </c>
      <c r="AL138" s="11">
        <f t="shared" si="52"/>
        <v>1.01</v>
      </c>
      <c r="AM138" s="10">
        <f t="shared" si="53"/>
        <v>5441403000</v>
      </c>
      <c r="AN138" s="9"/>
      <c r="AO138" s="8"/>
      <c r="AP138" s="8"/>
      <c r="AQ138" s="8"/>
      <c r="AR138" s="8"/>
      <c r="AS138" s="7"/>
      <c r="AT138" s="6">
        <f t="shared" si="54"/>
        <v>0</v>
      </c>
    </row>
    <row r="139" spans="1:46" s="37" customFormat="1" ht="45.75" customHeight="1" thickBot="1" x14ac:dyDescent="0.2">
      <c r="A139" s="36"/>
      <c r="B139" s="35"/>
      <c r="C139" s="34"/>
      <c r="D139" s="34"/>
      <c r="E139" s="34"/>
      <c r="F139" s="34"/>
      <c r="G139" s="33"/>
      <c r="H139" s="32"/>
      <c r="I139" s="31">
        <v>0.51</v>
      </c>
      <c r="J139" s="30">
        <v>0.49</v>
      </c>
      <c r="K139" s="29"/>
      <c r="L139" s="28"/>
      <c r="M139" s="27"/>
      <c r="N139" s="26">
        <f t="shared" si="44"/>
        <v>1</v>
      </c>
      <c r="O139" s="25">
        <v>15</v>
      </c>
      <c r="P139" s="23">
        <v>15</v>
      </c>
      <c r="Q139" s="24"/>
      <c r="R139" s="24"/>
      <c r="S139" s="23"/>
      <c r="T139" s="20">
        <f t="shared" si="45"/>
        <v>15</v>
      </c>
      <c r="U139" s="19">
        <f t="shared" si="46"/>
        <v>15</v>
      </c>
      <c r="V139" s="22"/>
      <c r="W139" s="22"/>
      <c r="X139" s="22"/>
      <c r="Y139" s="22"/>
      <c r="Z139" s="21"/>
      <c r="AA139" s="20">
        <f t="shared" si="47"/>
        <v>0</v>
      </c>
      <c r="AB139" s="19">
        <f t="shared" si="48"/>
        <v>0</v>
      </c>
      <c r="AC139" s="16">
        <v>20</v>
      </c>
      <c r="AD139" s="18"/>
      <c r="AE139" s="17"/>
      <c r="AF139" s="23">
        <f t="shared" si="49"/>
        <v>15</v>
      </c>
      <c r="AG139" s="16">
        <v>45</v>
      </c>
      <c r="AH139" s="23">
        <f t="shared" si="50"/>
        <v>80</v>
      </c>
      <c r="AI139" s="14">
        <f t="shared" si="51"/>
        <v>0.93</v>
      </c>
      <c r="AJ139" s="13"/>
      <c r="AK139" s="12">
        <v>0.01</v>
      </c>
      <c r="AL139" s="11">
        <f t="shared" si="52"/>
        <v>1.01</v>
      </c>
      <c r="AM139" s="10">
        <f t="shared" si="53"/>
        <v>5441403000</v>
      </c>
      <c r="AN139" s="9"/>
      <c r="AO139" s="8"/>
      <c r="AP139" s="8"/>
      <c r="AQ139" s="8"/>
      <c r="AR139" s="8"/>
      <c r="AS139" s="7"/>
      <c r="AT139" s="6">
        <f t="shared" si="54"/>
        <v>0</v>
      </c>
    </row>
    <row r="140" spans="1:46" s="5" customFormat="1" ht="45.75" customHeight="1" thickBot="1" x14ac:dyDescent="0.2">
      <c r="A140" s="36"/>
      <c r="B140" s="35"/>
      <c r="C140" s="34"/>
      <c r="D140" s="34"/>
      <c r="E140" s="34"/>
      <c r="F140" s="34"/>
      <c r="G140" s="33"/>
      <c r="H140" s="32"/>
      <c r="I140" s="31">
        <v>0.51</v>
      </c>
      <c r="J140" s="30">
        <v>0.49</v>
      </c>
      <c r="K140" s="29"/>
      <c r="L140" s="28"/>
      <c r="M140" s="27"/>
      <c r="N140" s="26">
        <f t="shared" si="44"/>
        <v>1</v>
      </c>
      <c r="O140" s="25">
        <v>15</v>
      </c>
      <c r="P140" s="23">
        <v>15</v>
      </c>
      <c r="Q140" s="24"/>
      <c r="R140" s="24"/>
      <c r="S140" s="23"/>
      <c r="T140" s="20">
        <f t="shared" si="45"/>
        <v>15</v>
      </c>
      <c r="U140" s="19">
        <f t="shared" si="46"/>
        <v>15</v>
      </c>
      <c r="V140" s="22"/>
      <c r="W140" s="22"/>
      <c r="X140" s="22"/>
      <c r="Y140" s="22"/>
      <c r="Z140" s="21"/>
      <c r="AA140" s="20">
        <f t="shared" si="47"/>
        <v>0</v>
      </c>
      <c r="AB140" s="19">
        <f t="shared" si="48"/>
        <v>0</v>
      </c>
      <c r="AC140" s="16">
        <v>20</v>
      </c>
      <c r="AD140" s="18"/>
      <c r="AE140" s="17"/>
      <c r="AF140" s="15">
        <f t="shared" si="49"/>
        <v>15</v>
      </c>
      <c r="AG140" s="16">
        <v>45</v>
      </c>
      <c r="AH140" s="15">
        <f t="shared" si="50"/>
        <v>80</v>
      </c>
      <c r="AI140" s="14">
        <f t="shared" si="51"/>
        <v>0.93</v>
      </c>
      <c r="AJ140" s="13"/>
      <c r="AK140" s="12">
        <v>0.01</v>
      </c>
      <c r="AL140" s="11">
        <f t="shared" si="52"/>
        <v>1.01</v>
      </c>
      <c r="AM140" s="10">
        <f t="shared" si="53"/>
        <v>5441403000</v>
      </c>
      <c r="AN140" s="9"/>
      <c r="AO140" s="8"/>
      <c r="AP140" s="8"/>
      <c r="AQ140" s="8"/>
      <c r="AR140" s="8"/>
      <c r="AS140" s="7"/>
      <c r="AT140" s="6">
        <f t="shared" si="54"/>
        <v>0</v>
      </c>
    </row>
  </sheetData>
  <mergeCells count="27">
    <mergeCell ref="D1:E1"/>
    <mergeCell ref="I1:J1"/>
    <mergeCell ref="M1:AF1"/>
    <mergeCell ref="AH1:AK1"/>
    <mergeCell ref="D2:E2"/>
    <mergeCell ref="F2:G2"/>
    <mergeCell ref="I2:J2"/>
    <mergeCell ref="O2:T2"/>
    <mergeCell ref="AM3:AM4"/>
    <mergeCell ref="A3:A4"/>
    <mergeCell ref="B3:B4"/>
    <mergeCell ref="C3:H3"/>
    <mergeCell ref="I3:M3"/>
    <mergeCell ref="N3:N4"/>
    <mergeCell ref="O3:T3"/>
    <mergeCell ref="V3:AA3"/>
    <mergeCell ref="AI3:AI4"/>
    <mergeCell ref="AJ3:AJ4"/>
    <mergeCell ref="AK3:AK4"/>
    <mergeCell ref="AL3:AL4"/>
    <mergeCell ref="AT3:AT4"/>
    <mergeCell ref="AN3:AN4"/>
    <mergeCell ref="AO3:AO4"/>
    <mergeCell ref="AP3:AP4"/>
    <mergeCell ref="AQ3:AQ4"/>
    <mergeCell ref="AR3:AR4"/>
    <mergeCell ref="AS3:AS4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1" manualBreakCount="1">
    <brk id="38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제50호선영동선(1공구)</vt:lpstr>
      <vt:lpstr>제50호선영동선(2공구)</vt:lpstr>
      <vt:lpstr>고속국도 14호선 1공구(소방)</vt:lpstr>
      <vt:lpstr>고속국도 14호선 2공구(소방)</vt:lpstr>
      <vt:lpstr>고속국도 14호선 4공구(소방)</vt:lpstr>
      <vt:lpstr>아산~청주선(1공구)</vt:lpstr>
      <vt:lpstr>함양~창녕간(6공구)-진행중</vt:lpstr>
      <vt:lpstr>'고속국도 14호선 1공구(소방)'!Print_Area</vt:lpstr>
      <vt:lpstr>'고속국도 14호선 2공구(소방)'!Print_Area</vt:lpstr>
      <vt:lpstr>'고속국도 14호선 4공구(소방)'!Print_Area</vt:lpstr>
      <vt:lpstr>'아산~청주선(1공구)'!Print_Area</vt:lpstr>
      <vt:lpstr>'제50호선영동선(1공구)'!Print_Area</vt:lpstr>
      <vt:lpstr>'제50호선영동선(2공구)'!Print_Area</vt:lpstr>
      <vt:lpstr>'함양~창녕간(6공구)-진행중'!Print_Area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세희 조</cp:lastModifiedBy>
  <dcterms:created xsi:type="dcterms:W3CDTF">2025-08-07T05:46:31Z</dcterms:created>
  <dcterms:modified xsi:type="dcterms:W3CDTF">2025-09-18T10:56:30Z</dcterms:modified>
</cp:coreProperties>
</file>