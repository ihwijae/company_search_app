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840" tabRatio="927" firstSheet="17" activeTab="17"/>
  </bookViews>
  <sheets>
    <sheet name="서울권조명기구교체공사" sheetId="825" r:id="rId1"/>
    <sheet name="의왕월암 공공주택지구" sheetId="826" r:id="rId2"/>
    <sheet name="밀양아리랑" sheetId="827" r:id="rId3"/>
    <sheet name="여수국동(소방)" sheetId="828" r:id="rId4"/>
    <sheet name="강원권임대주택" sheetId="830" r:id="rId5"/>
    <sheet name="남양주진접2(소방)" sheetId="831" r:id="rId6"/>
    <sheet name="사천선인" sheetId="833" r:id="rId7"/>
    <sheet name="구리갈매역세권 공공주택지구" sheetId="832" r:id="rId8"/>
    <sheet name="의정부우정(통신)" sheetId="834" r:id="rId9"/>
    <sheet name="대구연호(통신)" sheetId="835" r:id="rId10"/>
    <sheet name="경산대임(소방)" sheetId="837" r:id="rId11"/>
    <sheet name="양주회천택지개발사업" sheetId="838" r:id="rId12"/>
    <sheet name="인천계양" sheetId="839" r:id="rId13"/>
    <sheet name="양주회천(3단계)(통신)" sheetId="840" r:id="rId14"/>
    <sheet name="하남감일(소방)" sheetId="842" r:id="rId15"/>
    <sheet name="부천괴안(소방)" sheetId="841" r:id="rId16"/>
    <sheet name="인천계양(통신)" sheetId="843" r:id="rId17"/>
    <sheet name="양식" sheetId="868" r:id="rId18"/>
  </sheets>
  <definedNames>
    <definedName name="_xlnm.Print_Area" localSheetId="4">강원권임대주택!$A$1:$AX$136</definedName>
    <definedName name="_xlnm.Print_Area" localSheetId="10">'경산대임(소방)'!$A$1:$AX$138</definedName>
    <definedName name="_xlnm.Print_Area" localSheetId="7">'구리갈매역세권 공공주택지구'!$A$1:$AX$148</definedName>
    <definedName name="_xlnm.Print_Area" localSheetId="5">'남양주진접2(소방)'!$A$1:$AX$142</definedName>
    <definedName name="_xlnm.Print_Area" localSheetId="9">'대구연호(통신)'!$A$1:$AX$136</definedName>
    <definedName name="_xlnm.Print_Area" localSheetId="2">밀양아리랑!$A$1:$AX$136</definedName>
    <definedName name="_xlnm.Print_Area" localSheetId="15">'부천괴안(소방)'!$A$1:$AX$142</definedName>
    <definedName name="_xlnm.Print_Area" localSheetId="6">사천선인!$A$1:$AX$136</definedName>
    <definedName name="_xlnm.Print_Area" localSheetId="0">서울권조명기구교체공사!$A$1:$AX$140</definedName>
    <definedName name="_xlnm.Print_Area" localSheetId="17">양식!$A$1:$AX$136</definedName>
    <definedName name="_xlnm.Print_Area" localSheetId="13">'양주회천(3단계)(통신)'!$A$1:$AX$133</definedName>
    <definedName name="_xlnm.Print_Area" localSheetId="11">양주회천택지개발사업!$A$1:$AX$147</definedName>
    <definedName name="_xlnm.Print_Area" localSheetId="3">'여수국동(소방)'!$A$1:$AX$138</definedName>
    <definedName name="_xlnm.Print_Area" localSheetId="1">'의왕월암 공공주택지구'!$A$1:$AX$142</definedName>
    <definedName name="_xlnm.Print_Area" localSheetId="8">'의정부우정(통신)'!$A$1:$AX$136</definedName>
    <definedName name="_xlnm.Print_Area" localSheetId="12">인천계양!$A$1:$AX$136</definedName>
    <definedName name="_xlnm.Print_Area" localSheetId="16">'인천계양(통신)'!$A$1:$AX$136</definedName>
    <definedName name="_xlnm.Print_Area" localSheetId="14">'하남감일(소방)'!$A$1:$AX$138</definedName>
  </definedNames>
  <calcPr calcId="162913"/>
</workbook>
</file>

<file path=xl/calcChain.xml><?xml version="1.0" encoding="utf-8"?>
<calcChain xmlns="http://schemas.openxmlformats.org/spreadsheetml/2006/main">
  <c r="AX15" i="868" l="1"/>
  <c r="AW15" i="868"/>
  <c r="AN15" i="868"/>
  <c r="AO15" i="868" s="1"/>
  <c r="AB15" i="868"/>
  <c r="AC15" i="868" s="1"/>
  <c r="AE15" i="868" s="1"/>
  <c r="U15" i="868"/>
  <c r="V15" i="868" s="1"/>
  <c r="N15" i="868"/>
  <c r="AJ15" i="868" l="1"/>
  <c r="AH15" i="868"/>
  <c r="AO17" i="868"/>
  <c r="AL15" i="868" l="1"/>
  <c r="AK15" i="868"/>
  <c r="N116" i="868"/>
  <c r="N117" i="868"/>
  <c r="U117" i="868"/>
  <c r="V117" i="868"/>
  <c r="AB117" i="868"/>
  <c r="AC117" i="868"/>
  <c r="AE117" i="868" s="1"/>
  <c r="AN117" i="868"/>
  <c r="AO117" i="868"/>
  <c r="AW117" i="868"/>
  <c r="AX117" i="868"/>
  <c r="N114" i="868"/>
  <c r="N112" i="868"/>
  <c r="N110" i="868"/>
  <c r="N108" i="868"/>
  <c r="N106" i="868"/>
  <c r="N104" i="868"/>
  <c r="N102" i="868"/>
  <c r="N100" i="868"/>
  <c r="N98" i="868"/>
  <c r="N96" i="868"/>
  <c r="N94" i="868"/>
  <c r="N92" i="868"/>
  <c r="N90" i="868"/>
  <c r="N88" i="868"/>
  <c r="N86" i="868"/>
  <c r="N84" i="868"/>
  <c r="N82" i="868"/>
  <c r="N80" i="868"/>
  <c r="N78" i="868"/>
  <c r="N76" i="868"/>
  <c r="N74" i="868"/>
  <c r="N72" i="868"/>
  <c r="N70" i="868"/>
  <c r="N68" i="868"/>
  <c r="N66" i="868"/>
  <c r="N64" i="868"/>
  <c r="N62" i="868"/>
  <c r="N60" i="868"/>
  <c r="N58" i="868"/>
  <c r="N56" i="868"/>
  <c r="N54" i="868"/>
  <c r="N52" i="868"/>
  <c r="N50" i="868"/>
  <c r="N48" i="868"/>
  <c r="N46" i="868"/>
  <c r="N44" i="868"/>
  <c r="N42" i="868"/>
  <c r="N40" i="868"/>
  <c r="N38" i="868"/>
  <c r="N36" i="868"/>
  <c r="N34" i="868"/>
  <c r="N32" i="868"/>
  <c r="N30" i="868"/>
  <c r="N28" i="868"/>
  <c r="N24" i="868"/>
  <c r="N22" i="868"/>
  <c r="N20" i="868"/>
  <c r="N18" i="868"/>
  <c r="N16" i="868"/>
  <c r="N14" i="868"/>
  <c r="AS2" i="868"/>
  <c r="AJ117" i="868" l="1"/>
  <c r="AH117" i="868"/>
  <c r="AX136" i="868"/>
  <c r="AW136" i="868"/>
  <c r="AO136" i="868"/>
  <c r="AN136" i="868"/>
  <c r="U136" i="868"/>
  <c r="V136" i="868" s="1"/>
  <c r="N136" i="868"/>
  <c r="AX135" i="868"/>
  <c r="AW135" i="868"/>
  <c r="AN135" i="868"/>
  <c r="AO135" i="868" s="1"/>
  <c r="U135" i="868"/>
  <c r="V135" i="868" s="1"/>
  <c r="N135" i="868"/>
  <c r="AX134" i="868"/>
  <c r="AW134" i="868"/>
  <c r="AN134" i="868"/>
  <c r="AO134" i="868" s="1"/>
  <c r="V134" i="868"/>
  <c r="U134" i="868"/>
  <c r="N134" i="868"/>
  <c r="AX133" i="868"/>
  <c r="AW133" i="868"/>
  <c r="AN133" i="868"/>
  <c r="AO133" i="868" s="1"/>
  <c r="U133" i="868"/>
  <c r="V133" i="868" s="1"/>
  <c r="N133" i="868"/>
  <c r="AX132" i="868"/>
  <c r="AW132" i="868"/>
  <c r="AO132" i="868"/>
  <c r="AN132" i="868"/>
  <c r="U132" i="868"/>
  <c r="V132" i="868" s="1"/>
  <c r="N132" i="868"/>
  <c r="AX131" i="868"/>
  <c r="AW131" i="868"/>
  <c r="AO131" i="868"/>
  <c r="AN131" i="868"/>
  <c r="U131" i="868"/>
  <c r="V131" i="868" s="1"/>
  <c r="N131" i="868"/>
  <c r="AX130" i="868"/>
  <c r="AW130" i="868"/>
  <c r="AN130" i="868"/>
  <c r="AO130" i="868" s="1"/>
  <c r="U130" i="868"/>
  <c r="V130" i="868" s="1"/>
  <c r="N130" i="868"/>
  <c r="AX129" i="868"/>
  <c r="AW129" i="868"/>
  <c r="AN129" i="868"/>
  <c r="AO129" i="868" s="1"/>
  <c r="U129" i="868"/>
  <c r="V129" i="868" s="1"/>
  <c r="N129" i="868"/>
  <c r="AX128" i="868"/>
  <c r="AW128" i="868"/>
  <c r="AN128" i="868"/>
  <c r="AO128" i="868" s="1"/>
  <c r="U128" i="868"/>
  <c r="V128" i="868" s="1"/>
  <c r="N128" i="868"/>
  <c r="AX127" i="868"/>
  <c r="AW127" i="868"/>
  <c r="AN127" i="868"/>
  <c r="AO127" i="868" s="1"/>
  <c r="AB127" i="868"/>
  <c r="AC127" i="868" s="1"/>
  <c r="AE127" i="868" s="1"/>
  <c r="U127" i="868"/>
  <c r="V127" i="868" s="1"/>
  <c r="N127" i="868"/>
  <c r="AX126" i="868"/>
  <c r="AW126" i="868"/>
  <c r="AO126" i="868"/>
  <c r="AN126" i="868"/>
  <c r="U126" i="868"/>
  <c r="V126" i="868" s="1"/>
  <c r="N126" i="868"/>
  <c r="AX125" i="868"/>
  <c r="AW125" i="868"/>
  <c r="AN125" i="868"/>
  <c r="AO125" i="868" s="1"/>
  <c r="U125" i="868"/>
  <c r="V125" i="868" s="1"/>
  <c r="N125" i="868"/>
  <c r="AX124" i="868"/>
  <c r="AW124" i="868"/>
  <c r="AN124" i="868"/>
  <c r="AO124" i="868" s="1"/>
  <c r="U124" i="868"/>
  <c r="V124" i="868" s="1"/>
  <c r="N124" i="868"/>
  <c r="AX123" i="868"/>
  <c r="AW123" i="868"/>
  <c r="AO123" i="868"/>
  <c r="AN123" i="868"/>
  <c r="U123" i="868"/>
  <c r="V123" i="868" s="1"/>
  <c r="N123" i="868"/>
  <c r="AX122" i="868"/>
  <c r="AW122" i="868"/>
  <c r="AO122" i="868"/>
  <c r="AN122" i="868"/>
  <c r="U122" i="868"/>
  <c r="V122" i="868" s="1"/>
  <c r="N122" i="868"/>
  <c r="AX121" i="868"/>
  <c r="AW121" i="868"/>
  <c r="AN121" i="868"/>
  <c r="AO121" i="868" s="1"/>
  <c r="U121" i="868"/>
  <c r="V121" i="868" s="1"/>
  <c r="N121" i="868"/>
  <c r="AX120" i="868"/>
  <c r="AW120" i="868"/>
  <c r="AN120" i="868"/>
  <c r="AO120" i="868" s="1"/>
  <c r="U120" i="868"/>
  <c r="V120" i="868" s="1"/>
  <c r="N120" i="868"/>
  <c r="AX119" i="868"/>
  <c r="AW119" i="868"/>
  <c r="AN119" i="868"/>
  <c r="AO119" i="868" s="1"/>
  <c r="U119" i="868"/>
  <c r="V119" i="868" s="1"/>
  <c r="N119" i="868"/>
  <c r="AX118" i="868"/>
  <c r="AW118" i="868"/>
  <c r="AO118" i="868"/>
  <c r="AN118" i="868"/>
  <c r="U118" i="868"/>
  <c r="V118" i="868" s="1"/>
  <c r="N118" i="868"/>
  <c r="AX115" i="868"/>
  <c r="AW115" i="868"/>
  <c r="AN115" i="868"/>
  <c r="AO115" i="868" s="1"/>
  <c r="U115" i="868"/>
  <c r="V115" i="868" s="1"/>
  <c r="N115" i="868"/>
  <c r="AX113" i="868"/>
  <c r="AW113" i="868"/>
  <c r="AN113" i="868"/>
  <c r="AO113" i="868" s="1"/>
  <c r="U113" i="868"/>
  <c r="V113" i="868" s="1"/>
  <c r="N113" i="868"/>
  <c r="AX111" i="868"/>
  <c r="AW111" i="868"/>
  <c r="AN111" i="868"/>
  <c r="AO111" i="868" s="1"/>
  <c r="U111" i="868"/>
  <c r="V111" i="868" s="1"/>
  <c r="N111" i="868"/>
  <c r="AX109" i="868"/>
  <c r="AW109" i="868"/>
  <c r="AN109" i="868"/>
  <c r="AO109" i="868" s="1"/>
  <c r="AB109" i="868"/>
  <c r="AC109" i="868" s="1"/>
  <c r="AE109" i="868" s="1"/>
  <c r="U109" i="868"/>
  <c r="V109" i="868" s="1"/>
  <c r="N109" i="868"/>
  <c r="AX107" i="868"/>
  <c r="AW107" i="868"/>
  <c r="AN107" i="868"/>
  <c r="AO107" i="868" s="1"/>
  <c r="U107" i="868"/>
  <c r="V107" i="868" s="1"/>
  <c r="N107" i="868"/>
  <c r="AX105" i="868"/>
  <c r="AW105" i="868"/>
  <c r="AN105" i="868"/>
  <c r="AO105" i="868" s="1"/>
  <c r="U105" i="868"/>
  <c r="V105" i="868" s="1"/>
  <c r="N105" i="868"/>
  <c r="AX103" i="868"/>
  <c r="AW103" i="868"/>
  <c r="AN103" i="868"/>
  <c r="AO103" i="868" s="1"/>
  <c r="U103" i="868"/>
  <c r="V103" i="868" s="1"/>
  <c r="N103" i="868"/>
  <c r="AX101" i="868"/>
  <c r="AW101" i="868"/>
  <c r="AN101" i="868"/>
  <c r="AO101" i="868" s="1"/>
  <c r="U101" i="868"/>
  <c r="V101" i="868" s="1"/>
  <c r="N101" i="868"/>
  <c r="AX99" i="868"/>
  <c r="AW99" i="868"/>
  <c r="AN99" i="868"/>
  <c r="AO99" i="868" s="1"/>
  <c r="U99" i="868"/>
  <c r="V99" i="868" s="1"/>
  <c r="N99" i="868"/>
  <c r="AX97" i="868"/>
  <c r="AW97" i="868"/>
  <c r="AN97" i="868"/>
  <c r="AO97" i="868" s="1"/>
  <c r="U97" i="868"/>
  <c r="V97" i="868" s="1"/>
  <c r="N97" i="868"/>
  <c r="AX95" i="868"/>
  <c r="AW95" i="868"/>
  <c r="AN95" i="868"/>
  <c r="AO95" i="868" s="1"/>
  <c r="AB95" i="868"/>
  <c r="AC95" i="868" s="1"/>
  <c r="AE95" i="868" s="1"/>
  <c r="U95" i="868"/>
  <c r="V95" i="868" s="1"/>
  <c r="N95" i="868"/>
  <c r="AX93" i="868"/>
  <c r="AW93" i="868"/>
  <c r="AN93" i="868"/>
  <c r="AO93" i="868" s="1"/>
  <c r="U93" i="868"/>
  <c r="V93" i="868" s="1"/>
  <c r="N93" i="868"/>
  <c r="AX91" i="868"/>
  <c r="AW91" i="868"/>
  <c r="AN91" i="868"/>
  <c r="AO91" i="868" s="1"/>
  <c r="U91" i="868"/>
  <c r="V91" i="868" s="1"/>
  <c r="N91" i="868"/>
  <c r="AX89" i="868"/>
  <c r="AW89" i="868"/>
  <c r="AN89" i="868"/>
  <c r="AO89" i="868" s="1"/>
  <c r="U89" i="868"/>
  <c r="V89" i="868" s="1"/>
  <c r="N89" i="868"/>
  <c r="AX87" i="868"/>
  <c r="AW87" i="868"/>
  <c r="AO87" i="868"/>
  <c r="AN87" i="868"/>
  <c r="U87" i="868"/>
  <c r="V87" i="868" s="1"/>
  <c r="N87" i="868"/>
  <c r="AX85" i="868"/>
  <c r="AW85" i="868"/>
  <c r="AN85" i="868"/>
  <c r="AO85" i="868" s="1"/>
  <c r="U85" i="868"/>
  <c r="V85" i="868" s="1"/>
  <c r="N85" i="868"/>
  <c r="AX83" i="868"/>
  <c r="AW83" i="868"/>
  <c r="AN83" i="868"/>
  <c r="AO83" i="868" s="1"/>
  <c r="U83" i="868"/>
  <c r="V83" i="868" s="1"/>
  <c r="N83" i="868"/>
  <c r="AX81" i="868"/>
  <c r="AW81" i="868"/>
  <c r="AO81" i="868"/>
  <c r="AN81" i="868"/>
  <c r="U81" i="868"/>
  <c r="V81" i="868" s="1"/>
  <c r="N81" i="868"/>
  <c r="AX79" i="868"/>
  <c r="AW79" i="868"/>
  <c r="AN79" i="868"/>
  <c r="AO79" i="868" s="1"/>
  <c r="U79" i="868"/>
  <c r="V79" i="868" s="1"/>
  <c r="N79" i="868"/>
  <c r="AX77" i="868"/>
  <c r="AW77" i="868"/>
  <c r="AN77" i="868"/>
  <c r="AO77" i="868" s="1"/>
  <c r="U77" i="868"/>
  <c r="V77" i="868" s="1"/>
  <c r="N77" i="868"/>
  <c r="AX75" i="868"/>
  <c r="AW75" i="868"/>
  <c r="AN75" i="868"/>
  <c r="AO75" i="868" s="1"/>
  <c r="U75" i="868"/>
  <c r="V75" i="868" s="1"/>
  <c r="N75" i="868"/>
  <c r="AX73" i="868"/>
  <c r="AW73" i="868"/>
  <c r="AN73" i="868"/>
  <c r="AO73" i="868" s="1"/>
  <c r="U73" i="868"/>
  <c r="V73" i="868" s="1"/>
  <c r="N73" i="868"/>
  <c r="AX71" i="868"/>
  <c r="AW71" i="868"/>
  <c r="AO71" i="868"/>
  <c r="AN71" i="868"/>
  <c r="U71" i="868"/>
  <c r="V71" i="868" s="1"/>
  <c r="N71" i="868"/>
  <c r="AX69" i="868"/>
  <c r="AW69" i="868"/>
  <c r="AN69" i="868"/>
  <c r="AO69" i="868" s="1"/>
  <c r="U69" i="868"/>
  <c r="V69" i="868" s="1"/>
  <c r="N69" i="868"/>
  <c r="AX67" i="868"/>
  <c r="AW67" i="868"/>
  <c r="AN67" i="868"/>
  <c r="AO67" i="868" s="1"/>
  <c r="U67" i="868"/>
  <c r="V67" i="868" s="1"/>
  <c r="N67" i="868"/>
  <c r="AX65" i="868"/>
  <c r="AW65" i="868"/>
  <c r="AN65" i="868"/>
  <c r="AO65" i="868" s="1"/>
  <c r="U65" i="868"/>
  <c r="V65" i="868" s="1"/>
  <c r="N65" i="868"/>
  <c r="AX63" i="868"/>
  <c r="AW63" i="868"/>
  <c r="AN63" i="868"/>
  <c r="AO63" i="868" s="1"/>
  <c r="U63" i="868"/>
  <c r="V63" i="868" s="1"/>
  <c r="N63" i="868"/>
  <c r="AX61" i="868"/>
  <c r="AW61" i="868"/>
  <c r="AN61" i="868"/>
  <c r="AO61" i="868" s="1"/>
  <c r="U61" i="868"/>
  <c r="V61" i="868" s="1"/>
  <c r="N61" i="868"/>
  <c r="AX59" i="868"/>
  <c r="AW59" i="868"/>
  <c r="AN59" i="868"/>
  <c r="AO59" i="868" s="1"/>
  <c r="U59" i="868"/>
  <c r="V59" i="868" s="1"/>
  <c r="N59" i="868"/>
  <c r="AX57" i="868"/>
  <c r="AW57" i="868"/>
  <c r="AN57" i="868"/>
  <c r="AO57" i="868" s="1"/>
  <c r="AB57" i="868"/>
  <c r="AC57" i="868" s="1"/>
  <c r="AE57" i="868" s="1"/>
  <c r="U57" i="868"/>
  <c r="V57" i="868" s="1"/>
  <c r="N57" i="868"/>
  <c r="AX55" i="868"/>
  <c r="AW55" i="868"/>
  <c r="AN55" i="868"/>
  <c r="AO55" i="868" s="1"/>
  <c r="U55" i="868"/>
  <c r="V55" i="868" s="1"/>
  <c r="N55" i="868"/>
  <c r="AX53" i="868"/>
  <c r="AW53" i="868"/>
  <c r="AN53" i="868"/>
  <c r="AO53" i="868" s="1"/>
  <c r="AB53" i="868"/>
  <c r="AC53" i="868" s="1"/>
  <c r="AE53" i="868" s="1"/>
  <c r="U53" i="868"/>
  <c r="V53" i="868" s="1"/>
  <c r="N53" i="868"/>
  <c r="AX51" i="868"/>
  <c r="AW51" i="868"/>
  <c r="AN51" i="868"/>
  <c r="AO51" i="868" s="1"/>
  <c r="U51" i="868"/>
  <c r="V51" i="868" s="1"/>
  <c r="N51" i="868"/>
  <c r="AX49" i="868"/>
  <c r="AW49" i="868"/>
  <c r="AN49" i="868"/>
  <c r="AO49" i="868" s="1"/>
  <c r="U49" i="868"/>
  <c r="V49" i="868" s="1"/>
  <c r="N49" i="868"/>
  <c r="AX47" i="868"/>
  <c r="AW47" i="868"/>
  <c r="AO47" i="868"/>
  <c r="AN47" i="868"/>
  <c r="U47" i="868"/>
  <c r="V47" i="868" s="1"/>
  <c r="N47" i="868"/>
  <c r="AX45" i="868"/>
  <c r="AW45" i="868"/>
  <c r="AN45" i="868"/>
  <c r="AO45" i="868" s="1"/>
  <c r="U45" i="868"/>
  <c r="V45" i="868" s="1"/>
  <c r="N45" i="868"/>
  <c r="AX43" i="868"/>
  <c r="AW43" i="868"/>
  <c r="AN43" i="868"/>
  <c r="AO43" i="868" s="1"/>
  <c r="U43" i="868"/>
  <c r="V43" i="868" s="1"/>
  <c r="N43" i="868"/>
  <c r="AX41" i="868"/>
  <c r="AW41" i="868"/>
  <c r="AN41" i="868"/>
  <c r="AO41" i="868" s="1"/>
  <c r="U41" i="868"/>
  <c r="V41" i="868" s="1"/>
  <c r="N41" i="868"/>
  <c r="AX39" i="868"/>
  <c r="AW39" i="868"/>
  <c r="AN39" i="868"/>
  <c r="AO39" i="868" s="1"/>
  <c r="U39" i="868"/>
  <c r="V39" i="868" s="1"/>
  <c r="N39" i="868"/>
  <c r="AX37" i="868"/>
  <c r="AW37" i="868"/>
  <c r="AN37" i="868"/>
  <c r="AO37" i="868" s="1"/>
  <c r="U37" i="868"/>
  <c r="V37" i="868" s="1"/>
  <c r="N37" i="868"/>
  <c r="AX35" i="868"/>
  <c r="AW35" i="868"/>
  <c r="AN35" i="868"/>
  <c r="AO35" i="868" s="1"/>
  <c r="U35" i="868"/>
  <c r="V35" i="868" s="1"/>
  <c r="N35" i="868"/>
  <c r="AX33" i="868"/>
  <c r="AW33" i="868"/>
  <c r="AN33" i="868"/>
  <c r="AO33" i="868" s="1"/>
  <c r="U33" i="868"/>
  <c r="V33" i="868" s="1"/>
  <c r="N33" i="868"/>
  <c r="AX31" i="868"/>
  <c r="AW31" i="868"/>
  <c r="AN31" i="868"/>
  <c r="AO31" i="868" s="1"/>
  <c r="U31" i="868"/>
  <c r="V31" i="868" s="1"/>
  <c r="N31" i="868"/>
  <c r="AX29" i="868"/>
  <c r="AW29" i="868"/>
  <c r="AN29" i="868"/>
  <c r="AO29" i="868" s="1"/>
  <c r="AB29" i="868"/>
  <c r="AC29" i="868" s="1"/>
  <c r="AE29" i="868" s="1"/>
  <c r="U29" i="868"/>
  <c r="V29" i="868" s="1"/>
  <c r="N29" i="868"/>
  <c r="AX27" i="868"/>
  <c r="AW27" i="868"/>
  <c r="AN27" i="868"/>
  <c r="AO27" i="868" s="1"/>
  <c r="U27" i="868"/>
  <c r="V27" i="868" s="1"/>
  <c r="N27" i="868"/>
  <c r="N26" i="868"/>
  <c r="AX25" i="868"/>
  <c r="AW25" i="868"/>
  <c r="AN25" i="868"/>
  <c r="AO25" i="868" s="1"/>
  <c r="U25" i="868"/>
  <c r="V25" i="868" s="1"/>
  <c r="N25" i="868"/>
  <c r="AX23" i="868"/>
  <c r="AW23" i="868"/>
  <c r="AO23" i="868"/>
  <c r="AN23" i="868"/>
  <c r="U23" i="868"/>
  <c r="V23" i="868" s="1"/>
  <c r="N23" i="868"/>
  <c r="AX21" i="868"/>
  <c r="AW21" i="868"/>
  <c r="AN21" i="868"/>
  <c r="AO21" i="868" s="1"/>
  <c r="V21" i="868"/>
  <c r="U21" i="868"/>
  <c r="N21" i="868"/>
  <c r="AX19" i="868"/>
  <c r="AW19" i="868"/>
  <c r="AN19" i="868"/>
  <c r="AO19" i="868" s="1"/>
  <c r="AB19" i="868"/>
  <c r="AC19" i="868" s="1"/>
  <c r="AE19" i="868" s="1"/>
  <c r="V19" i="868"/>
  <c r="U19" i="868"/>
  <c r="N19" i="868"/>
  <c r="AX17" i="868"/>
  <c r="AW17" i="868"/>
  <c r="AN17" i="868"/>
  <c r="U17" i="868"/>
  <c r="V17" i="868" s="1"/>
  <c r="N17" i="868"/>
  <c r="AX13" i="868"/>
  <c r="AW13" i="868"/>
  <c r="AN13" i="868"/>
  <c r="AO13" i="868" s="1"/>
  <c r="U13" i="868"/>
  <c r="V13" i="868" s="1"/>
  <c r="N13" i="868"/>
  <c r="N12" i="868"/>
  <c r="AX11" i="868"/>
  <c r="AW11" i="868"/>
  <c r="AO11" i="868"/>
  <c r="AN11" i="868"/>
  <c r="U11" i="868"/>
  <c r="V11" i="868" s="1"/>
  <c r="N11" i="868"/>
  <c r="N10" i="868"/>
  <c r="AX9" i="868"/>
  <c r="AW9" i="868"/>
  <c r="AN9" i="868"/>
  <c r="AO9" i="868" s="1"/>
  <c r="U9" i="868"/>
  <c r="V9" i="868" s="1"/>
  <c r="N9" i="868"/>
  <c r="N8" i="868"/>
  <c r="AX7" i="868"/>
  <c r="AW7" i="868"/>
  <c r="AN7" i="868"/>
  <c r="AO7" i="868" s="1"/>
  <c r="AB7" i="868"/>
  <c r="AC7" i="868" s="1"/>
  <c r="AE7" i="868" s="1"/>
  <c r="U7" i="868"/>
  <c r="V7" i="868" s="1"/>
  <c r="N7" i="868"/>
  <c r="N6" i="868"/>
  <c r="AX5" i="868"/>
  <c r="AW5" i="868"/>
  <c r="AN5" i="868"/>
  <c r="AO5" i="868" s="1"/>
  <c r="U5" i="868"/>
  <c r="V5" i="868" s="1"/>
  <c r="N5" i="868"/>
  <c r="AA2" i="868"/>
  <c r="AD2" i="868" s="1"/>
  <c r="I2" i="868"/>
  <c r="AK117" i="868" l="1"/>
  <c r="AL117" i="868"/>
  <c r="AB132" i="868"/>
  <c r="AC132" i="868" s="1"/>
  <c r="AE132" i="868" s="1"/>
  <c r="AB5" i="868"/>
  <c r="AC5" i="868" s="1"/>
  <c r="AE5" i="868" s="1"/>
  <c r="AJ5" i="868" s="1"/>
  <c r="AB125" i="868"/>
  <c r="AC125" i="868" s="1"/>
  <c r="AE125" i="868" s="1"/>
  <c r="AB59" i="868"/>
  <c r="AC59" i="868" s="1"/>
  <c r="AE59" i="868" s="1"/>
  <c r="AH59" i="868" s="1"/>
  <c r="AB136" i="868"/>
  <c r="AC136" i="868" s="1"/>
  <c r="AE136" i="868" s="1"/>
  <c r="AH136" i="868" s="1"/>
  <c r="AB27" i="868"/>
  <c r="AC27" i="868" s="1"/>
  <c r="AE27" i="868" s="1"/>
  <c r="AJ27" i="868" s="1"/>
  <c r="AB49" i="868"/>
  <c r="AC49" i="868" s="1"/>
  <c r="AE49" i="868" s="1"/>
  <c r="AH49" i="868" s="1"/>
  <c r="AB45" i="868"/>
  <c r="AC45" i="868" s="1"/>
  <c r="AE45" i="868" s="1"/>
  <c r="AH45" i="868" s="1"/>
  <c r="AB17" i="868"/>
  <c r="AC17" i="868" s="1"/>
  <c r="AE17" i="868" s="1"/>
  <c r="AJ17" i="868" s="1"/>
  <c r="AB119" i="868"/>
  <c r="AC119" i="868" s="1"/>
  <c r="AE119" i="868" s="1"/>
  <c r="AJ119" i="868" s="1"/>
  <c r="AB129" i="868"/>
  <c r="AC129" i="868" s="1"/>
  <c r="AE129" i="868" s="1"/>
  <c r="AB113" i="868"/>
  <c r="AC113" i="868" s="1"/>
  <c r="AE113" i="868" s="1"/>
  <c r="AH113" i="868" s="1"/>
  <c r="AJ109" i="868"/>
  <c r="AH109" i="868"/>
  <c r="AJ113" i="868"/>
  <c r="AJ45" i="868"/>
  <c r="AJ59" i="868"/>
  <c r="AJ125" i="868"/>
  <c r="AH125" i="868"/>
  <c r="AJ95" i="868"/>
  <c r="AH95" i="868"/>
  <c r="AJ19" i="868"/>
  <c r="AH19" i="868"/>
  <c r="AJ132" i="868"/>
  <c r="AH132" i="868"/>
  <c r="AJ129" i="868"/>
  <c r="AH129" i="868"/>
  <c r="AJ57" i="868"/>
  <c r="AH57" i="868"/>
  <c r="AJ53" i="868"/>
  <c r="AH53" i="868"/>
  <c r="AH127" i="868"/>
  <c r="AJ127" i="868"/>
  <c r="AH27" i="868"/>
  <c r="AJ29" i="868"/>
  <c r="AH29" i="868"/>
  <c r="AJ7" i="868"/>
  <c r="AB67" i="868"/>
  <c r="AC67" i="868" s="1"/>
  <c r="AE67" i="868" s="1"/>
  <c r="AH67" i="868" s="1"/>
  <c r="AB65" i="868"/>
  <c r="AC65" i="868" s="1"/>
  <c r="AE65" i="868" s="1"/>
  <c r="AJ65" i="868" s="1"/>
  <c r="AB25" i="868"/>
  <c r="AC25" i="868" s="1"/>
  <c r="AE25" i="868" s="1"/>
  <c r="AJ25" i="868" s="1"/>
  <c r="AB79" i="868"/>
  <c r="AC79" i="868" s="1"/>
  <c r="AE79" i="868" s="1"/>
  <c r="AJ79" i="868" s="1"/>
  <c r="AB93" i="868"/>
  <c r="AC93" i="868" s="1"/>
  <c r="AE93" i="868" s="1"/>
  <c r="AJ93" i="868" s="1"/>
  <c r="AB124" i="868"/>
  <c r="AC124" i="868" s="1"/>
  <c r="AE124" i="868" s="1"/>
  <c r="AB103" i="868"/>
  <c r="AC103" i="868" s="1"/>
  <c r="AE103" i="868" s="1"/>
  <c r="AJ103" i="868" s="1"/>
  <c r="AB122" i="868"/>
  <c r="AC122" i="868" s="1"/>
  <c r="AE122" i="868" s="1"/>
  <c r="AH122" i="868" s="1"/>
  <c r="AB37" i="868"/>
  <c r="AC37" i="868" s="1"/>
  <c r="AE37" i="868" s="1"/>
  <c r="AH37" i="868" s="1"/>
  <c r="AB11" i="868"/>
  <c r="AC11" i="868" s="1"/>
  <c r="AE11" i="868" s="1"/>
  <c r="AJ11" i="868" s="1"/>
  <c r="AB21" i="868"/>
  <c r="AC21" i="868" s="1"/>
  <c r="AE21" i="868" s="1"/>
  <c r="AJ21" i="868" s="1"/>
  <c r="AB77" i="868"/>
  <c r="AC77" i="868" s="1"/>
  <c r="AE77" i="868" s="1"/>
  <c r="AJ77" i="868" s="1"/>
  <c r="AB39" i="868"/>
  <c r="AC39" i="868" s="1"/>
  <c r="AE39" i="868" s="1"/>
  <c r="AH39" i="868" s="1"/>
  <c r="AB75" i="868"/>
  <c r="AC75" i="868" s="1"/>
  <c r="AE75" i="868" s="1"/>
  <c r="AJ75" i="868" s="1"/>
  <c r="AB83" i="868"/>
  <c r="AC83" i="868" s="1"/>
  <c r="AE83" i="868" s="1"/>
  <c r="AJ71" i="868"/>
  <c r="AH71" i="868"/>
  <c r="AB85" i="868"/>
  <c r="AC85" i="868" s="1"/>
  <c r="AE85" i="868" s="1"/>
  <c r="AH85" i="868" s="1"/>
  <c r="AB126" i="868"/>
  <c r="AC126" i="868" s="1"/>
  <c r="AE126" i="868" s="1"/>
  <c r="AH126" i="868" s="1"/>
  <c r="AJ136" i="868"/>
  <c r="AB131" i="868"/>
  <c r="AC131" i="868" s="1"/>
  <c r="AE131" i="868" s="1"/>
  <c r="AJ131" i="868" s="1"/>
  <c r="AB121" i="868"/>
  <c r="AC121" i="868" s="1"/>
  <c r="AE121" i="868" s="1"/>
  <c r="AH121" i="868" s="1"/>
  <c r="AB111" i="868"/>
  <c r="AC111" i="868" s="1"/>
  <c r="AE111" i="868" s="1"/>
  <c r="AH111" i="868" s="1"/>
  <c r="AB101" i="868"/>
  <c r="AC101" i="868" s="1"/>
  <c r="AE101" i="868" s="1"/>
  <c r="AB91" i="868"/>
  <c r="AC91" i="868" s="1"/>
  <c r="AE91" i="868" s="1"/>
  <c r="AJ91" i="868" s="1"/>
  <c r="AB81" i="868"/>
  <c r="AC81" i="868" s="1"/>
  <c r="AE81" i="868" s="1"/>
  <c r="AJ81" i="868" s="1"/>
  <c r="AB71" i="868"/>
  <c r="AC71" i="868" s="1"/>
  <c r="AE71" i="868" s="1"/>
  <c r="AB61" i="868"/>
  <c r="AC61" i="868" s="1"/>
  <c r="AE61" i="868" s="1"/>
  <c r="AH61" i="868" s="1"/>
  <c r="AB51" i="868"/>
  <c r="AC51" i="868" s="1"/>
  <c r="AE51" i="868" s="1"/>
  <c r="AJ51" i="868" s="1"/>
  <c r="AB41" i="868"/>
  <c r="AC41" i="868" s="1"/>
  <c r="AE41" i="868" s="1"/>
  <c r="AJ41" i="868" s="1"/>
  <c r="AB31" i="868"/>
  <c r="AC31" i="868" s="1"/>
  <c r="AE31" i="868" s="1"/>
  <c r="AJ31" i="868" s="1"/>
  <c r="AB13" i="868"/>
  <c r="AC13" i="868" s="1"/>
  <c r="AE13" i="868" s="1"/>
  <c r="AJ13" i="868" s="1"/>
  <c r="AB135" i="868"/>
  <c r="AC135" i="868" s="1"/>
  <c r="AE135" i="868" s="1"/>
  <c r="AJ135" i="868" s="1"/>
  <c r="AB128" i="868"/>
  <c r="AC128" i="868" s="1"/>
  <c r="AE128" i="868" s="1"/>
  <c r="AJ128" i="868" s="1"/>
  <c r="AB99" i="868"/>
  <c r="AC99" i="868" s="1"/>
  <c r="AE99" i="868" s="1"/>
  <c r="AB55" i="868"/>
  <c r="AC55" i="868" s="1"/>
  <c r="AE55" i="868" s="1"/>
  <c r="AJ55" i="868" s="1"/>
  <c r="AB118" i="868"/>
  <c r="AC118" i="868" s="1"/>
  <c r="AE118" i="868" s="1"/>
  <c r="AJ118" i="868" s="1"/>
  <c r="AB97" i="868"/>
  <c r="AC97" i="868" s="1"/>
  <c r="AE97" i="868" s="1"/>
  <c r="AJ97" i="868" s="1"/>
  <c r="AB63" i="868"/>
  <c r="AC63" i="868" s="1"/>
  <c r="AE63" i="868" s="1"/>
  <c r="AJ63" i="868" s="1"/>
  <c r="AB120" i="868"/>
  <c r="AC120" i="868" s="1"/>
  <c r="AE120" i="868" s="1"/>
  <c r="AH120" i="868" s="1"/>
  <c r="AB115" i="868"/>
  <c r="AC115" i="868" s="1"/>
  <c r="AE115" i="868" s="1"/>
  <c r="AJ115" i="868" s="1"/>
  <c r="AB107" i="868"/>
  <c r="AC107" i="868" s="1"/>
  <c r="AE107" i="868" s="1"/>
  <c r="AJ107" i="868" s="1"/>
  <c r="AB73" i="868"/>
  <c r="AC73" i="868" s="1"/>
  <c r="AE73" i="868" s="1"/>
  <c r="AJ73" i="868" s="1"/>
  <c r="AB33" i="868"/>
  <c r="AC33" i="868" s="1"/>
  <c r="AE33" i="868" s="1"/>
  <c r="AH33" i="868" s="1"/>
  <c r="AB9" i="868"/>
  <c r="AC9" i="868" s="1"/>
  <c r="AE9" i="868" s="1"/>
  <c r="AH9" i="868" s="1"/>
  <c r="AB89" i="868"/>
  <c r="AC89" i="868" s="1"/>
  <c r="AE89" i="868" s="1"/>
  <c r="AH89" i="868" s="1"/>
  <c r="AB47" i="868"/>
  <c r="AC47" i="868" s="1"/>
  <c r="AE47" i="868" s="1"/>
  <c r="AH47" i="868" s="1"/>
  <c r="AB123" i="868"/>
  <c r="AC123" i="868" s="1"/>
  <c r="AE123" i="868" s="1"/>
  <c r="AJ123" i="868" s="1"/>
  <c r="AB105" i="868"/>
  <c r="AC105" i="868" s="1"/>
  <c r="AE105" i="868" s="1"/>
  <c r="AJ105" i="868" s="1"/>
  <c r="AB23" i="868"/>
  <c r="AC23" i="868" s="1"/>
  <c r="AE23" i="868" s="1"/>
  <c r="AJ23" i="868" s="1"/>
  <c r="AB133" i="868"/>
  <c r="AC133" i="868" s="1"/>
  <c r="AE133" i="868" s="1"/>
  <c r="AJ133" i="868" s="1"/>
  <c r="AH7" i="868"/>
  <c r="AB35" i="868"/>
  <c r="AC35" i="868" s="1"/>
  <c r="AE35" i="868" s="1"/>
  <c r="AJ35" i="868" s="1"/>
  <c r="AB134" i="868"/>
  <c r="AC134" i="868" s="1"/>
  <c r="AE134" i="868" s="1"/>
  <c r="AB69" i="868"/>
  <c r="AC69" i="868" s="1"/>
  <c r="AE69" i="868" s="1"/>
  <c r="AJ69" i="868" s="1"/>
  <c r="AH5" i="868"/>
  <c r="AB43" i="868"/>
  <c r="AC43" i="868" s="1"/>
  <c r="AE43" i="868" s="1"/>
  <c r="AH43" i="868" s="1"/>
  <c r="AB87" i="868"/>
  <c r="AC87" i="868" s="1"/>
  <c r="AE87" i="868" s="1"/>
  <c r="AJ87" i="868" s="1"/>
  <c r="AB130" i="868"/>
  <c r="AC130" i="868" s="1"/>
  <c r="AE130" i="868" s="1"/>
  <c r="AJ43" i="868" l="1"/>
  <c r="AJ121" i="868"/>
  <c r="AH128" i="868"/>
  <c r="AJ39" i="868"/>
  <c r="AJ49" i="868"/>
  <c r="AK136" i="868"/>
  <c r="AL136" i="868"/>
  <c r="AH119" i="868"/>
  <c r="AJ122" i="868"/>
  <c r="AJ126" i="868"/>
  <c r="AH17" i="868"/>
  <c r="AK17" i="868" s="1"/>
  <c r="AH107" i="868"/>
  <c r="AK107" i="868" s="1"/>
  <c r="AH115" i="868"/>
  <c r="AK115" i="868" s="1"/>
  <c r="AH75" i="868"/>
  <c r="AK75" i="868" s="1"/>
  <c r="AJ33" i="868"/>
  <c r="AH93" i="868"/>
  <c r="AL93" i="868" s="1"/>
  <c r="AH13" i="868"/>
  <c r="AL13" i="868" s="1"/>
  <c r="AJ9" i="868"/>
  <c r="AH69" i="868"/>
  <c r="AL69" i="868" s="1"/>
  <c r="AH105" i="868"/>
  <c r="AK105" i="868" s="1"/>
  <c r="AH23" i="868"/>
  <c r="AK23" i="868" s="1"/>
  <c r="AH131" i="868"/>
  <c r="AL131" i="868" s="1"/>
  <c r="AJ37" i="868"/>
  <c r="AH135" i="868"/>
  <c r="AK135" i="868" s="1"/>
  <c r="AJ89" i="868"/>
  <c r="AH73" i="868"/>
  <c r="AK73" i="868" s="1"/>
  <c r="AJ47" i="868"/>
  <c r="AH87" i="868"/>
  <c r="AL87" i="868" s="1"/>
  <c r="AH31" i="868"/>
  <c r="AL31" i="868" s="1"/>
  <c r="AH79" i="868"/>
  <c r="AK79" i="868" s="1"/>
  <c r="AH11" i="868"/>
  <c r="AL11" i="868" s="1"/>
  <c r="AH21" i="868"/>
  <c r="AL21" i="868" s="1"/>
  <c r="AH81" i="868"/>
  <c r="AL81" i="868" s="1"/>
  <c r="AK111" i="868"/>
  <c r="AL111" i="868"/>
  <c r="AL61" i="868"/>
  <c r="AK61" i="868"/>
  <c r="AK67" i="868"/>
  <c r="AL67" i="868"/>
  <c r="AK89" i="868"/>
  <c r="AL89" i="868"/>
  <c r="AK33" i="868"/>
  <c r="AL33" i="868"/>
  <c r="AL120" i="868"/>
  <c r="AK120" i="868"/>
  <c r="AK39" i="868"/>
  <c r="AL39" i="868"/>
  <c r="AL121" i="868"/>
  <c r="AK121" i="868"/>
  <c r="AK85" i="868"/>
  <c r="AL85" i="868"/>
  <c r="AL71" i="868"/>
  <c r="AK71" i="868"/>
  <c r="AH133" i="868"/>
  <c r="AK59" i="868"/>
  <c r="AL59" i="868"/>
  <c r="AH65" i="868"/>
  <c r="AH25" i="868"/>
  <c r="AJ101" i="868"/>
  <c r="AH101" i="868"/>
  <c r="AK119" i="868"/>
  <c r="AL119" i="868"/>
  <c r="AK45" i="868"/>
  <c r="AL45" i="868"/>
  <c r="AH35" i="868"/>
  <c r="AK7" i="868"/>
  <c r="AL7" i="868"/>
  <c r="AH41" i="868"/>
  <c r="AH97" i="868"/>
  <c r="AL57" i="868"/>
  <c r="AK57" i="868"/>
  <c r="AK47" i="868"/>
  <c r="AL47" i="868"/>
  <c r="AL27" i="868"/>
  <c r="AK27" i="868"/>
  <c r="AH51" i="868"/>
  <c r="AL43" i="868"/>
  <c r="AK43" i="868"/>
  <c r="AK129" i="868"/>
  <c r="AL129" i="868"/>
  <c r="AH118" i="868"/>
  <c r="AH55" i="868"/>
  <c r="AJ130" i="868"/>
  <c r="AH130" i="868"/>
  <c r="AJ134" i="868"/>
  <c r="AH134" i="868"/>
  <c r="AL9" i="868"/>
  <c r="AK9" i="868"/>
  <c r="AJ83" i="868"/>
  <c r="AH83" i="868"/>
  <c r="AJ67" i="868"/>
  <c r="AH91" i="868"/>
  <c r="AJ120" i="868"/>
  <c r="AJ61" i="868"/>
  <c r="AH103" i="868"/>
  <c r="AL128" i="868"/>
  <c r="AK128" i="868"/>
  <c r="AK29" i="868"/>
  <c r="AL29" i="868"/>
  <c r="AJ99" i="868"/>
  <c r="AH99" i="868"/>
  <c r="AK95" i="868"/>
  <c r="AL95" i="868"/>
  <c r="AH124" i="868"/>
  <c r="AJ124" i="868"/>
  <c r="AK125" i="868"/>
  <c r="AL125" i="868"/>
  <c r="AJ85" i="868"/>
  <c r="AL122" i="868"/>
  <c r="AK122" i="868"/>
  <c r="AL19" i="868"/>
  <c r="AK19" i="868"/>
  <c r="AL127" i="868"/>
  <c r="AK127" i="868"/>
  <c r="AL132" i="868"/>
  <c r="AK132" i="868"/>
  <c r="AK113" i="868"/>
  <c r="AL113" i="868"/>
  <c r="AK109" i="868"/>
  <c r="AL109" i="868"/>
  <c r="AH63" i="868"/>
  <c r="AL53" i="868"/>
  <c r="AK53" i="868"/>
  <c r="AL37" i="868"/>
  <c r="AK37" i="868"/>
  <c r="AL126" i="868"/>
  <c r="AK126" i="868"/>
  <c r="AH123" i="868"/>
  <c r="AL5" i="868"/>
  <c r="AK5" i="868"/>
  <c r="AJ111" i="868"/>
  <c r="AH77" i="868"/>
  <c r="AK49" i="868"/>
  <c r="AL49" i="868"/>
  <c r="AK13" i="868" l="1"/>
  <c r="AK131" i="868"/>
  <c r="AL115" i="868"/>
  <c r="AK69" i="868"/>
  <c r="AL107" i="868"/>
  <c r="AL17" i="868"/>
  <c r="AL105" i="868"/>
  <c r="AL75" i="868"/>
  <c r="AL73" i="868"/>
  <c r="AL23" i="868"/>
  <c r="AK93" i="868"/>
  <c r="AK11" i="868"/>
  <c r="AK21" i="868"/>
  <c r="AK31" i="868"/>
  <c r="AK81" i="868"/>
  <c r="AL79" i="868"/>
  <c r="AK87" i="868"/>
  <c r="AL135" i="868"/>
  <c r="AL83" i="868"/>
  <c r="AK83" i="868"/>
  <c r="AL63" i="868"/>
  <c r="AK63" i="868"/>
  <c r="AL25" i="868"/>
  <c r="AK25" i="868"/>
  <c r="AL124" i="868"/>
  <c r="AK124" i="868"/>
  <c r="AK55" i="868"/>
  <c r="AL55" i="868"/>
  <c r="AK65" i="868"/>
  <c r="AL65" i="868"/>
  <c r="AL130" i="868"/>
  <c r="AK130" i="868"/>
  <c r="AL51" i="868"/>
  <c r="AK51" i="868"/>
  <c r="AK91" i="868"/>
  <c r="AL91" i="868"/>
  <c r="AL118" i="868"/>
  <c r="AK118" i="868"/>
  <c r="AL77" i="868"/>
  <c r="AK77" i="868"/>
  <c r="AL134" i="868"/>
  <c r="AK134" i="868"/>
  <c r="AK133" i="868"/>
  <c r="AL133" i="868"/>
  <c r="AL103" i="868"/>
  <c r="AK103" i="868"/>
  <c r="AK35" i="868"/>
  <c r="AL35" i="868"/>
  <c r="AL101" i="868"/>
  <c r="AK101" i="868"/>
  <c r="AK123" i="868"/>
  <c r="AL123" i="868"/>
  <c r="AK99" i="868"/>
  <c r="AL99" i="868"/>
  <c r="AL97" i="868"/>
  <c r="AK97" i="868"/>
  <c r="AL41" i="868"/>
  <c r="AK41" i="868"/>
  <c r="AF27" i="840" l="1"/>
  <c r="U14" i="843" l="1"/>
  <c r="V14" i="843"/>
  <c r="AF5" i="843" l="1"/>
  <c r="AX136" i="843" l="1"/>
  <c r="AW136" i="843"/>
  <c r="AN136" i="843"/>
  <c r="AO136" i="843" s="1"/>
  <c r="U136" i="843"/>
  <c r="V136" i="843" s="1"/>
  <c r="N136" i="843"/>
  <c r="AX135" i="843"/>
  <c r="AW135" i="843"/>
  <c r="AN135" i="843"/>
  <c r="AO135" i="843" s="1"/>
  <c r="U135" i="843"/>
  <c r="V135" i="843" s="1"/>
  <c r="N135" i="843"/>
  <c r="AX134" i="843"/>
  <c r="AW134" i="843"/>
  <c r="AN134" i="843"/>
  <c r="AO134" i="843" s="1"/>
  <c r="V134" i="843"/>
  <c r="U134" i="843"/>
  <c r="N134" i="843"/>
  <c r="AX133" i="843"/>
  <c r="AW133" i="843"/>
  <c r="AN133" i="843"/>
  <c r="AO133" i="843" s="1"/>
  <c r="U133" i="843"/>
  <c r="V133" i="843" s="1"/>
  <c r="N133" i="843"/>
  <c r="AX132" i="843"/>
  <c r="AW132" i="843"/>
  <c r="AN132" i="843"/>
  <c r="AO132" i="843" s="1"/>
  <c r="U132" i="843"/>
  <c r="V132" i="843" s="1"/>
  <c r="N132" i="843"/>
  <c r="AX131" i="843"/>
  <c r="AW131" i="843"/>
  <c r="AO131" i="843"/>
  <c r="AN131" i="843"/>
  <c r="U131" i="843"/>
  <c r="V131" i="843" s="1"/>
  <c r="N131" i="843"/>
  <c r="AX130" i="843"/>
  <c r="AW130" i="843"/>
  <c r="AN130" i="843"/>
  <c r="AO130" i="843" s="1"/>
  <c r="V130" i="843"/>
  <c r="U130" i="843"/>
  <c r="N130" i="843"/>
  <c r="AX129" i="843"/>
  <c r="AW129" i="843"/>
  <c r="AO129" i="843"/>
  <c r="AN129" i="843"/>
  <c r="AB129" i="843"/>
  <c r="AC129" i="843" s="1"/>
  <c r="AE129" i="843" s="1"/>
  <c r="V129" i="843"/>
  <c r="U129" i="843"/>
  <c r="N129" i="843"/>
  <c r="AX128" i="843"/>
  <c r="AW128" i="843"/>
  <c r="AN128" i="843"/>
  <c r="AO128" i="843" s="1"/>
  <c r="U128" i="843"/>
  <c r="V128" i="843" s="1"/>
  <c r="N128" i="843"/>
  <c r="AX127" i="843"/>
  <c r="AW127" i="843"/>
  <c r="AN127" i="843"/>
  <c r="AO127" i="843" s="1"/>
  <c r="AB127" i="843"/>
  <c r="AC127" i="843" s="1"/>
  <c r="AE127" i="843" s="1"/>
  <c r="U127" i="843"/>
  <c r="V127" i="843" s="1"/>
  <c r="N127" i="843"/>
  <c r="AX126" i="843"/>
  <c r="AW126" i="843"/>
  <c r="AO126" i="843"/>
  <c r="AN126" i="843"/>
  <c r="U126" i="843"/>
  <c r="V126" i="843" s="1"/>
  <c r="N126" i="843"/>
  <c r="AX125" i="843"/>
  <c r="AW125" i="843"/>
  <c r="AN125" i="843"/>
  <c r="AO125" i="843" s="1"/>
  <c r="U125" i="843"/>
  <c r="V125" i="843" s="1"/>
  <c r="N125" i="843"/>
  <c r="AX124" i="843"/>
  <c r="AW124" i="843"/>
  <c r="AN124" i="843"/>
  <c r="AO124" i="843" s="1"/>
  <c r="V124" i="843"/>
  <c r="U124" i="843"/>
  <c r="N124" i="843"/>
  <c r="AX123" i="843"/>
  <c r="AW123" i="843"/>
  <c r="AN123" i="843"/>
  <c r="AO123" i="843" s="1"/>
  <c r="V123" i="843"/>
  <c r="U123" i="843"/>
  <c r="N123" i="843"/>
  <c r="AX122" i="843"/>
  <c r="AW122" i="843"/>
  <c r="AN122" i="843"/>
  <c r="AO122" i="843" s="1"/>
  <c r="V122" i="843"/>
  <c r="U122" i="843"/>
  <c r="N122" i="843"/>
  <c r="AX121" i="843"/>
  <c r="AW121" i="843"/>
  <c r="AN121" i="843"/>
  <c r="AO121" i="843" s="1"/>
  <c r="U121" i="843"/>
  <c r="V121" i="843" s="1"/>
  <c r="N121" i="843"/>
  <c r="AX120" i="843"/>
  <c r="AW120" i="843"/>
  <c r="AN120" i="843"/>
  <c r="AO120" i="843" s="1"/>
  <c r="V120" i="843"/>
  <c r="U120" i="843"/>
  <c r="N120" i="843"/>
  <c r="AX119" i="843"/>
  <c r="AW119" i="843"/>
  <c r="AO119" i="843"/>
  <c r="AN119" i="843"/>
  <c r="V119" i="843"/>
  <c r="U119" i="843"/>
  <c r="N119" i="843"/>
  <c r="AX118" i="843"/>
  <c r="AW118" i="843"/>
  <c r="AN118" i="843"/>
  <c r="AO118" i="843" s="1"/>
  <c r="U118" i="843"/>
  <c r="V118" i="843" s="1"/>
  <c r="N118" i="843"/>
  <c r="AX117" i="843"/>
  <c r="AW117" i="843"/>
  <c r="AN117" i="843"/>
  <c r="AO117" i="843" s="1"/>
  <c r="V117" i="843"/>
  <c r="U117" i="843"/>
  <c r="N117" i="843"/>
  <c r="AX116" i="843"/>
  <c r="AW116" i="843"/>
  <c r="AO116" i="843"/>
  <c r="AN116" i="843"/>
  <c r="U116" i="843"/>
  <c r="V116" i="843" s="1"/>
  <c r="N116" i="843"/>
  <c r="AX115" i="843"/>
  <c r="AW115" i="843"/>
  <c r="AO115" i="843"/>
  <c r="AN115" i="843"/>
  <c r="U115" i="843"/>
  <c r="V115" i="843" s="1"/>
  <c r="N115" i="843"/>
  <c r="AX114" i="843"/>
  <c r="AW114" i="843"/>
  <c r="AN114" i="843"/>
  <c r="AO114" i="843" s="1"/>
  <c r="V114" i="843"/>
  <c r="U114" i="843"/>
  <c r="N114" i="843"/>
  <c r="AX113" i="843"/>
  <c r="AW113" i="843"/>
  <c r="AN113" i="843"/>
  <c r="AO113" i="843" s="1"/>
  <c r="AB113" i="843"/>
  <c r="AC113" i="843" s="1"/>
  <c r="AE113" i="843" s="1"/>
  <c r="U113" i="843"/>
  <c r="V113" i="843" s="1"/>
  <c r="N113" i="843"/>
  <c r="AX112" i="843"/>
  <c r="AW112" i="843"/>
  <c r="AN112" i="843"/>
  <c r="AO112" i="843" s="1"/>
  <c r="U112" i="843"/>
  <c r="V112" i="843" s="1"/>
  <c r="N112" i="843"/>
  <c r="AX111" i="843"/>
  <c r="AW111" i="843"/>
  <c r="AN111" i="843"/>
  <c r="AO111" i="843" s="1"/>
  <c r="U111" i="843"/>
  <c r="V111" i="843" s="1"/>
  <c r="N111" i="843"/>
  <c r="AX110" i="843"/>
  <c r="AW110" i="843"/>
  <c r="AO110" i="843"/>
  <c r="AN110" i="843"/>
  <c r="U110" i="843"/>
  <c r="V110" i="843" s="1"/>
  <c r="N110" i="843"/>
  <c r="AX109" i="843"/>
  <c r="AW109" i="843"/>
  <c r="AN109" i="843"/>
  <c r="AO109" i="843" s="1"/>
  <c r="V109" i="843"/>
  <c r="U109" i="843"/>
  <c r="N109" i="843"/>
  <c r="AX108" i="843"/>
  <c r="AW108" i="843"/>
  <c r="AN108" i="843"/>
  <c r="AO108" i="843" s="1"/>
  <c r="U108" i="843"/>
  <c r="V108" i="843" s="1"/>
  <c r="N108" i="843"/>
  <c r="AX107" i="843"/>
  <c r="AW107" i="843"/>
  <c r="AN107" i="843"/>
  <c r="AO107" i="843" s="1"/>
  <c r="U107" i="843"/>
  <c r="V107" i="843" s="1"/>
  <c r="N107" i="843"/>
  <c r="AX106" i="843"/>
  <c r="AW106" i="843"/>
  <c r="AO106" i="843"/>
  <c r="AN106" i="843"/>
  <c r="V106" i="843"/>
  <c r="U106" i="843"/>
  <c r="N106" i="843"/>
  <c r="AX105" i="843"/>
  <c r="AW105" i="843"/>
  <c r="AN105" i="843"/>
  <c r="AO105" i="843" s="1"/>
  <c r="U105" i="843"/>
  <c r="V105" i="843" s="1"/>
  <c r="N105" i="843"/>
  <c r="AX104" i="843"/>
  <c r="AW104" i="843"/>
  <c r="AN104" i="843"/>
  <c r="AO104" i="843" s="1"/>
  <c r="V104" i="843"/>
  <c r="U104" i="843"/>
  <c r="N104" i="843"/>
  <c r="AX103" i="843"/>
  <c r="AW103" i="843"/>
  <c r="AN103" i="843"/>
  <c r="AO103" i="843" s="1"/>
  <c r="AB103" i="843"/>
  <c r="AC103" i="843" s="1"/>
  <c r="AE103" i="843" s="1"/>
  <c r="V103" i="843"/>
  <c r="U103" i="843"/>
  <c r="N103" i="843"/>
  <c r="AX102" i="843"/>
  <c r="AW102" i="843"/>
  <c r="AN102" i="843"/>
  <c r="AO102" i="843" s="1"/>
  <c r="U102" i="843"/>
  <c r="V102" i="843" s="1"/>
  <c r="N102" i="843"/>
  <c r="AX101" i="843"/>
  <c r="AW101" i="843"/>
  <c r="AN101" i="843"/>
  <c r="AO101" i="843" s="1"/>
  <c r="U101" i="843"/>
  <c r="V101" i="843" s="1"/>
  <c r="N101" i="843"/>
  <c r="AX100" i="843"/>
  <c r="AW100" i="843"/>
  <c r="AN100" i="843"/>
  <c r="AO100" i="843" s="1"/>
  <c r="U100" i="843"/>
  <c r="V100" i="843" s="1"/>
  <c r="N100" i="843"/>
  <c r="AX99" i="843"/>
  <c r="AW99" i="843"/>
  <c r="AN99" i="843"/>
  <c r="AO99" i="843" s="1"/>
  <c r="V99" i="843"/>
  <c r="U99" i="843"/>
  <c r="N99" i="843"/>
  <c r="AX98" i="843"/>
  <c r="AW98" i="843"/>
  <c r="AO98" i="843"/>
  <c r="AN98" i="843"/>
  <c r="U98" i="843"/>
  <c r="V98" i="843" s="1"/>
  <c r="N98" i="843"/>
  <c r="AX97" i="843"/>
  <c r="AW97" i="843"/>
  <c r="AN97" i="843"/>
  <c r="AO97" i="843" s="1"/>
  <c r="U97" i="843"/>
  <c r="V97" i="843" s="1"/>
  <c r="N97" i="843"/>
  <c r="AX96" i="843"/>
  <c r="AW96" i="843"/>
  <c r="AO96" i="843"/>
  <c r="AN96" i="843"/>
  <c r="U96" i="843"/>
  <c r="V96" i="843" s="1"/>
  <c r="N96" i="843"/>
  <c r="AX95" i="843"/>
  <c r="AW95" i="843"/>
  <c r="AO95" i="843"/>
  <c r="AN95" i="843"/>
  <c r="U95" i="843"/>
  <c r="V95" i="843" s="1"/>
  <c r="N95" i="843"/>
  <c r="AX94" i="843"/>
  <c r="AW94" i="843"/>
  <c r="AN94" i="843"/>
  <c r="AO94" i="843" s="1"/>
  <c r="AB94" i="843"/>
  <c r="AC94" i="843" s="1"/>
  <c r="AE94" i="843" s="1"/>
  <c r="V94" i="843"/>
  <c r="U94" i="843"/>
  <c r="N94" i="843"/>
  <c r="AX93" i="843"/>
  <c r="AW93" i="843"/>
  <c r="AN93" i="843"/>
  <c r="AO93" i="843" s="1"/>
  <c r="U93" i="843"/>
  <c r="V93" i="843" s="1"/>
  <c r="N93" i="843"/>
  <c r="AX92" i="843"/>
  <c r="AW92" i="843"/>
  <c r="AN92" i="843"/>
  <c r="AO92" i="843" s="1"/>
  <c r="U92" i="843"/>
  <c r="V92" i="843" s="1"/>
  <c r="N92" i="843"/>
  <c r="AX91" i="843"/>
  <c r="AW91" i="843"/>
  <c r="AN91" i="843"/>
  <c r="AO91" i="843" s="1"/>
  <c r="U91" i="843"/>
  <c r="V91" i="843" s="1"/>
  <c r="N91" i="843"/>
  <c r="AX90" i="843"/>
  <c r="AW90" i="843"/>
  <c r="AN90" i="843"/>
  <c r="AO90" i="843" s="1"/>
  <c r="U90" i="843"/>
  <c r="V90" i="843" s="1"/>
  <c r="N90" i="843"/>
  <c r="AX89" i="843"/>
  <c r="AW89" i="843"/>
  <c r="AN89" i="843"/>
  <c r="AO89" i="843" s="1"/>
  <c r="V89" i="843"/>
  <c r="U89" i="843"/>
  <c r="N89" i="843"/>
  <c r="AX88" i="843"/>
  <c r="AW88" i="843"/>
  <c r="AN88" i="843"/>
  <c r="AO88" i="843" s="1"/>
  <c r="U88" i="843"/>
  <c r="V88" i="843" s="1"/>
  <c r="N88" i="843"/>
  <c r="AX87" i="843"/>
  <c r="AW87" i="843"/>
  <c r="AN87" i="843"/>
  <c r="AO87" i="843" s="1"/>
  <c r="U87" i="843"/>
  <c r="V87" i="843" s="1"/>
  <c r="N87" i="843"/>
  <c r="AX86" i="843"/>
  <c r="AW86" i="843"/>
  <c r="AO86" i="843"/>
  <c r="AN86" i="843"/>
  <c r="U86" i="843"/>
  <c r="V86" i="843" s="1"/>
  <c r="N86" i="843"/>
  <c r="AX85" i="843"/>
  <c r="AW85" i="843"/>
  <c r="AO85" i="843"/>
  <c r="AN85" i="843"/>
  <c r="U85" i="843"/>
  <c r="V85" i="843" s="1"/>
  <c r="N85" i="843"/>
  <c r="AX84" i="843"/>
  <c r="AW84" i="843"/>
  <c r="AN84" i="843"/>
  <c r="AO84" i="843" s="1"/>
  <c r="V84" i="843"/>
  <c r="U84" i="843"/>
  <c r="N84" i="843"/>
  <c r="AX83" i="843"/>
  <c r="AW83" i="843"/>
  <c r="AN83" i="843"/>
  <c r="AO83" i="843" s="1"/>
  <c r="U83" i="843"/>
  <c r="V83" i="843" s="1"/>
  <c r="N83" i="843"/>
  <c r="AX82" i="843"/>
  <c r="AW82" i="843"/>
  <c r="AO82" i="843"/>
  <c r="AN82" i="843"/>
  <c r="U82" i="843"/>
  <c r="V82" i="843" s="1"/>
  <c r="N82" i="843"/>
  <c r="AX81" i="843"/>
  <c r="AW81" i="843"/>
  <c r="AN81" i="843"/>
  <c r="AO81" i="843" s="1"/>
  <c r="U81" i="843"/>
  <c r="V81" i="843" s="1"/>
  <c r="N81" i="843"/>
  <c r="AX80" i="843"/>
  <c r="AW80" i="843"/>
  <c r="AO80" i="843"/>
  <c r="AN80" i="843"/>
  <c r="U80" i="843"/>
  <c r="V80" i="843" s="1"/>
  <c r="N80" i="843"/>
  <c r="AX79" i="843"/>
  <c r="AW79" i="843"/>
  <c r="AN79" i="843"/>
  <c r="AO79" i="843" s="1"/>
  <c r="V79" i="843"/>
  <c r="U79" i="843"/>
  <c r="N79" i="843"/>
  <c r="AX78" i="843"/>
  <c r="AW78" i="843"/>
  <c r="AN78" i="843"/>
  <c r="AO78" i="843" s="1"/>
  <c r="U78" i="843"/>
  <c r="V78" i="843" s="1"/>
  <c r="N78" i="843"/>
  <c r="AX77" i="843"/>
  <c r="AW77" i="843"/>
  <c r="AN77" i="843"/>
  <c r="AO77" i="843" s="1"/>
  <c r="V77" i="843"/>
  <c r="U77" i="843"/>
  <c r="N77" i="843"/>
  <c r="AX76" i="843"/>
  <c r="AW76" i="843"/>
  <c r="AO76" i="843"/>
  <c r="AN76" i="843"/>
  <c r="V76" i="843"/>
  <c r="U76" i="843"/>
  <c r="N76" i="843"/>
  <c r="AX75" i="843"/>
  <c r="AW75" i="843"/>
  <c r="AN75" i="843"/>
  <c r="AO75" i="843" s="1"/>
  <c r="U75" i="843"/>
  <c r="V75" i="843" s="1"/>
  <c r="N75" i="843"/>
  <c r="AX74" i="843"/>
  <c r="AW74" i="843"/>
  <c r="AN74" i="843"/>
  <c r="AO74" i="843" s="1"/>
  <c r="AB74" i="843"/>
  <c r="AC74" i="843" s="1"/>
  <c r="AE74" i="843" s="1"/>
  <c r="V74" i="843"/>
  <c r="U74" i="843"/>
  <c r="N74" i="843"/>
  <c r="AX73" i="843"/>
  <c r="AW73" i="843"/>
  <c r="AN73" i="843"/>
  <c r="AO73" i="843" s="1"/>
  <c r="U73" i="843"/>
  <c r="V73" i="843" s="1"/>
  <c r="N73" i="843"/>
  <c r="AX72" i="843"/>
  <c r="AW72" i="843"/>
  <c r="AN72" i="843"/>
  <c r="AO72" i="843" s="1"/>
  <c r="U72" i="843"/>
  <c r="V72" i="843" s="1"/>
  <c r="N72" i="843"/>
  <c r="AX71" i="843"/>
  <c r="AW71" i="843"/>
  <c r="AO71" i="843"/>
  <c r="AN71" i="843"/>
  <c r="U71" i="843"/>
  <c r="V71" i="843" s="1"/>
  <c r="N71" i="843"/>
  <c r="AX70" i="843"/>
  <c r="AW70" i="843"/>
  <c r="AN70" i="843"/>
  <c r="AO70" i="843" s="1"/>
  <c r="V70" i="843"/>
  <c r="U70" i="843"/>
  <c r="N70" i="843"/>
  <c r="AX69" i="843"/>
  <c r="AW69" i="843"/>
  <c r="AO69" i="843"/>
  <c r="AN69" i="843"/>
  <c r="AB69" i="843"/>
  <c r="AC69" i="843" s="1"/>
  <c r="AE69" i="843" s="1"/>
  <c r="V69" i="843"/>
  <c r="U69" i="843"/>
  <c r="N69" i="843"/>
  <c r="AX68" i="843"/>
  <c r="AW68" i="843"/>
  <c r="AN68" i="843"/>
  <c r="AO68" i="843" s="1"/>
  <c r="U68" i="843"/>
  <c r="V68" i="843" s="1"/>
  <c r="N68" i="843"/>
  <c r="AX67" i="843"/>
  <c r="AW67" i="843"/>
  <c r="AN67" i="843"/>
  <c r="AO67" i="843" s="1"/>
  <c r="AB67" i="843"/>
  <c r="AC67" i="843" s="1"/>
  <c r="AE67" i="843" s="1"/>
  <c r="V67" i="843"/>
  <c r="AJ67" i="843" s="1"/>
  <c r="U67" i="843"/>
  <c r="N67" i="843"/>
  <c r="AX66" i="843"/>
  <c r="AW66" i="843"/>
  <c r="AO66" i="843"/>
  <c r="AN66" i="843"/>
  <c r="U66" i="843"/>
  <c r="V66" i="843" s="1"/>
  <c r="N66" i="843"/>
  <c r="AX65" i="843"/>
  <c r="AW65" i="843"/>
  <c r="AN65" i="843"/>
  <c r="AO65" i="843" s="1"/>
  <c r="U65" i="843"/>
  <c r="V65" i="843" s="1"/>
  <c r="N65" i="843"/>
  <c r="AX64" i="843"/>
  <c r="AW64" i="843"/>
  <c r="AN64" i="843"/>
  <c r="AO64" i="843" s="1"/>
  <c r="AB64" i="843"/>
  <c r="AC64" i="843" s="1"/>
  <c r="AE64" i="843" s="1"/>
  <c r="V64" i="843"/>
  <c r="U64" i="843"/>
  <c r="N64" i="843"/>
  <c r="AX63" i="843"/>
  <c r="AW63" i="843"/>
  <c r="AN63" i="843"/>
  <c r="AO63" i="843" s="1"/>
  <c r="V63" i="843"/>
  <c r="U63" i="843"/>
  <c r="N63" i="843"/>
  <c r="AX62" i="843"/>
  <c r="AW62" i="843"/>
  <c r="AN62" i="843"/>
  <c r="AO62" i="843" s="1"/>
  <c r="AB62" i="843"/>
  <c r="AC62" i="843" s="1"/>
  <c r="AE62" i="843" s="1"/>
  <c r="V62" i="843"/>
  <c r="U62" i="843"/>
  <c r="N62" i="843"/>
  <c r="AX61" i="843"/>
  <c r="AW61" i="843"/>
  <c r="AN61" i="843"/>
  <c r="AO61" i="843" s="1"/>
  <c r="U61" i="843"/>
  <c r="V61" i="843" s="1"/>
  <c r="N61" i="843"/>
  <c r="AX60" i="843"/>
  <c r="AW60" i="843"/>
  <c r="AN60" i="843"/>
  <c r="AO60" i="843" s="1"/>
  <c r="U60" i="843"/>
  <c r="V60" i="843" s="1"/>
  <c r="N60" i="843"/>
  <c r="AX59" i="843"/>
  <c r="AW59" i="843"/>
  <c r="AN59" i="843"/>
  <c r="AO59" i="843" s="1"/>
  <c r="U59" i="843"/>
  <c r="V59" i="843" s="1"/>
  <c r="N59" i="843"/>
  <c r="AX58" i="843"/>
  <c r="AW58" i="843"/>
  <c r="AO58" i="843"/>
  <c r="AN58" i="843"/>
  <c r="U58" i="843"/>
  <c r="V58" i="843" s="1"/>
  <c r="N58" i="843"/>
  <c r="AX57" i="843"/>
  <c r="AW57" i="843"/>
  <c r="AO57" i="843"/>
  <c r="AN57" i="843"/>
  <c r="U57" i="843"/>
  <c r="V57" i="843" s="1"/>
  <c r="N57" i="843"/>
  <c r="AX56" i="843"/>
  <c r="AW56" i="843"/>
  <c r="AO56" i="843"/>
  <c r="AN56" i="843"/>
  <c r="V56" i="843"/>
  <c r="U56" i="843"/>
  <c r="N56" i="843"/>
  <c r="AX55" i="843"/>
  <c r="AW55" i="843"/>
  <c r="AN55" i="843"/>
  <c r="AO55" i="843" s="1"/>
  <c r="U55" i="843"/>
  <c r="V55" i="843" s="1"/>
  <c r="N55" i="843"/>
  <c r="AX54" i="843"/>
  <c r="AW54" i="843"/>
  <c r="AN54" i="843"/>
  <c r="AO54" i="843" s="1"/>
  <c r="V54" i="843"/>
  <c r="U54" i="843"/>
  <c r="N54" i="843"/>
  <c r="AX53" i="843"/>
  <c r="AW53" i="843"/>
  <c r="AN53" i="843"/>
  <c r="AO53" i="843" s="1"/>
  <c r="U53" i="843"/>
  <c r="V53" i="843" s="1"/>
  <c r="N53" i="843"/>
  <c r="AX52" i="843"/>
  <c r="AW52" i="843"/>
  <c r="AO52" i="843"/>
  <c r="AN52" i="843"/>
  <c r="V52" i="843"/>
  <c r="U52" i="843"/>
  <c r="N52" i="843"/>
  <c r="AX51" i="843"/>
  <c r="AW51" i="843"/>
  <c r="AN51" i="843"/>
  <c r="AO51" i="843" s="1"/>
  <c r="U51" i="843"/>
  <c r="V51" i="843" s="1"/>
  <c r="N51" i="843"/>
  <c r="AX50" i="843"/>
  <c r="AW50" i="843"/>
  <c r="AO50" i="843"/>
  <c r="AN50" i="843"/>
  <c r="U50" i="843"/>
  <c r="V50" i="843" s="1"/>
  <c r="N50" i="843"/>
  <c r="AX49" i="843"/>
  <c r="AW49" i="843"/>
  <c r="AN49" i="843"/>
  <c r="AO49" i="843" s="1"/>
  <c r="U49" i="843"/>
  <c r="V49" i="843" s="1"/>
  <c r="N49" i="843"/>
  <c r="AX48" i="843"/>
  <c r="AW48" i="843"/>
  <c r="AN48" i="843"/>
  <c r="AO48" i="843" s="1"/>
  <c r="U48" i="843"/>
  <c r="V48" i="843" s="1"/>
  <c r="N48" i="843"/>
  <c r="AX47" i="843"/>
  <c r="AW47" i="843"/>
  <c r="AN47" i="843"/>
  <c r="AO47" i="843" s="1"/>
  <c r="V47" i="843"/>
  <c r="U47" i="843"/>
  <c r="N47" i="843"/>
  <c r="AX46" i="843"/>
  <c r="AW46" i="843"/>
  <c r="AO46" i="843"/>
  <c r="AN46" i="843"/>
  <c r="U46" i="843"/>
  <c r="V46" i="843" s="1"/>
  <c r="N46" i="843"/>
  <c r="AX45" i="843"/>
  <c r="AW45" i="843"/>
  <c r="AO45" i="843"/>
  <c r="AN45" i="843"/>
  <c r="U45" i="843"/>
  <c r="V45" i="843" s="1"/>
  <c r="N45" i="843"/>
  <c r="AX44" i="843"/>
  <c r="AW44" i="843"/>
  <c r="AN44" i="843"/>
  <c r="AO44" i="843" s="1"/>
  <c r="V44" i="843"/>
  <c r="U44" i="843"/>
  <c r="N44" i="843"/>
  <c r="AX43" i="843"/>
  <c r="AW43" i="843"/>
  <c r="AN43" i="843"/>
  <c r="AO43" i="843" s="1"/>
  <c r="V43" i="843"/>
  <c r="U43" i="843"/>
  <c r="N43" i="843"/>
  <c r="AX42" i="843"/>
  <c r="AW42" i="843"/>
  <c r="AN42" i="843"/>
  <c r="AO42" i="843" s="1"/>
  <c r="U42" i="843"/>
  <c r="V42" i="843" s="1"/>
  <c r="N42" i="843"/>
  <c r="AX41" i="843"/>
  <c r="AW41" i="843"/>
  <c r="AO41" i="843"/>
  <c r="AN41" i="843"/>
  <c r="U41" i="843"/>
  <c r="V41" i="843" s="1"/>
  <c r="N41" i="843"/>
  <c r="AX40" i="843"/>
  <c r="AW40" i="843"/>
  <c r="AN40" i="843"/>
  <c r="AO40" i="843" s="1"/>
  <c r="U40" i="843"/>
  <c r="V40" i="843" s="1"/>
  <c r="N40" i="843"/>
  <c r="AX39" i="843"/>
  <c r="AW39" i="843"/>
  <c r="AN39" i="843"/>
  <c r="AO39" i="843" s="1"/>
  <c r="U39" i="843"/>
  <c r="V39" i="843" s="1"/>
  <c r="N39" i="843"/>
  <c r="AX38" i="843"/>
  <c r="AW38" i="843"/>
  <c r="AN38" i="843"/>
  <c r="AO38" i="843" s="1"/>
  <c r="U38" i="843"/>
  <c r="V38" i="843" s="1"/>
  <c r="N38" i="843"/>
  <c r="AX37" i="843"/>
  <c r="AW37" i="843"/>
  <c r="AN37" i="843"/>
  <c r="AO37" i="843" s="1"/>
  <c r="AB37" i="843"/>
  <c r="AC37" i="843" s="1"/>
  <c r="AE37" i="843" s="1"/>
  <c r="U37" i="843"/>
  <c r="V37" i="843" s="1"/>
  <c r="N37" i="843"/>
  <c r="AX36" i="843"/>
  <c r="AW36" i="843"/>
  <c r="AO36" i="843"/>
  <c r="AN36" i="843"/>
  <c r="U36" i="843"/>
  <c r="V36" i="843" s="1"/>
  <c r="N36" i="843"/>
  <c r="AX35" i="843"/>
  <c r="AW35" i="843"/>
  <c r="AN35" i="843"/>
  <c r="AO35" i="843" s="1"/>
  <c r="U35" i="843"/>
  <c r="V35" i="843" s="1"/>
  <c r="N35" i="843"/>
  <c r="AX34" i="843"/>
  <c r="AW34" i="843"/>
  <c r="AN34" i="843"/>
  <c r="AO34" i="843" s="1"/>
  <c r="V34" i="843"/>
  <c r="U34" i="843"/>
  <c r="N34" i="843"/>
  <c r="AX33" i="843"/>
  <c r="AW33" i="843"/>
  <c r="AN33" i="843"/>
  <c r="AO33" i="843" s="1"/>
  <c r="U33" i="843"/>
  <c r="V33" i="843" s="1"/>
  <c r="N33" i="843"/>
  <c r="AX32" i="843"/>
  <c r="AW32" i="843"/>
  <c r="AO32" i="843"/>
  <c r="AN32" i="843"/>
  <c r="U32" i="843"/>
  <c r="V32" i="843" s="1"/>
  <c r="N32" i="843"/>
  <c r="AX31" i="843"/>
  <c r="AW31" i="843"/>
  <c r="AN31" i="843"/>
  <c r="AO31" i="843" s="1"/>
  <c r="U31" i="843"/>
  <c r="V31" i="843" s="1"/>
  <c r="N31" i="843"/>
  <c r="AX30" i="843"/>
  <c r="AW30" i="843"/>
  <c r="AN30" i="843"/>
  <c r="AO30" i="843" s="1"/>
  <c r="AB30" i="843"/>
  <c r="AC30" i="843" s="1"/>
  <c r="AE30" i="843" s="1"/>
  <c r="V30" i="843"/>
  <c r="U30" i="843"/>
  <c r="N30" i="843"/>
  <c r="AX29" i="843"/>
  <c r="AW29" i="843"/>
  <c r="AN29" i="843"/>
  <c r="AO29" i="843" s="1"/>
  <c r="U29" i="843"/>
  <c r="V29" i="843" s="1"/>
  <c r="N29" i="843"/>
  <c r="AX28" i="843"/>
  <c r="AW28" i="843"/>
  <c r="AN28" i="843"/>
  <c r="AO28" i="843" s="1"/>
  <c r="U28" i="843"/>
  <c r="V28" i="843" s="1"/>
  <c r="N28" i="843"/>
  <c r="AX27" i="843"/>
  <c r="AW27" i="843"/>
  <c r="AN27" i="843"/>
  <c r="AO27" i="843" s="1"/>
  <c r="U27" i="843"/>
  <c r="V27" i="843" s="1"/>
  <c r="N27" i="843"/>
  <c r="AX26" i="843"/>
  <c r="AW26" i="843"/>
  <c r="AO26" i="843"/>
  <c r="AN26" i="843"/>
  <c r="V26" i="843"/>
  <c r="U26" i="843"/>
  <c r="N26" i="843"/>
  <c r="AX25" i="843"/>
  <c r="AW25" i="843"/>
  <c r="AN25" i="843"/>
  <c r="AO25" i="843" s="1"/>
  <c r="U25" i="843"/>
  <c r="V25" i="843" s="1"/>
  <c r="N25" i="843"/>
  <c r="AX24" i="843"/>
  <c r="AW24" i="843"/>
  <c r="AN24" i="843"/>
  <c r="AO24" i="843" s="1"/>
  <c r="V24" i="843"/>
  <c r="U24" i="843"/>
  <c r="N24" i="843"/>
  <c r="AX23" i="843"/>
  <c r="AW23" i="843"/>
  <c r="AN23" i="843"/>
  <c r="AO23" i="843" s="1"/>
  <c r="U23" i="843"/>
  <c r="V23" i="843" s="1"/>
  <c r="N23" i="843"/>
  <c r="AX22" i="843"/>
  <c r="AW22" i="843"/>
  <c r="AO22" i="843"/>
  <c r="AN22" i="843"/>
  <c r="U22" i="843"/>
  <c r="V22" i="843" s="1"/>
  <c r="N22" i="843"/>
  <c r="AX21" i="843"/>
  <c r="AW21" i="843"/>
  <c r="AN21" i="843"/>
  <c r="AO21" i="843" s="1"/>
  <c r="U21" i="843"/>
  <c r="V21" i="843" s="1"/>
  <c r="N21" i="843"/>
  <c r="AX20" i="843"/>
  <c r="AW20" i="843"/>
  <c r="AO20" i="843"/>
  <c r="AN20" i="843"/>
  <c r="U20" i="843"/>
  <c r="V20" i="843" s="1"/>
  <c r="N20" i="843"/>
  <c r="AX19" i="843"/>
  <c r="AW19" i="843"/>
  <c r="AN19" i="843"/>
  <c r="AO19" i="843" s="1"/>
  <c r="U19" i="843"/>
  <c r="V19" i="843" s="1"/>
  <c r="N19" i="843"/>
  <c r="AX18" i="843"/>
  <c r="AW18" i="843"/>
  <c r="AN18" i="843"/>
  <c r="AO18" i="843" s="1"/>
  <c r="U18" i="843"/>
  <c r="V18" i="843" s="1"/>
  <c r="N18" i="843"/>
  <c r="AX17" i="843"/>
  <c r="AW17" i="843"/>
  <c r="AN17" i="843"/>
  <c r="AO17" i="843" s="1"/>
  <c r="U17" i="843"/>
  <c r="V17" i="843" s="1"/>
  <c r="N17" i="843"/>
  <c r="AX16" i="843"/>
  <c r="AW16" i="843"/>
  <c r="AO16" i="843"/>
  <c r="AN16" i="843"/>
  <c r="U16" i="843"/>
  <c r="V16" i="843" s="1"/>
  <c r="N16" i="843"/>
  <c r="AX15" i="843"/>
  <c r="AW15" i="843"/>
  <c r="AN15" i="843"/>
  <c r="AO15" i="843" s="1"/>
  <c r="U15" i="843"/>
  <c r="V15" i="843" s="1"/>
  <c r="N15" i="843"/>
  <c r="AX14" i="843"/>
  <c r="AW14" i="843"/>
  <c r="AO14" i="843"/>
  <c r="AN14" i="843"/>
  <c r="N14" i="843"/>
  <c r="AX13" i="843"/>
  <c r="AW13" i="843"/>
  <c r="AN13" i="843"/>
  <c r="AO13" i="843" s="1"/>
  <c r="U13" i="843"/>
  <c r="V13" i="843" s="1"/>
  <c r="N13" i="843"/>
  <c r="AX12" i="843"/>
  <c r="AW12" i="843"/>
  <c r="AN12" i="843"/>
  <c r="AO12" i="843" s="1"/>
  <c r="V12" i="843"/>
  <c r="U12" i="843"/>
  <c r="N12" i="843"/>
  <c r="AX11" i="843"/>
  <c r="AW11" i="843"/>
  <c r="AN11" i="843"/>
  <c r="AO11" i="843" s="1"/>
  <c r="U11" i="843"/>
  <c r="V11" i="843" s="1"/>
  <c r="N11" i="843"/>
  <c r="N10" i="843"/>
  <c r="AX9" i="843"/>
  <c r="AW9" i="843"/>
  <c r="AN9" i="843"/>
  <c r="AO9" i="843" s="1"/>
  <c r="U9" i="843"/>
  <c r="V9" i="843" s="1"/>
  <c r="N9" i="843"/>
  <c r="N8" i="843"/>
  <c r="AX7" i="843"/>
  <c r="AW7" i="843"/>
  <c r="AO7" i="843"/>
  <c r="AN7" i="843"/>
  <c r="AB7" i="843"/>
  <c r="AC7" i="843" s="1"/>
  <c r="AE7" i="843" s="1"/>
  <c r="U7" i="843"/>
  <c r="V7" i="843" s="1"/>
  <c r="N7" i="843"/>
  <c r="N6" i="843"/>
  <c r="AX5" i="843"/>
  <c r="AW5" i="843"/>
  <c r="AN5" i="843"/>
  <c r="AO5" i="843" s="1"/>
  <c r="U5" i="843"/>
  <c r="V5" i="843" s="1"/>
  <c r="N5" i="843"/>
  <c r="AS2" i="843"/>
  <c r="AA2" i="843"/>
  <c r="AD2" i="843" s="1"/>
  <c r="I2" i="843"/>
  <c r="AH103" i="843" l="1"/>
  <c r="AJ103" i="843"/>
  <c r="AJ37" i="843"/>
  <c r="AH37" i="843"/>
  <c r="AH30" i="843"/>
  <c r="AJ30" i="843"/>
  <c r="AJ76" i="843"/>
  <c r="AH96" i="843"/>
  <c r="AH28" i="843"/>
  <c r="AH69" i="843"/>
  <c r="AJ69" i="843"/>
  <c r="AJ94" i="843"/>
  <c r="AJ102" i="843"/>
  <c r="AH102" i="843"/>
  <c r="AH94" i="843"/>
  <c r="AH29" i="843"/>
  <c r="AJ7" i="843"/>
  <c r="AJ57" i="843"/>
  <c r="AH57" i="843"/>
  <c r="AJ113" i="843"/>
  <c r="AJ58" i="843"/>
  <c r="AJ64" i="843"/>
  <c r="AH64" i="843"/>
  <c r="AH67" i="843"/>
  <c r="AH58" i="843"/>
  <c r="AH113" i="843"/>
  <c r="AH129" i="843"/>
  <c r="AJ129" i="843"/>
  <c r="AJ62" i="843"/>
  <c r="AH62" i="843"/>
  <c r="AH74" i="843"/>
  <c r="AJ74" i="843"/>
  <c r="AH71" i="843"/>
  <c r="AJ71" i="843"/>
  <c r="AH50" i="843"/>
  <c r="AJ50" i="843"/>
  <c r="AH7" i="843"/>
  <c r="AJ56" i="843"/>
  <c r="AH56" i="843"/>
  <c r="AH93" i="843"/>
  <c r="AJ127" i="843"/>
  <c r="AH127" i="843"/>
  <c r="AB131" i="843"/>
  <c r="AC131" i="843" s="1"/>
  <c r="AE131" i="843" s="1"/>
  <c r="AB121" i="843"/>
  <c r="AC121" i="843" s="1"/>
  <c r="AE121" i="843" s="1"/>
  <c r="AB111" i="843"/>
  <c r="AC111" i="843" s="1"/>
  <c r="AE111" i="843" s="1"/>
  <c r="AB101" i="843"/>
  <c r="AC101" i="843" s="1"/>
  <c r="AE101" i="843" s="1"/>
  <c r="AB91" i="843"/>
  <c r="AC91" i="843" s="1"/>
  <c r="AE91" i="843" s="1"/>
  <c r="AH91" i="843" s="1"/>
  <c r="AB81" i="843"/>
  <c r="AC81" i="843" s="1"/>
  <c r="AE81" i="843" s="1"/>
  <c r="AB71" i="843"/>
  <c r="AC71" i="843" s="1"/>
  <c r="AE71" i="843" s="1"/>
  <c r="AB61" i="843"/>
  <c r="AC61" i="843" s="1"/>
  <c r="AE61" i="843" s="1"/>
  <c r="AB51" i="843"/>
  <c r="AC51" i="843" s="1"/>
  <c r="AE51" i="843" s="1"/>
  <c r="AH51" i="843" s="1"/>
  <c r="AB41" i="843"/>
  <c r="AC41" i="843" s="1"/>
  <c r="AE41" i="843" s="1"/>
  <c r="AB31" i="843"/>
  <c r="AC31" i="843" s="1"/>
  <c r="AE31" i="843" s="1"/>
  <c r="AJ31" i="843" s="1"/>
  <c r="AB21" i="843"/>
  <c r="AC21" i="843" s="1"/>
  <c r="AE21" i="843" s="1"/>
  <c r="AB11" i="843"/>
  <c r="AC11" i="843" s="1"/>
  <c r="AE11" i="843" s="1"/>
  <c r="AJ11" i="843" s="1"/>
  <c r="AB18" i="843"/>
  <c r="AC18" i="843" s="1"/>
  <c r="AE18" i="843" s="1"/>
  <c r="AJ18" i="843" s="1"/>
  <c r="AB25" i="843"/>
  <c r="AC25" i="843" s="1"/>
  <c r="AE25" i="843" s="1"/>
  <c r="AH25" i="843" s="1"/>
  <c r="AB15" i="843"/>
  <c r="AC15" i="843" s="1"/>
  <c r="AE15" i="843" s="1"/>
  <c r="AJ15" i="843" s="1"/>
  <c r="AB122" i="843"/>
  <c r="AC122" i="843" s="1"/>
  <c r="AE122" i="843" s="1"/>
  <c r="AJ122" i="843" s="1"/>
  <c r="AB128" i="843"/>
  <c r="AC128" i="843" s="1"/>
  <c r="AE128" i="843" s="1"/>
  <c r="AJ128" i="843" s="1"/>
  <c r="AB118" i="843"/>
  <c r="AC118" i="843" s="1"/>
  <c r="AE118" i="843" s="1"/>
  <c r="AH118" i="843" s="1"/>
  <c r="AB108" i="843"/>
  <c r="AC108" i="843" s="1"/>
  <c r="AE108" i="843" s="1"/>
  <c r="AH108" i="843" s="1"/>
  <c r="AB98" i="843"/>
  <c r="AC98" i="843" s="1"/>
  <c r="AE98" i="843" s="1"/>
  <c r="AJ98" i="843" s="1"/>
  <c r="AB88" i="843"/>
  <c r="AC88" i="843" s="1"/>
  <c r="AE88" i="843" s="1"/>
  <c r="AB78" i="843"/>
  <c r="AC78" i="843" s="1"/>
  <c r="AE78" i="843" s="1"/>
  <c r="AB68" i="843"/>
  <c r="AC68" i="843" s="1"/>
  <c r="AE68" i="843" s="1"/>
  <c r="AB58" i="843"/>
  <c r="AC58" i="843" s="1"/>
  <c r="AE58" i="843" s="1"/>
  <c r="AB48" i="843"/>
  <c r="AC48" i="843" s="1"/>
  <c r="AE48" i="843" s="1"/>
  <c r="AJ48" i="843" s="1"/>
  <c r="AB38" i="843"/>
  <c r="AC38" i="843" s="1"/>
  <c r="AE38" i="843" s="1"/>
  <c r="AH38" i="843" s="1"/>
  <c r="AB28" i="843"/>
  <c r="AC28" i="843" s="1"/>
  <c r="AE28" i="843" s="1"/>
  <c r="AJ28" i="843" s="1"/>
  <c r="AB45" i="843"/>
  <c r="AC45" i="843" s="1"/>
  <c r="AE45" i="843" s="1"/>
  <c r="AB35" i="843"/>
  <c r="AC35" i="843" s="1"/>
  <c r="AE35" i="843" s="1"/>
  <c r="AJ35" i="843" s="1"/>
  <c r="AB132" i="843"/>
  <c r="AC132" i="843" s="1"/>
  <c r="AE132" i="843" s="1"/>
  <c r="AJ132" i="843" s="1"/>
  <c r="AB135" i="843"/>
  <c r="AC135" i="843" s="1"/>
  <c r="AE135" i="843" s="1"/>
  <c r="AH135" i="843" s="1"/>
  <c r="AB125" i="843"/>
  <c r="AC125" i="843" s="1"/>
  <c r="AE125" i="843" s="1"/>
  <c r="AH125" i="843" s="1"/>
  <c r="AB115" i="843"/>
  <c r="AC115" i="843" s="1"/>
  <c r="AE115" i="843" s="1"/>
  <c r="AJ115" i="843" s="1"/>
  <c r="AB105" i="843"/>
  <c r="AC105" i="843" s="1"/>
  <c r="AE105" i="843" s="1"/>
  <c r="AH105" i="843" s="1"/>
  <c r="AB95" i="843"/>
  <c r="AC95" i="843" s="1"/>
  <c r="AE95" i="843" s="1"/>
  <c r="AB85" i="843"/>
  <c r="AC85" i="843" s="1"/>
  <c r="AE85" i="843" s="1"/>
  <c r="AJ85" i="843" s="1"/>
  <c r="AB75" i="843"/>
  <c r="AC75" i="843" s="1"/>
  <c r="AE75" i="843" s="1"/>
  <c r="AJ75" i="843" s="1"/>
  <c r="AB65" i="843"/>
  <c r="AC65" i="843" s="1"/>
  <c r="AE65" i="843" s="1"/>
  <c r="AB55" i="843"/>
  <c r="AC55" i="843" s="1"/>
  <c r="AE55" i="843" s="1"/>
  <c r="AJ55" i="843" s="1"/>
  <c r="AB136" i="843"/>
  <c r="AC136" i="843" s="1"/>
  <c r="AE136" i="843" s="1"/>
  <c r="AJ136" i="843" s="1"/>
  <c r="AB126" i="843"/>
  <c r="AC126" i="843" s="1"/>
  <c r="AE126" i="843" s="1"/>
  <c r="AJ126" i="843" s="1"/>
  <c r="AB116" i="843"/>
  <c r="AC116" i="843" s="1"/>
  <c r="AE116" i="843" s="1"/>
  <c r="AJ116" i="843" s="1"/>
  <c r="AB106" i="843"/>
  <c r="AC106" i="843" s="1"/>
  <c r="AE106" i="843" s="1"/>
  <c r="AH106" i="843" s="1"/>
  <c r="AB96" i="843"/>
  <c r="AC96" i="843" s="1"/>
  <c r="AE96" i="843" s="1"/>
  <c r="AJ96" i="843" s="1"/>
  <c r="AB86" i="843"/>
  <c r="AC86" i="843" s="1"/>
  <c r="AE86" i="843" s="1"/>
  <c r="AB76" i="843"/>
  <c r="AC76" i="843" s="1"/>
  <c r="AE76" i="843" s="1"/>
  <c r="AH76" i="843" s="1"/>
  <c r="AB99" i="843"/>
  <c r="AC99" i="843" s="1"/>
  <c r="AE99" i="843" s="1"/>
  <c r="AH99" i="843" s="1"/>
  <c r="AB90" i="843"/>
  <c r="AC90" i="843" s="1"/>
  <c r="AE90" i="843" s="1"/>
  <c r="AH90" i="843" s="1"/>
  <c r="AB54" i="843"/>
  <c r="AC54" i="843" s="1"/>
  <c r="AE54" i="843" s="1"/>
  <c r="AB110" i="843"/>
  <c r="AC110" i="843" s="1"/>
  <c r="AE110" i="843" s="1"/>
  <c r="AH110" i="843" s="1"/>
  <c r="AB73" i="843"/>
  <c r="AC73" i="843" s="1"/>
  <c r="AE73" i="843" s="1"/>
  <c r="AH73" i="843" s="1"/>
  <c r="AB123" i="843"/>
  <c r="AC123" i="843" s="1"/>
  <c r="AE123" i="843" s="1"/>
  <c r="AB77" i="843"/>
  <c r="AC77" i="843" s="1"/>
  <c r="AE77" i="843" s="1"/>
  <c r="AB52" i="843"/>
  <c r="AC52" i="843" s="1"/>
  <c r="AE52" i="843" s="1"/>
  <c r="AJ52" i="843" s="1"/>
  <c r="AB47" i="843"/>
  <c r="AC47" i="843" s="1"/>
  <c r="AE47" i="843" s="1"/>
  <c r="AB26" i="843"/>
  <c r="AC26" i="843" s="1"/>
  <c r="AE26" i="843" s="1"/>
  <c r="AB59" i="843"/>
  <c r="AC59" i="843" s="1"/>
  <c r="AE59" i="843" s="1"/>
  <c r="AB40" i="843"/>
  <c r="AC40" i="843" s="1"/>
  <c r="AE40" i="843" s="1"/>
  <c r="AH40" i="843" s="1"/>
  <c r="AB33" i="843"/>
  <c r="AC33" i="843" s="1"/>
  <c r="AE33" i="843" s="1"/>
  <c r="AJ33" i="843" s="1"/>
  <c r="AB117" i="843"/>
  <c r="AC117" i="843" s="1"/>
  <c r="AE117" i="843" s="1"/>
  <c r="AJ117" i="843" s="1"/>
  <c r="AB119" i="843"/>
  <c r="AC119" i="843" s="1"/>
  <c r="AE119" i="843" s="1"/>
  <c r="AB22" i="843"/>
  <c r="AC22" i="843" s="1"/>
  <c r="AE22" i="843" s="1"/>
  <c r="AJ22" i="843" s="1"/>
  <c r="AB97" i="843"/>
  <c r="AC97" i="843" s="1"/>
  <c r="AE97" i="843" s="1"/>
  <c r="AH97" i="843" s="1"/>
  <c r="AB24" i="843"/>
  <c r="AC24" i="843" s="1"/>
  <c r="AE24" i="843" s="1"/>
  <c r="AJ24" i="843" s="1"/>
  <c r="AB17" i="843"/>
  <c r="AC17" i="843" s="1"/>
  <c r="AE17" i="843" s="1"/>
  <c r="AJ17" i="843" s="1"/>
  <c r="AB84" i="843"/>
  <c r="AC84" i="843" s="1"/>
  <c r="AE84" i="843" s="1"/>
  <c r="AH84" i="843" s="1"/>
  <c r="AB82" i="843"/>
  <c r="AC82" i="843" s="1"/>
  <c r="AE82" i="843" s="1"/>
  <c r="AH82" i="843" s="1"/>
  <c r="AB66" i="843"/>
  <c r="AC66" i="843" s="1"/>
  <c r="AE66" i="843" s="1"/>
  <c r="AJ66" i="843" s="1"/>
  <c r="AB134" i="843"/>
  <c r="AC134" i="843" s="1"/>
  <c r="AE134" i="843" s="1"/>
  <c r="AH134" i="843" s="1"/>
  <c r="AB124" i="843"/>
  <c r="AC124" i="843" s="1"/>
  <c r="AE124" i="843" s="1"/>
  <c r="AB32" i="843"/>
  <c r="AC32" i="843" s="1"/>
  <c r="AE32" i="843" s="1"/>
  <c r="AH32" i="843" s="1"/>
  <c r="AB20" i="843"/>
  <c r="AC20" i="843" s="1"/>
  <c r="AE20" i="843" s="1"/>
  <c r="AJ20" i="843" s="1"/>
  <c r="AB13" i="843"/>
  <c r="AC13" i="843" s="1"/>
  <c r="AE13" i="843" s="1"/>
  <c r="AJ13" i="843" s="1"/>
  <c r="AB5" i="843"/>
  <c r="AC5" i="843" s="1"/>
  <c r="AE5" i="843" s="1"/>
  <c r="AJ5" i="843" s="1"/>
  <c r="AB109" i="843"/>
  <c r="AC109" i="843" s="1"/>
  <c r="AE109" i="843" s="1"/>
  <c r="AB100" i="843"/>
  <c r="AC100" i="843" s="1"/>
  <c r="AE100" i="843" s="1"/>
  <c r="AH100" i="843" s="1"/>
  <c r="AB39" i="843"/>
  <c r="AC39" i="843" s="1"/>
  <c r="AE39" i="843" s="1"/>
  <c r="AJ39" i="843" s="1"/>
  <c r="AB120" i="843"/>
  <c r="AC120" i="843" s="1"/>
  <c r="AE120" i="843" s="1"/>
  <c r="AJ120" i="843" s="1"/>
  <c r="AH17" i="843"/>
  <c r="AB43" i="843"/>
  <c r="AC43" i="843" s="1"/>
  <c r="AE43" i="843" s="1"/>
  <c r="AH43" i="843" s="1"/>
  <c r="AB60" i="843"/>
  <c r="AC60" i="843" s="1"/>
  <c r="AE60" i="843" s="1"/>
  <c r="AJ60" i="843" s="1"/>
  <c r="AB80" i="843"/>
  <c r="AC80" i="843" s="1"/>
  <c r="AE80" i="843" s="1"/>
  <c r="AH80" i="843" s="1"/>
  <c r="AB87" i="843"/>
  <c r="AC87" i="843" s="1"/>
  <c r="AE87" i="843" s="1"/>
  <c r="AH87" i="843" s="1"/>
  <c r="AB63" i="843"/>
  <c r="AC63" i="843" s="1"/>
  <c r="AE63" i="843" s="1"/>
  <c r="AJ135" i="843"/>
  <c r="AH24" i="843"/>
  <c r="AB92" i="843"/>
  <c r="AC92" i="843" s="1"/>
  <c r="AE92" i="843" s="1"/>
  <c r="AH92" i="843" s="1"/>
  <c r="AB50" i="843"/>
  <c r="AC50" i="843" s="1"/>
  <c r="AE50" i="843" s="1"/>
  <c r="AB44" i="843"/>
  <c r="AC44" i="843" s="1"/>
  <c r="AE44" i="843" s="1"/>
  <c r="AH44" i="843" s="1"/>
  <c r="AJ86" i="843"/>
  <c r="AH86" i="843"/>
  <c r="AB12" i="843"/>
  <c r="AC12" i="843" s="1"/>
  <c r="AE12" i="843" s="1"/>
  <c r="AH12" i="843" s="1"/>
  <c r="AJ118" i="843"/>
  <c r="AJ65" i="843"/>
  <c r="AH65" i="843"/>
  <c r="AB83" i="843"/>
  <c r="AC83" i="843" s="1"/>
  <c r="AE83" i="843" s="1"/>
  <c r="AH83" i="843" s="1"/>
  <c r="AB130" i="843"/>
  <c r="AC130" i="843" s="1"/>
  <c r="AE130" i="843" s="1"/>
  <c r="AJ130" i="843" s="1"/>
  <c r="AB79" i="843"/>
  <c r="AC79" i="843" s="1"/>
  <c r="AE79" i="843" s="1"/>
  <c r="AJ79" i="843" s="1"/>
  <c r="AB14" i="843"/>
  <c r="AC14" i="843" s="1"/>
  <c r="AE14" i="843" s="1"/>
  <c r="AJ14" i="843" s="1"/>
  <c r="AB72" i="843"/>
  <c r="AC72" i="843" s="1"/>
  <c r="AE72" i="843" s="1"/>
  <c r="AJ72" i="843" s="1"/>
  <c r="AB104" i="843"/>
  <c r="AC104" i="843" s="1"/>
  <c r="AE104" i="843" s="1"/>
  <c r="AJ104" i="843" s="1"/>
  <c r="AB114" i="843"/>
  <c r="AC114" i="843" s="1"/>
  <c r="AE114" i="843" s="1"/>
  <c r="AJ114" i="843" s="1"/>
  <c r="AB133" i="843"/>
  <c r="AC133" i="843" s="1"/>
  <c r="AE133" i="843" s="1"/>
  <c r="AH133" i="843" s="1"/>
  <c r="AB36" i="843"/>
  <c r="AC36" i="843" s="1"/>
  <c r="AE36" i="843" s="1"/>
  <c r="AJ36" i="843" s="1"/>
  <c r="AB9" i="843"/>
  <c r="AC9" i="843" s="1"/>
  <c r="AE9" i="843" s="1"/>
  <c r="AJ9" i="843" s="1"/>
  <c r="AB53" i="843"/>
  <c r="AC53" i="843" s="1"/>
  <c r="AE53" i="843" s="1"/>
  <c r="AJ53" i="843" s="1"/>
  <c r="AH98" i="843"/>
  <c r="AB112" i="843"/>
  <c r="AC112" i="843" s="1"/>
  <c r="AE112" i="843" s="1"/>
  <c r="AJ112" i="843" s="1"/>
  <c r="AH114" i="843"/>
  <c r="AH126" i="843"/>
  <c r="AB56" i="843"/>
  <c r="AC56" i="843" s="1"/>
  <c r="AE56" i="843" s="1"/>
  <c r="AB42" i="843"/>
  <c r="AC42" i="843" s="1"/>
  <c r="AE42" i="843" s="1"/>
  <c r="AJ42" i="843" s="1"/>
  <c r="AB29" i="843"/>
  <c r="AC29" i="843" s="1"/>
  <c r="AE29" i="843" s="1"/>
  <c r="AJ29" i="843" s="1"/>
  <c r="AB70" i="843"/>
  <c r="AC70" i="843" s="1"/>
  <c r="AE70" i="843" s="1"/>
  <c r="AH70" i="843" s="1"/>
  <c r="AB102" i="843"/>
  <c r="AC102" i="843" s="1"/>
  <c r="AE102" i="843" s="1"/>
  <c r="AJ84" i="843"/>
  <c r="AJ105" i="843"/>
  <c r="AB46" i="843"/>
  <c r="AC46" i="843" s="1"/>
  <c r="AE46" i="843" s="1"/>
  <c r="AJ46" i="843" s="1"/>
  <c r="AJ44" i="843"/>
  <c r="AB16" i="843"/>
  <c r="AC16" i="843" s="1"/>
  <c r="AE16" i="843" s="1"/>
  <c r="AJ16" i="843" s="1"/>
  <c r="AH59" i="843"/>
  <c r="AJ59" i="843"/>
  <c r="AJ70" i="843"/>
  <c r="AB27" i="843"/>
  <c r="AC27" i="843" s="1"/>
  <c r="AE27" i="843" s="1"/>
  <c r="AH27" i="843" s="1"/>
  <c r="AB107" i="843"/>
  <c r="AC107" i="843" s="1"/>
  <c r="AE107" i="843" s="1"/>
  <c r="AJ107" i="843" s="1"/>
  <c r="AB93" i="843"/>
  <c r="AC93" i="843" s="1"/>
  <c r="AE93" i="843" s="1"/>
  <c r="AJ93" i="843" s="1"/>
  <c r="AB34" i="843"/>
  <c r="AC34" i="843" s="1"/>
  <c r="AE34" i="843" s="1"/>
  <c r="AB23" i="843"/>
  <c r="AC23" i="843" s="1"/>
  <c r="AE23" i="843" s="1"/>
  <c r="AH23" i="843" s="1"/>
  <c r="AB19" i="843"/>
  <c r="AC19" i="843" s="1"/>
  <c r="AE19" i="843" s="1"/>
  <c r="AH19" i="843" s="1"/>
  <c r="AJ32" i="843"/>
  <c r="AB49" i="843"/>
  <c r="AC49" i="843" s="1"/>
  <c r="AE49" i="843" s="1"/>
  <c r="AH49" i="843" s="1"/>
  <c r="AB57" i="843"/>
  <c r="AC57" i="843" s="1"/>
  <c r="AE57" i="843" s="1"/>
  <c r="AB89" i="843"/>
  <c r="AC89" i="843" s="1"/>
  <c r="AE89" i="843" s="1"/>
  <c r="AH89" i="843" s="1"/>
  <c r="AJ109" i="843"/>
  <c r="AH109" i="843"/>
  <c r="AJ89" i="843"/>
  <c r="AJ95" i="843"/>
  <c r="AH95" i="843"/>
  <c r="AJ45" i="843"/>
  <c r="AH45" i="843"/>
  <c r="AH119" i="843"/>
  <c r="AJ119" i="843"/>
  <c r="AH7" i="842"/>
  <c r="AH24" i="842"/>
  <c r="AH17" i="842"/>
  <c r="AE19" i="842"/>
  <c r="AE17" i="842"/>
  <c r="AE15" i="842"/>
  <c r="AE13" i="842"/>
  <c r="AE11" i="842"/>
  <c r="AE9" i="842"/>
  <c r="AE7" i="842"/>
  <c r="N22" i="842"/>
  <c r="N20" i="842"/>
  <c r="N18" i="842"/>
  <c r="N16" i="842"/>
  <c r="AX138" i="842"/>
  <c r="AW138" i="842"/>
  <c r="AN138" i="842"/>
  <c r="AO138" i="842" s="1"/>
  <c r="U138" i="842"/>
  <c r="V138" i="842" s="1"/>
  <c r="N138" i="842"/>
  <c r="AX137" i="842"/>
  <c r="AW137" i="842"/>
  <c r="AN137" i="842"/>
  <c r="AO137" i="842" s="1"/>
  <c r="U137" i="842"/>
  <c r="V137" i="842" s="1"/>
  <c r="N137" i="842"/>
  <c r="AX136" i="842"/>
  <c r="AW136" i="842"/>
  <c r="AN136" i="842"/>
  <c r="AO136" i="842" s="1"/>
  <c r="U136" i="842"/>
  <c r="V136" i="842" s="1"/>
  <c r="N136" i="842"/>
  <c r="AX135" i="842"/>
  <c r="AW135" i="842"/>
  <c r="AN135" i="842"/>
  <c r="AO135" i="842" s="1"/>
  <c r="U135" i="842"/>
  <c r="V135" i="842" s="1"/>
  <c r="N135" i="842"/>
  <c r="AX134" i="842"/>
  <c r="AW134" i="842"/>
  <c r="AN134" i="842"/>
  <c r="AO134" i="842" s="1"/>
  <c r="U134" i="842"/>
  <c r="V134" i="842" s="1"/>
  <c r="N134" i="842"/>
  <c r="AX133" i="842"/>
  <c r="AW133" i="842"/>
  <c r="AN133" i="842"/>
  <c r="AO133" i="842" s="1"/>
  <c r="U133" i="842"/>
  <c r="V133" i="842" s="1"/>
  <c r="N133" i="842"/>
  <c r="AX132" i="842"/>
  <c r="AW132" i="842"/>
  <c r="AN132" i="842"/>
  <c r="AO132" i="842" s="1"/>
  <c r="U132" i="842"/>
  <c r="V132" i="842" s="1"/>
  <c r="N132" i="842"/>
  <c r="AX131" i="842"/>
  <c r="AW131" i="842"/>
  <c r="AN131" i="842"/>
  <c r="AO131" i="842" s="1"/>
  <c r="U131" i="842"/>
  <c r="V131" i="842" s="1"/>
  <c r="N131" i="842"/>
  <c r="AX130" i="842"/>
  <c r="AW130" i="842"/>
  <c r="AN130" i="842"/>
  <c r="AO130" i="842" s="1"/>
  <c r="U130" i="842"/>
  <c r="V130" i="842" s="1"/>
  <c r="N130" i="842"/>
  <c r="AX129" i="842"/>
  <c r="AW129" i="842"/>
  <c r="AN129" i="842"/>
  <c r="AO129" i="842" s="1"/>
  <c r="U129" i="842"/>
  <c r="V129" i="842" s="1"/>
  <c r="N129" i="842"/>
  <c r="AX128" i="842"/>
  <c r="AW128" i="842"/>
  <c r="AN128" i="842"/>
  <c r="AO128" i="842" s="1"/>
  <c r="U128" i="842"/>
  <c r="V128" i="842" s="1"/>
  <c r="N128" i="842"/>
  <c r="AX127" i="842"/>
  <c r="AW127" i="842"/>
  <c r="AN127" i="842"/>
  <c r="AO127" i="842" s="1"/>
  <c r="U127" i="842"/>
  <c r="V127" i="842" s="1"/>
  <c r="N127" i="842"/>
  <c r="AX126" i="842"/>
  <c r="AW126" i="842"/>
  <c r="AN126" i="842"/>
  <c r="AO126" i="842" s="1"/>
  <c r="U126" i="842"/>
  <c r="V126" i="842" s="1"/>
  <c r="N126" i="842"/>
  <c r="AX125" i="842"/>
  <c r="AW125" i="842"/>
  <c r="AN125" i="842"/>
  <c r="AO125" i="842" s="1"/>
  <c r="U125" i="842"/>
  <c r="V125" i="842" s="1"/>
  <c r="N125" i="842"/>
  <c r="AX124" i="842"/>
  <c r="AW124" i="842"/>
  <c r="AN124" i="842"/>
  <c r="AO124" i="842" s="1"/>
  <c r="U124" i="842"/>
  <c r="V124" i="842" s="1"/>
  <c r="N124" i="842"/>
  <c r="AX123" i="842"/>
  <c r="AW123" i="842"/>
  <c r="AN123" i="842"/>
  <c r="AO123" i="842" s="1"/>
  <c r="U123" i="842"/>
  <c r="V123" i="842" s="1"/>
  <c r="N123" i="842"/>
  <c r="AX122" i="842"/>
  <c r="AW122" i="842"/>
  <c r="AN122" i="842"/>
  <c r="AO122" i="842" s="1"/>
  <c r="U122" i="842"/>
  <c r="V122" i="842" s="1"/>
  <c r="N122" i="842"/>
  <c r="AX121" i="842"/>
  <c r="AW121" i="842"/>
  <c r="AN121" i="842"/>
  <c r="AO121" i="842" s="1"/>
  <c r="U121" i="842"/>
  <c r="V121" i="842" s="1"/>
  <c r="N121" i="842"/>
  <c r="AX120" i="842"/>
  <c r="AW120" i="842"/>
  <c r="AN120" i="842"/>
  <c r="AO120" i="842" s="1"/>
  <c r="U120" i="842"/>
  <c r="V120" i="842" s="1"/>
  <c r="N120" i="842"/>
  <c r="AX119" i="842"/>
  <c r="AW119" i="842"/>
  <c r="AN119" i="842"/>
  <c r="AO119" i="842" s="1"/>
  <c r="U119" i="842"/>
  <c r="V119" i="842" s="1"/>
  <c r="N119" i="842"/>
  <c r="AX118" i="842"/>
  <c r="AW118" i="842"/>
  <c r="AN118" i="842"/>
  <c r="AO118" i="842" s="1"/>
  <c r="U118" i="842"/>
  <c r="V118" i="842" s="1"/>
  <c r="N118" i="842"/>
  <c r="AX117" i="842"/>
  <c r="AW117" i="842"/>
  <c r="AN117" i="842"/>
  <c r="AO117" i="842" s="1"/>
  <c r="U117" i="842"/>
  <c r="V117" i="842" s="1"/>
  <c r="N117" i="842"/>
  <c r="AX116" i="842"/>
  <c r="AW116" i="842"/>
  <c r="AN116" i="842"/>
  <c r="AO116" i="842" s="1"/>
  <c r="AB116" i="842"/>
  <c r="AC116" i="842" s="1"/>
  <c r="AE116" i="842" s="1"/>
  <c r="U116" i="842"/>
  <c r="V116" i="842" s="1"/>
  <c r="N116" i="842"/>
  <c r="AX115" i="842"/>
  <c r="AW115" i="842"/>
  <c r="AN115" i="842"/>
  <c r="AO115" i="842" s="1"/>
  <c r="U115" i="842"/>
  <c r="V115" i="842" s="1"/>
  <c r="N115" i="842"/>
  <c r="AX114" i="842"/>
  <c r="AW114" i="842"/>
  <c r="AN114" i="842"/>
  <c r="AO114" i="842" s="1"/>
  <c r="U114" i="842"/>
  <c r="V114" i="842" s="1"/>
  <c r="N114" i="842"/>
  <c r="AX113" i="842"/>
  <c r="AW113" i="842"/>
  <c r="AN113" i="842"/>
  <c r="AO113" i="842" s="1"/>
  <c r="U113" i="842"/>
  <c r="V113" i="842" s="1"/>
  <c r="N113" i="842"/>
  <c r="AX112" i="842"/>
  <c r="AW112" i="842"/>
  <c r="AN112" i="842"/>
  <c r="AO112" i="842" s="1"/>
  <c r="AB112" i="842"/>
  <c r="AC112" i="842" s="1"/>
  <c r="AE112" i="842" s="1"/>
  <c r="U112" i="842"/>
  <c r="V112" i="842" s="1"/>
  <c r="AJ112" i="842" s="1"/>
  <c r="N112" i="842"/>
  <c r="AX111" i="842"/>
  <c r="AW111" i="842"/>
  <c r="AN111" i="842"/>
  <c r="AO111" i="842" s="1"/>
  <c r="U111" i="842"/>
  <c r="V111" i="842" s="1"/>
  <c r="N111" i="842"/>
  <c r="AX110" i="842"/>
  <c r="AW110" i="842"/>
  <c r="AN110" i="842"/>
  <c r="AO110" i="842" s="1"/>
  <c r="U110" i="842"/>
  <c r="V110" i="842" s="1"/>
  <c r="N110" i="842"/>
  <c r="AX109" i="842"/>
  <c r="AW109" i="842"/>
  <c r="AN109" i="842"/>
  <c r="AO109" i="842" s="1"/>
  <c r="AB109" i="842"/>
  <c r="AC109" i="842" s="1"/>
  <c r="AE109" i="842" s="1"/>
  <c r="U109" i="842"/>
  <c r="V109" i="842" s="1"/>
  <c r="N109" i="842"/>
  <c r="AX108" i="842"/>
  <c r="AW108" i="842"/>
  <c r="AN108" i="842"/>
  <c r="AO108" i="842" s="1"/>
  <c r="U108" i="842"/>
  <c r="V108" i="842" s="1"/>
  <c r="N108" i="842"/>
  <c r="AX107" i="842"/>
  <c r="AW107" i="842"/>
  <c r="AN107" i="842"/>
  <c r="AO107" i="842" s="1"/>
  <c r="U107" i="842"/>
  <c r="V107" i="842" s="1"/>
  <c r="N107" i="842"/>
  <c r="AX106" i="842"/>
  <c r="AW106" i="842"/>
  <c r="AN106" i="842"/>
  <c r="AO106" i="842" s="1"/>
  <c r="U106" i="842"/>
  <c r="V106" i="842" s="1"/>
  <c r="N106" i="842"/>
  <c r="AX105" i="842"/>
  <c r="AW105" i="842"/>
  <c r="AN105" i="842"/>
  <c r="AO105" i="842" s="1"/>
  <c r="U105" i="842"/>
  <c r="V105" i="842" s="1"/>
  <c r="N105" i="842"/>
  <c r="AX104" i="842"/>
  <c r="AW104" i="842"/>
  <c r="AN104" i="842"/>
  <c r="AO104" i="842" s="1"/>
  <c r="U104" i="842"/>
  <c r="V104" i="842" s="1"/>
  <c r="N104" i="842"/>
  <c r="AX103" i="842"/>
  <c r="AW103" i="842"/>
  <c r="AN103" i="842"/>
  <c r="AO103" i="842" s="1"/>
  <c r="U103" i="842"/>
  <c r="V103" i="842" s="1"/>
  <c r="N103" i="842"/>
  <c r="AX102" i="842"/>
  <c r="AW102" i="842"/>
  <c r="AN102" i="842"/>
  <c r="AO102" i="842" s="1"/>
  <c r="U102" i="842"/>
  <c r="V102" i="842" s="1"/>
  <c r="N102" i="842"/>
  <c r="AX101" i="842"/>
  <c r="AW101" i="842"/>
  <c r="AN101" i="842"/>
  <c r="AO101" i="842" s="1"/>
  <c r="U101" i="842"/>
  <c r="V101" i="842" s="1"/>
  <c r="N101" i="842"/>
  <c r="AX100" i="842"/>
  <c r="AW100" i="842"/>
  <c r="AN100" i="842"/>
  <c r="AO100" i="842" s="1"/>
  <c r="U100" i="842"/>
  <c r="V100" i="842" s="1"/>
  <c r="N100" i="842"/>
  <c r="AX99" i="842"/>
  <c r="AW99" i="842"/>
  <c r="AN99" i="842"/>
  <c r="AO99" i="842" s="1"/>
  <c r="U99" i="842"/>
  <c r="V99" i="842" s="1"/>
  <c r="N99" i="842"/>
  <c r="AX98" i="842"/>
  <c r="AW98" i="842"/>
  <c r="AN98" i="842"/>
  <c r="AO98" i="842" s="1"/>
  <c r="U98" i="842"/>
  <c r="V98" i="842" s="1"/>
  <c r="N98" i="842"/>
  <c r="AX97" i="842"/>
  <c r="AW97" i="842"/>
  <c r="AN97" i="842"/>
  <c r="AO97" i="842" s="1"/>
  <c r="U97" i="842"/>
  <c r="V97" i="842" s="1"/>
  <c r="N97" i="842"/>
  <c r="AX96" i="842"/>
  <c r="AW96" i="842"/>
  <c r="AN96" i="842"/>
  <c r="AO96" i="842" s="1"/>
  <c r="U96" i="842"/>
  <c r="V96" i="842" s="1"/>
  <c r="N96" i="842"/>
  <c r="AX95" i="842"/>
  <c r="AW95" i="842"/>
  <c r="AN95" i="842"/>
  <c r="AO95" i="842" s="1"/>
  <c r="U95" i="842"/>
  <c r="V95" i="842" s="1"/>
  <c r="N95" i="842"/>
  <c r="AX94" i="842"/>
  <c r="AW94" i="842"/>
  <c r="AN94" i="842"/>
  <c r="AO94" i="842" s="1"/>
  <c r="U94" i="842"/>
  <c r="V94" i="842" s="1"/>
  <c r="N94" i="842"/>
  <c r="AX93" i="842"/>
  <c r="AW93" i="842"/>
  <c r="AN93" i="842"/>
  <c r="AO93" i="842" s="1"/>
  <c r="U93" i="842"/>
  <c r="V93" i="842" s="1"/>
  <c r="N93" i="842"/>
  <c r="AX92" i="842"/>
  <c r="AW92" i="842"/>
  <c r="AN92" i="842"/>
  <c r="AO92" i="842" s="1"/>
  <c r="U92" i="842"/>
  <c r="V92" i="842" s="1"/>
  <c r="N92" i="842"/>
  <c r="AX91" i="842"/>
  <c r="AW91" i="842"/>
  <c r="AN91" i="842"/>
  <c r="AO91" i="842" s="1"/>
  <c r="U91" i="842"/>
  <c r="V91" i="842" s="1"/>
  <c r="N91" i="842"/>
  <c r="AX90" i="842"/>
  <c r="AW90" i="842"/>
  <c r="AN90" i="842"/>
  <c r="AO90" i="842" s="1"/>
  <c r="U90" i="842"/>
  <c r="V90" i="842" s="1"/>
  <c r="N90" i="842"/>
  <c r="AX89" i="842"/>
  <c r="AW89" i="842"/>
  <c r="AN89" i="842"/>
  <c r="AO89" i="842" s="1"/>
  <c r="U89" i="842"/>
  <c r="V89" i="842" s="1"/>
  <c r="N89" i="842"/>
  <c r="AX88" i="842"/>
  <c r="AW88" i="842"/>
  <c r="AN88" i="842"/>
  <c r="AO88" i="842" s="1"/>
  <c r="U88" i="842"/>
  <c r="V88" i="842" s="1"/>
  <c r="N88" i="842"/>
  <c r="AX87" i="842"/>
  <c r="AW87" i="842"/>
  <c r="AN87" i="842"/>
  <c r="AO87" i="842" s="1"/>
  <c r="U87" i="842"/>
  <c r="V87" i="842" s="1"/>
  <c r="N87" i="842"/>
  <c r="AX86" i="842"/>
  <c r="AW86" i="842"/>
  <c r="AN86" i="842"/>
  <c r="AO86" i="842" s="1"/>
  <c r="U86" i="842"/>
  <c r="V86" i="842" s="1"/>
  <c r="N86" i="842"/>
  <c r="AX85" i="842"/>
  <c r="AW85" i="842"/>
  <c r="AN85" i="842"/>
  <c r="AO85" i="842" s="1"/>
  <c r="U85" i="842"/>
  <c r="V85" i="842" s="1"/>
  <c r="N85" i="842"/>
  <c r="AX84" i="842"/>
  <c r="AW84" i="842"/>
  <c r="AN84" i="842"/>
  <c r="AO84" i="842" s="1"/>
  <c r="U84" i="842"/>
  <c r="V84" i="842" s="1"/>
  <c r="N84" i="842"/>
  <c r="AX83" i="842"/>
  <c r="AW83" i="842"/>
  <c r="AN83" i="842"/>
  <c r="AO83" i="842" s="1"/>
  <c r="U83" i="842"/>
  <c r="V83" i="842" s="1"/>
  <c r="N83" i="842"/>
  <c r="AX82" i="842"/>
  <c r="AW82" i="842"/>
  <c r="AN82" i="842"/>
  <c r="AO82" i="842" s="1"/>
  <c r="U82" i="842"/>
  <c r="V82" i="842" s="1"/>
  <c r="N82" i="842"/>
  <c r="AX81" i="842"/>
  <c r="AW81" i="842"/>
  <c r="AN81" i="842"/>
  <c r="AO81" i="842" s="1"/>
  <c r="U81" i="842"/>
  <c r="V81" i="842" s="1"/>
  <c r="N81" i="842"/>
  <c r="AX80" i="842"/>
  <c r="AW80" i="842"/>
  <c r="AN80" i="842"/>
  <c r="AO80" i="842" s="1"/>
  <c r="U80" i="842"/>
  <c r="V80" i="842" s="1"/>
  <c r="N80" i="842"/>
  <c r="AX79" i="842"/>
  <c r="AW79" i="842"/>
  <c r="AN79" i="842"/>
  <c r="AO79" i="842" s="1"/>
  <c r="U79" i="842"/>
  <c r="V79" i="842" s="1"/>
  <c r="N79" i="842"/>
  <c r="AX78" i="842"/>
  <c r="AW78" i="842"/>
  <c r="AN78" i="842"/>
  <c r="AO78" i="842" s="1"/>
  <c r="U78" i="842"/>
  <c r="V78" i="842" s="1"/>
  <c r="N78" i="842"/>
  <c r="AX77" i="842"/>
  <c r="AW77" i="842"/>
  <c r="AN77" i="842"/>
  <c r="AO77" i="842" s="1"/>
  <c r="U77" i="842"/>
  <c r="V77" i="842" s="1"/>
  <c r="N77" i="842"/>
  <c r="AX76" i="842"/>
  <c r="AW76" i="842"/>
  <c r="AN76" i="842"/>
  <c r="AO76" i="842" s="1"/>
  <c r="U76" i="842"/>
  <c r="V76" i="842" s="1"/>
  <c r="N76" i="842"/>
  <c r="AX75" i="842"/>
  <c r="AW75" i="842"/>
  <c r="AN75" i="842"/>
  <c r="AO75" i="842" s="1"/>
  <c r="U75" i="842"/>
  <c r="V75" i="842" s="1"/>
  <c r="N75" i="842"/>
  <c r="AX74" i="842"/>
  <c r="AW74" i="842"/>
  <c r="AN74" i="842"/>
  <c r="AO74" i="842" s="1"/>
  <c r="U74" i="842"/>
  <c r="V74" i="842" s="1"/>
  <c r="N74" i="842"/>
  <c r="AX73" i="842"/>
  <c r="AW73" i="842"/>
  <c r="AN73" i="842"/>
  <c r="AO73" i="842" s="1"/>
  <c r="U73" i="842"/>
  <c r="V73" i="842" s="1"/>
  <c r="N73" i="842"/>
  <c r="AX72" i="842"/>
  <c r="AW72" i="842"/>
  <c r="AN72" i="842"/>
  <c r="AO72" i="842" s="1"/>
  <c r="U72" i="842"/>
  <c r="V72" i="842" s="1"/>
  <c r="N72" i="842"/>
  <c r="AX71" i="842"/>
  <c r="AW71" i="842"/>
  <c r="AN71" i="842"/>
  <c r="AO71" i="842" s="1"/>
  <c r="U71" i="842"/>
  <c r="V71" i="842" s="1"/>
  <c r="N71" i="842"/>
  <c r="AX70" i="842"/>
  <c r="AW70" i="842"/>
  <c r="AN70" i="842"/>
  <c r="AO70" i="842" s="1"/>
  <c r="AB70" i="842"/>
  <c r="AC70" i="842" s="1"/>
  <c r="AE70" i="842" s="1"/>
  <c r="U70" i="842"/>
  <c r="V70" i="842" s="1"/>
  <c r="N70" i="842"/>
  <c r="AX69" i="842"/>
  <c r="AW69" i="842"/>
  <c r="AN69" i="842"/>
  <c r="AO69" i="842" s="1"/>
  <c r="U69" i="842"/>
  <c r="V69" i="842" s="1"/>
  <c r="N69" i="842"/>
  <c r="AX68" i="842"/>
  <c r="AW68" i="842"/>
  <c r="AN68" i="842"/>
  <c r="AO68" i="842" s="1"/>
  <c r="U68" i="842"/>
  <c r="V68" i="842" s="1"/>
  <c r="N68" i="842"/>
  <c r="AX67" i="842"/>
  <c r="AW67" i="842"/>
  <c r="AN67" i="842"/>
  <c r="AO67" i="842" s="1"/>
  <c r="U67" i="842"/>
  <c r="V67" i="842" s="1"/>
  <c r="N67" i="842"/>
  <c r="AX66" i="842"/>
  <c r="AW66" i="842"/>
  <c r="AN66" i="842"/>
  <c r="AO66" i="842" s="1"/>
  <c r="U66" i="842"/>
  <c r="V66" i="842" s="1"/>
  <c r="N66" i="842"/>
  <c r="AX65" i="842"/>
  <c r="AW65" i="842"/>
  <c r="AN65" i="842"/>
  <c r="AO65" i="842" s="1"/>
  <c r="U65" i="842"/>
  <c r="V65" i="842" s="1"/>
  <c r="N65" i="842"/>
  <c r="AX64" i="842"/>
  <c r="AW64" i="842"/>
  <c r="AN64" i="842"/>
  <c r="AO64" i="842" s="1"/>
  <c r="U64" i="842"/>
  <c r="V64" i="842" s="1"/>
  <c r="N64" i="842"/>
  <c r="AX63" i="842"/>
  <c r="AW63" i="842"/>
  <c r="AN63" i="842"/>
  <c r="AO63" i="842" s="1"/>
  <c r="U63" i="842"/>
  <c r="V63" i="842" s="1"/>
  <c r="N63" i="842"/>
  <c r="AX62" i="842"/>
  <c r="AW62" i="842"/>
  <c r="AN62" i="842"/>
  <c r="AO62" i="842" s="1"/>
  <c r="U62" i="842"/>
  <c r="V62" i="842" s="1"/>
  <c r="N62" i="842"/>
  <c r="AX61" i="842"/>
  <c r="AW61" i="842"/>
  <c r="AN61" i="842"/>
  <c r="AO61" i="842" s="1"/>
  <c r="U61" i="842"/>
  <c r="V61" i="842" s="1"/>
  <c r="N61" i="842"/>
  <c r="AX60" i="842"/>
  <c r="AW60" i="842"/>
  <c r="AN60" i="842"/>
  <c r="AO60" i="842" s="1"/>
  <c r="U60" i="842"/>
  <c r="V60" i="842" s="1"/>
  <c r="N60" i="842"/>
  <c r="AX59" i="842"/>
  <c r="AW59" i="842"/>
  <c r="AN59" i="842"/>
  <c r="AO59" i="842" s="1"/>
  <c r="U59" i="842"/>
  <c r="V59" i="842" s="1"/>
  <c r="N59" i="842"/>
  <c r="AX58" i="842"/>
  <c r="AW58" i="842"/>
  <c r="AN58" i="842"/>
  <c r="AO58" i="842" s="1"/>
  <c r="U58" i="842"/>
  <c r="V58" i="842" s="1"/>
  <c r="N58" i="842"/>
  <c r="AX57" i="842"/>
  <c r="AW57" i="842"/>
  <c r="AN57" i="842"/>
  <c r="AO57" i="842" s="1"/>
  <c r="U57" i="842"/>
  <c r="V57" i="842" s="1"/>
  <c r="N57" i="842"/>
  <c r="AX56" i="842"/>
  <c r="AW56" i="842"/>
  <c r="AN56" i="842"/>
  <c r="AO56" i="842" s="1"/>
  <c r="U56" i="842"/>
  <c r="V56" i="842" s="1"/>
  <c r="N56" i="842"/>
  <c r="AX55" i="842"/>
  <c r="AW55" i="842"/>
  <c r="AN55" i="842"/>
  <c r="AO55" i="842" s="1"/>
  <c r="U55" i="842"/>
  <c r="V55" i="842" s="1"/>
  <c r="N55" i="842"/>
  <c r="AX54" i="842"/>
  <c r="AW54" i="842"/>
  <c r="AN54" i="842"/>
  <c r="AO54" i="842" s="1"/>
  <c r="U54" i="842"/>
  <c r="V54" i="842" s="1"/>
  <c r="N54" i="842"/>
  <c r="AX53" i="842"/>
  <c r="AW53" i="842"/>
  <c r="AN53" i="842"/>
  <c r="AO53" i="842" s="1"/>
  <c r="U53" i="842"/>
  <c r="V53" i="842" s="1"/>
  <c r="N53" i="842"/>
  <c r="AX52" i="842"/>
  <c r="AW52" i="842"/>
  <c r="AN52" i="842"/>
  <c r="AO52" i="842" s="1"/>
  <c r="U52" i="842"/>
  <c r="V52" i="842" s="1"/>
  <c r="N52" i="842"/>
  <c r="AX51" i="842"/>
  <c r="AW51" i="842"/>
  <c r="AN51" i="842"/>
  <c r="AO51" i="842" s="1"/>
  <c r="U51" i="842"/>
  <c r="V51" i="842" s="1"/>
  <c r="N51" i="842"/>
  <c r="AX50" i="842"/>
  <c r="AW50" i="842"/>
  <c r="AN50" i="842"/>
  <c r="AO50" i="842" s="1"/>
  <c r="U50" i="842"/>
  <c r="V50" i="842" s="1"/>
  <c r="N50" i="842"/>
  <c r="AX49" i="842"/>
  <c r="AW49" i="842"/>
  <c r="AN49" i="842"/>
  <c r="AO49" i="842" s="1"/>
  <c r="U49" i="842"/>
  <c r="V49" i="842" s="1"/>
  <c r="N49" i="842"/>
  <c r="AX48" i="842"/>
  <c r="AW48" i="842"/>
  <c r="AN48" i="842"/>
  <c r="AO48" i="842" s="1"/>
  <c r="U48" i="842"/>
  <c r="V48" i="842" s="1"/>
  <c r="N48" i="842"/>
  <c r="AX47" i="842"/>
  <c r="AW47" i="842"/>
  <c r="AN47" i="842"/>
  <c r="AO47" i="842" s="1"/>
  <c r="U47" i="842"/>
  <c r="V47" i="842" s="1"/>
  <c r="N47" i="842"/>
  <c r="AX46" i="842"/>
  <c r="AW46" i="842"/>
  <c r="AN46" i="842"/>
  <c r="AO46" i="842" s="1"/>
  <c r="U46" i="842"/>
  <c r="V46" i="842" s="1"/>
  <c r="N46" i="842"/>
  <c r="AX45" i="842"/>
  <c r="AW45" i="842"/>
  <c r="AN45" i="842"/>
  <c r="AO45" i="842" s="1"/>
  <c r="U45" i="842"/>
  <c r="V45" i="842" s="1"/>
  <c r="N45" i="842"/>
  <c r="AX44" i="842"/>
  <c r="AW44" i="842"/>
  <c r="AN44" i="842"/>
  <c r="AO44" i="842" s="1"/>
  <c r="U44" i="842"/>
  <c r="V44" i="842" s="1"/>
  <c r="N44" i="842"/>
  <c r="AX43" i="842"/>
  <c r="AW43" i="842"/>
  <c r="AN43" i="842"/>
  <c r="AO43" i="842" s="1"/>
  <c r="U43" i="842"/>
  <c r="V43" i="842" s="1"/>
  <c r="N43" i="842"/>
  <c r="AX42" i="842"/>
  <c r="AW42" i="842"/>
  <c r="AN42" i="842"/>
  <c r="AO42" i="842" s="1"/>
  <c r="U42" i="842"/>
  <c r="V42" i="842" s="1"/>
  <c r="N42" i="842"/>
  <c r="AX41" i="842"/>
  <c r="AW41" i="842"/>
  <c r="AN41" i="842"/>
  <c r="AO41" i="842" s="1"/>
  <c r="U41" i="842"/>
  <c r="V41" i="842" s="1"/>
  <c r="N41" i="842"/>
  <c r="AX40" i="842"/>
  <c r="AW40" i="842"/>
  <c r="AN40" i="842"/>
  <c r="AO40" i="842" s="1"/>
  <c r="U40" i="842"/>
  <c r="V40" i="842" s="1"/>
  <c r="N40" i="842"/>
  <c r="AX39" i="842"/>
  <c r="AW39" i="842"/>
  <c r="AN39" i="842"/>
  <c r="AO39" i="842" s="1"/>
  <c r="U39" i="842"/>
  <c r="V39" i="842" s="1"/>
  <c r="N39" i="842"/>
  <c r="AX38" i="842"/>
  <c r="AW38" i="842"/>
  <c r="AN38" i="842"/>
  <c r="AO38" i="842" s="1"/>
  <c r="U38" i="842"/>
  <c r="V38" i="842" s="1"/>
  <c r="N38" i="842"/>
  <c r="AX37" i="842"/>
  <c r="AW37" i="842"/>
  <c r="AN37" i="842"/>
  <c r="AO37" i="842" s="1"/>
  <c r="AB37" i="842"/>
  <c r="AC37" i="842" s="1"/>
  <c r="U37" i="842"/>
  <c r="V37" i="842" s="1"/>
  <c r="N37" i="842"/>
  <c r="AX36" i="842"/>
  <c r="AW36" i="842"/>
  <c r="AN36" i="842"/>
  <c r="AO36" i="842" s="1"/>
  <c r="U36" i="842"/>
  <c r="V36" i="842" s="1"/>
  <c r="N36" i="842"/>
  <c r="AX35" i="842"/>
  <c r="AW35" i="842"/>
  <c r="AN35" i="842"/>
  <c r="AO35" i="842" s="1"/>
  <c r="U35" i="842"/>
  <c r="V35" i="842" s="1"/>
  <c r="N35" i="842"/>
  <c r="AX34" i="842"/>
  <c r="AW34" i="842"/>
  <c r="AN34" i="842"/>
  <c r="AO34" i="842" s="1"/>
  <c r="U34" i="842"/>
  <c r="V34" i="842" s="1"/>
  <c r="N34" i="842"/>
  <c r="AX33" i="842"/>
  <c r="AW33" i="842"/>
  <c r="AN33" i="842"/>
  <c r="AO33" i="842" s="1"/>
  <c r="U33" i="842"/>
  <c r="V33" i="842" s="1"/>
  <c r="N33" i="842"/>
  <c r="AX32" i="842"/>
  <c r="AW32" i="842"/>
  <c r="AN32" i="842"/>
  <c r="AO32" i="842" s="1"/>
  <c r="U32" i="842"/>
  <c r="V32" i="842" s="1"/>
  <c r="N32" i="842"/>
  <c r="AX31" i="842"/>
  <c r="AW31" i="842"/>
  <c r="AN31" i="842"/>
  <c r="AO31" i="842" s="1"/>
  <c r="U31" i="842"/>
  <c r="V31" i="842" s="1"/>
  <c r="N31" i="842"/>
  <c r="AX30" i="842"/>
  <c r="AW30" i="842"/>
  <c r="AN30" i="842"/>
  <c r="AO30" i="842" s="1"/>
  <c r="U30" i="842"/>
  <c r="V30" i="842" s="1"/>
  <c r="N30" i="842"/>
  <c r="AX29" i="842"/>
  <c r="AW29" i="842"/>
  <c r="AN29" i="842"/>
  <c r="AO29" i="842" s="1"/>
  <c r="U29" i="842"/>
  <c r="V29" i="842" s="1"/>
  <c r="N29" i="842"/>
  <c r="AX28" i="842"/>
  <c r="AW28" i="842"/>
  <c r="AN28" i="842"/>
  <c r="AO28" i="842" s="1"/>
  <c r="U28" i="842"/>
  <c r="V28" i="842" s="1"/>
  <c r="N28" i="842"/>
  <c r="AX27" i="842"/>
  <c r="AW27" i="842"/>
  <c r="AN27" i="842"/>
  <c r="AO27" i="842" s="1"/>
  <c r="U27" i="842"/>
  <c r="V27" i="842" s="1"/>
  <c r="N27" i="842"/>
  <c r="AX26" i="842"/>
  <c r="AW26" i="842"/>
  <c r="AN26" i="842"/>
  <c r="AO26" i="842" s="1"/>
  <c r="U26" i="842"/>
  <c r="V26" i="842" s="1"/>
  <c r="N26" i="842"/>
  <c r="AX25" i="842"/>
  <c r="AW25" i="842"/>
  <c r="AN25" i="842"/>
  <c r="AO25" i="842" s="1"/>
  <c r="AB25" i="842"/>
  <c r="AC25" i="842" s="1"/>
  <c r="U25" i="842"/>
  <c r="V25" i="842" s="1"/>
  <c r="N25" i="842"/>
  <c r="AX24" i="842"/>
  <c r="AW24" i="842"/>
  <c r="AN24" i="842"/>
  <c r="AO24" i="842" s="1"/>
  <c r="U24" i="842"/>
  <c r="V24" i="842" s="1"/>
  <c r="N24" i="842"/>
  <c r="AX23" i="842"/>
  <c r="AW23" i="842"/>
  <c r="AN23" i="842"/>
  <c r="AO23" i="842" s="1"/>
  <c r="U23" i="842"/>
  <c r="V23" i="842" s="1"/>
  <c r="AH23" i="842" s="1"/>
  <c r="N23" i="842"/>
  <c r="AX21" i="842"/>
  <c r="AW21" i="842"/>
  <c r="AN21" i="842"/>
  <c r="AO21" i="842" s="1"/>
  <c r="U21" i="842"/>
  <c r="V21" i="842" s="1"/>
  <c r="N21" i="842"/>
  <c r="AX19" i="842"/>
  <c r="AW19" i="842"/>
  <c r="AN19" i="842"/>
  <c r="AO19" i="842" s="1"/>
  <c r="U19" i="842"/>
  <c r="V19" i="842" s="1"/>
  <c r="AH19" i="842" s="1"/>
  <c r="N19" i="842"/>
  <c r="AX17" i="842"/>
  <c r="AW17" i="842"/>
  <c r="AN17" i="842"/>
  <c r="AO17" i="842" s="1"/>
  <c r="U17" i="842"/>
  <c r="V17" i="842" s="1"/>
  <c r="N17" i="842"/>
  <c r="AX15" i="842"/>
  <c r="AW15" i="842"/>
  <c r="AN15" i="842"/>
  <c r="AO15" i="842" s="1"/>
  <c r="U15" i="842"/>
  <c r="V15" i="842" s="1"/>
  <c r="AH15" i="842" s="1"/>
  <c r="N15" i="842"/>
  <c r="N14" i="842"/>
  <c r="AX13" i="842"/>
  <c r="AW13" i="842"/>
  <c r="AN13" i="842"/>
  <c r="AO13" i="842" s="1"/>
  <c r="U13" i="842"/>
  <c r="V13" i="842" s="1"/>
  <c r="AH13" i="842" s="1"/>
  <c r="N13" i="842"/>
  <c r="N12" i="842"/>
  <c r="AX11" i="842"/>
  <c r="AW11" i="842"/>
  <c r="AN11" i="842"/>
  <c r="AO11" i="842" s="1"/>
  <c r="U11" i="842"/>
  <c r="V11" i="842" s="1"/>
  <c r="AH11" i="842" s="1"/>
  <c r="N11" i="842"/>
  <c r="N10" i="842"/>
  <c r="AX9" i="842"/>
  <c r="AW9" i="842"/>
  <c r="AN9" i="842"/>
  <c r="AO9" i="842" s="1"/>
  <c r="U9" i="842"/>
  <c r="V9" i="842" s="1"/>
  <c r="AH9" i="842" s="1"/>
  <c r="N9" i="842"/>
  <c r="N8" i="842"/>
  <c r="AX7" i="842"/>
  <c r="AW7" i="842"/>
  <c r="AN7" i="842"/>
  <c r="AO7" i="842" s="1"/>
  <c r="U7" i="842"/>
  <c r="V7" i="842" s="1"/>
  <c r="N7" i="842"/>
  <c r="N6" i="842"/>
  <c r="AX5" i="842"/>
  <c r="AW5" i="842"/>
  <c r="AN5" i="842"/>
  <c r="AO5" i="842" s="1"/>
  <c r="U5" i="842"/>
  <c r="V5" i="842" s="1"/>
  <c r="N5" i="842"/>
  <c r="AS2" i="842"/>
  <c r="AA2" i="842"/>
  <c r="AD2" i="842" s="1"/>
  <c r="I2" i="842"/>
  <c r="AB125" i="842" s="1"/>
  <c r="AC125" i="842" s="1"/>
  <c r="AE125" i="842" s="1"/>
  <c r="AB5" i="841"/>
  <c r="AH14" i="843" l="1"/>
  <c r="AL14" i="843" s="1"/>
  <c r="AJ90" i="843"/>
  <c r="AH46" i="843"/>
  <c r="AK46" i="843" s="1"/>
  <c r="AJ87" i="843"/>
  <c r="AH55" i="843"/>
  <c r="AJ108" i="843"/>
  <c r="AH128" i="843"/>
  <c r="AJ49" i="843"/>
  <c r="AJ100" i="843"/>
  <c r="AH15" i="843"/>
  <c r="AH85" i="843"/>
  <c r="AH42" i="843"/>
  <c r="AL42" i="843" s="1"/>
  <c r="AH120" i="843"/>
  <c r="AK120" i="843" s="1"/>
  <c r="AJ83" i="843"/>
  <c r="AH39" i="843"/>
  <c r="AK39" i="843" s="1"/>
  <c r="AH75" i="843"/>
  <c r="AL75" i="843" s="1"/>
  <c r="AH33" i="843"/>
  <c r="AK33" i="843" s="1"/>
  <c r="AJ23" i="843"/>
  <c r="AH136" i="843"/>
  <c r="AK136" i="843" s="1"/>
  <c r="AJ97" i="843"/>
  <c r="AJ40" i="843"/>
  <c r="AH53" i="843"/>
  <c r="AH60" i="843"/>
  <c r="AL60" i="843" s="1"/>
  <c r="AH11" i="843"/>
  <c r="AJ27" i="843"/>
  <c r="AH9" i="843"/>
  <c r="AK9" i="843" s="1"/>
  <c r="AH79" i="843"/>
  <c r="AH122" i="843"/>
  <c r="AJ99" i="843"/>
  <c r="AJ38" i="843"/>
  <c r="AH130" i="843"/>
  <c r="AL130" i="843" s="1"/>
  <c r="AJ51" i="843"/>
  <c r="AH117" i="843"/>
  <c r="AH72" i="843"/>
  <c r="AH31" i="843"/>
  <c r="AL31" i="843" s="1"/>
  <c r="AH48" i="843"/>
  <c r="AL48" i="843" s="1"/>
  <c r="AL97" i="843"/>
  <c r="AK97" i="843"/>
  <c r="AK106" i="843"/>
  <c r="AL106" i="843"/>
  <c r="AL118" i="843"/>
  <c r="AK118" i="843"/>
  <c r="AL133" i="843"/>
  <c r="AK133" i="843"/>
  <c r="AL89" i="843"/>
  <c r="AK89" i="843"/>
  <c r="AK105" i="843"/>
  <c r="AL105" i="843"/>
  <c r="AK25" i="843"/>
  <c r="AL25" i="843"/>
  <c r="AL92" i="843"/>
  <c r="AK92" i="843"/>
  <c r="AL82" i="843"/>
  <c r="AK82" i="843"/>
  <c r="AK76" i="843"/>
  <c r="AL76" i="843"/>
  <c r="AL12" i="843"/>
  <c r="AK12" i="843"/>
  <c r="AL32" i="843"/>
  <c r="AK32" i="843"/>
  <c r="AL70" i="843"/>
  <c r="AK70" i="843"/>
  <c r="AL40" i="843"/>
  <c r="AK40" i="843"/>
  <c r="AK125" i="843"/>
  <c r="AL125" i="843"/>
  <c r="AL73" i="843"/>
  <c r="AK73" i="843"/>
  <c r="AL19" i="843"/>
  <c r="AK19" i="843"/>
  <c r="AL110" i="843"/>
  <c r="AK110" i="843"/>
  <c r="AL23" i="843"/>
  <c r="AK23" i="843"/>
  <c r="AK134" i="843"/>
  <c r="AL134" i="843"/>
  <c r="AL99" i="843"/>
  <c r="AK99" i="843"/>
  <c r="AL28" i="843"/>
  <c r="AK28" i="843"/>
  <c r="AL79" i="843"/>
  <c r="AK79" i="843"/>
  <c r="AJ134" i="843"/>
  <c r="AK96" i="843"/>
  <c r="AL96" i="843"/>
  <c r="AJ73" i="843"/>
  <c r="AL95" i="843"/>
  <c r="AK95" i="843"/>
  <c r="AH66" i="843"/>
  <c r="AH132" i="843"/>
  <c r="AL117" i="843"/>
  <c r="AK117" i="843"/>
  <c r="AH61" i="843"/>
  <c r="AJ61" i="843"/>
  <c r="AH107" i="843"/>
  <c r="AL50" i="843"/>
  <c r="AK50" i="843"/>
  <c r="AL29" i="843"/>
  <c r="AK29" i="843"/>
  <c r="AL72" i="843"/>
  <c r="AK72" i="843"/>
  <c r="AL100" i="843"/>
  <c r="AK100" i="843"/>
  <c r="AK38" i="843"/>
  <c r="AL38" i="843"/>
  <c r="AH35" i="843"/>
  <c r="AK128" i="843"/>
  <c r="AL128" i="843"/>
  <c r="AJ81" i="843"/>
  <c r="AH81" i="843"/>
  <c r="AL30" i="843"/>
  <c r="AK30" i="843"/>
  <c r="AL27" i="843"/>
  <c r="AK27" i="843"/>
  <c r="AK24" i="843"/>
  <c r="AL24" i="843"/>
  <c r="AJ77" i="843"/>
  <c r="AH77" i="843"/>
  <c r="AL93" i="843"/>
  <c r="AK93" i="843"/>
  <c r="AK126" i="843"/>
  <c r="AL126" i="843"/>
  <c r="AL57" i="843"/>
  <c r="AK57" i="843"/>
  <c r="AH34" i="843"/>
  <c r="AJ34" i="843"/>
  <c r="AJ63" i="843"/>
  <c r="AH63" i="843"/>
  <c r="AL65" i="843"/>
  <c r="AK65" i="843"/>
  <c r="AJ54" i="843"/>
  <c r="AH54" i="843"/>
  <c r="AJ125" i="843"/>
  <c r="AL91" i="843"/>
  <c r="AK91" i="843"/>
  <c r="AL120" i="843"/>
  <c r="AJ82" i="843"/>
  <c r="AJ25" i="843"/>
  <c r="AH104" i="843"/>
  <c r="AK94" i="843"/>
  <c r="AL94" i="843"/>
  <c r="AH131" i="843"/>
  <c r="AJ131" i="843"/>
  <c r="AH116" i="843"/>
  <c r="AL62" i="843"/>
  <c r="AK62" i="843"/>
  <c r="AJ92" i="843"/>
  <c r="AJ80" i="843"/>
  <c r="AH18" i="843"/>
  <c r="AJ133" i="843"/>
  <c r="AJ106" i="843"/>
  <c r="AH22" i="843"/>
  <c r="AH36" i="843"/>
  <c r="AK84" i="843"/>
  <c r="AL84" i="843"/>
  <c r="AL129" i="843"/>
  <c r="AK129" i="843"/>
  <c r="AK135" i="843"/>
  <c r="AL135" i="843"/>
  <c r="AK113" i="843"/>
  <c r="AL113" i="843"/>
  <c r="AK44" i="843"/>
  <c r="AL44" i="843"/>
  <c r="AH124" i="843"/>
  <c r="AJ124" i="843"/>
  <c r="AK56" i="843"/>
  <c r="AL56" i="843"/>
  <c r="AJ19" i="843"/>
  <c r="AL58" i="843"/>
  <c r="AK58" i="843"/>
  <c r="AK51" i="843"/>
  <c r="AL51" i="843"/>
  <c r="AH13" i="843"/>
  <c r="AJ68" i="843"/>
  <c r="AH68" i="843"/>
  <c r="AL49" i="843"/>
  <c r="AK49" i="843"/>
  <c r="AL59" i="843"/>
  <c r="AK59" i="843"/>
  <c r="AH5" i="843"/>
  <c r="AJ121" i="843"/>
  <c r="AH121" i="843"/>
  <c r="AL74" i="843"/>
  <c r="AK74" i="843"/>
  <c r="AK86" i="843"/>
  <c r="AL86" i="843"/>
  <c r="AL17" i="843"/>
  <c r="AK17" i="843"/>
  <c r="AK37" i="843"/>
  <c r="AL37" i="843"/>
  <c r="AH52" i="843"/>
  <c r="AL127" i="843"/>
  <c r="AK127" i="843"/>
  <c r="AL67" i="843"/>
  <c r="AK67" i="843"/>
  <c r="AH115" i="843"/>
  <c r="AL11" i="843"/>
  <c r="AK11" i="843"/>
  <c r="AK55" i="843"/>
  <c r="AL55" i="843"/>
  <c r="AL114" i="843"/>
  <c r="AK114" i="843"/>
  <c r="AH21" i="843"/>
  <c r="AJ21" i="843"/>
  <c r="AL83" i="843"/>
  <c r="AK83" i="843"/>
  <c r="AL90" i="843"/>
  <c r="AK90" i="843"/>
  <c r="AJ110" i="843"/>
  <c r="AL87" i="843"/>
  <c r="AK87" i="843"/>
  <c r="AL98" i="843"/>
  <c r="AK98" i="843"/>
  <c r="AL85" i="843"/>
  <c r="AK85" i="843"/>
  <c r="AH112" i="843"/>
  <c r="AJ101" i="843"/>
  <c r="AH101" i="843"/>
  <c r="AL15" i="843"/>
  <c r="AK15" i="843"/>
  <c r="AJ12" i="843"/>
  <c r="AJ78" i="843"/>
  <c r="AH78" i="843"/>
  <c r="AL109" i="843"/>
  <c r="AK109" i="843"/>
  <c r="AL43" i="843"/>
  <c r="AK43" i="843"/>
  <c r="AL69" i="843"/>
  <c r="AK69" i="843"/>
  <c r="AJ26" i="843"/>
  <c r="AH26" i="843"/>
  <c r="AH16" i="843"/>
  <c r="AL64" i="843"/>
  <c r="AK64" i="843"/>
  <c r="AK103" i="843"/>
  <c r="AL103" i="843"/>
  <c r="AL7" i="843"/>
  <c r="AK7" i="843"/>
  <c r="AH123" i="843"/>
  <c r="AJ123" i="843"/>
  <c r="AL102" i="843"/>
  <c r="AK102" i="843"/>
  <c r="AL119" i="843"/>
  <c r="AK119" i="843"/>
  <c r="AK45" i="843"/>
  <c r="AL45" i="843"/>
  <c r="AL122" i="843"/>
  <c r="AK122" i="843"/>
  <c r="AJ41" i="843"/>
  <c r="AH41" i="843"/>
  <c r="AH20" i="843"/>
  <c r="AK53" i="843"/>
  <c r="AL53" i="843"/>
  <c r="AK71" i="843"/>
  <c r="AL71" i="843"/>
  <c r="AK80" i="843"/>
  <c r="AL80" i="843"/>
  <c r="AH111" i="843"/>
  <c r="AJ111" i="843"/>
  <c r="AH88" i="843"/>
  <c r="AJ88" i="843"/>
  <c r="AK108" i="843"/>
  <c r="AL108" i="843"/>
  <c r="AJ43" i="843"/>
  <c r="AJ91" i="843"/>
  <c r="AH47" i="843"/>
  <c r="AJ47" i="843"/>
  <c r="AB136" i="842"/>
  <c r="AC136" i="842" s="1"/>
  <c r="AE136" i="842" s="1"/>
  <c r="AB105" i="842"/>
  <c r="AC105" i="842" s="1"/>
  <c r="AE105" i="842" s="1"/>
  <c r="AB41" i="842"/>
  <c r="AC41" i="842" s="1"/>
  <c r="AE41" i="842" s="1"/>
  <c r="AB106" i="842"/>
  <c r="AC106" i="842" s="1"/>
  <c r="AE106" i="842" s="1"/>
  <c r="AJ106" i="842" s="1"/>
  <c r="AB68" i="842"/>
  <c r="AC68" i="842" s="1"/>
  <c r="AE68" i="842" s="1"/>
  <c r="AH68" i="842" s="1"/>
  <c r="AB91" i="842"/>
  <c r="AC91" i="842" s="1"/>
  <c r="AE91" i="842" s="1"/>
  <c r="AB137" i="842"/>
  <c r="AC137" i="842" s="1"/>
  <c r="AE137" i="842" s="1"/>
  <c r="AB95" i="842"/>
  <c r="AC95" i="842" s="1"/>
  <c r="AE95" i="842" s="1"/>
  <c r="AJ95" i="842" s="1"/>
  <c r="AB31" i="842"/>
  <c r="AC31" i="842" s="1"/>
  <c r="AJ31" i="842" s="1"/>
  <c r="AB98" i="842"/>
  <c r="AC98" i="842" s="1"/>
  <c r="AE98" i="842" s="1"/>
  <c r="AH98" i="842" s="1"/>
  <c r="AB84" i="842"/>
  <c r="AC84" i="842" s="1"/>
  <c r="AE84" i="842" s="1"/>
  <c r="AH84" i="842" s="1"/>
  <c r="AB35" i="842"/>
  <c r="AC35" i="842" s="1"/>
  <c r="AH35" i="842" s="1"/>
  <c r="AB54" i="842"/>
  <c r="AC54" i="842" s="1"/>
  <c r="AE54" i="842" s="1"/>
  <c r="AH54" i="842" s="1"/>
  <c r="AB75" i="842"/>
  <c r="AC75" i="842" s="1"/>
  <c r="AE75" i="842" s="1"/>
  <c r="AH75" i="842" s="1"/>
  <c r="AB45" i="842"/>
  <c r="AC45" i="842" s="1"/>
  <c r="AE45" i="842" s="1"/>
  <c r="AH45" i="842" s="1"/>
  <c r="AB64" i="842"/>
  <c r="AC64" i="842" s="1"/>
  <c r="AE64" i="842" s="1"/>
  <c r="AJ64" i="842" s="1"/>
  <c r="AB50" i="842"/>
  <c r="AC50" i="842" s="1"/>
  <c r="AE50" i="842" s="1"/>
  <c r="AJ50" i="842" s="1"/>
  <c r="AB58" i="842"/>
  <c r="AC58" i="842" s="1"/>
  <c r="AE58" i="842" s="1"/>
  <c r="AJ58" i="842" s="1"/>
  <c r="AB32" i="842"/>
  <c r="AC32" i="842" s="1"/>
  <c r="AH32" i="842" s="1"/>
  <c r="AB47" i="842"/>
  <c r="AC47" i="842" s="1"/>
  <c r="AE47" i="842" s="1"/>
  <c r="AJ47" i="842" s="1"/>
  <c r="AB66" i="842"/>
  <c r="AC66" i="842" s="1"/>
  <c r="AE66" i="842" s="1"/>
  <c r="AJ66" i="842" s="1"/>
  <c r="AB51" i="842"/>
  <c r="AC51" i="842" s="1"/>
  <c r="AE51" i="842" s="1"/>
  <c r="AB55" i="842"/>
  <c r="AC55" i="842" s="1"/>
  <c r="AE55" i="842" s="1"/>
  <c r="AB52" i="842"/>
  <c r="AC52" i="842" s="1"/>
  <c r="AE52" i="842" s="1"/>
  <c r="AH52" i="842" s="1"/>
  <c r="AB17" i="842"/>
  <c r="AC17" i="842" s="1"/>
  <c r="AJ17" i="842" s="1"/>
  <c r="AB26" i="842"/>
  <c r="AC26" i="842" s="1"/>
  <c r="AJ26" i="842" s="1"/>
  <c r="AB46" i="842"/>
  <c r="AC46" i="842" s="1"/>
  <c r="AE46" i="842" s="1"/>
  <c r="AJ46" i="842" s="1"/>
  <c r="AB114" i="842"/>
  <c r="AC114" i="842" s="1"/>
  <c r="AE114" i="842" s="1"/>
  <c r="AH114" i="842" s="1"/>
  <c r="AB121" i="842"/>
  <c r="AC121" i="842" s="1"/>
  <c r="AE121" i="842" s="1"/>
  <c r="AJ121" i="842" s="1"/>
  <c r="AB65" i="842"/>
  <c r="AC65" i="842" s="1"/>
  <c r="AE65" i="842" s="1"/>
  <c r="AJ65" i="842" s="1"/>
  <c r="AB40" i="842"/>
  <c r="AC40" i="842" s="1"/>
  <c r="AH40" i="842" s="1"/>
  <c r="AB97" i="842"/>
  <c r="AC97" i="842" s="1"/>
  <c r="AE97" i="842" s="1"/>
  <c r="AH97" i="842" s="1"/>
  <c r="AB82" i="842"/>
  <c r="AC82" i="842" s="1"/>
  <c r="AE82" i="842" s="1"/>
  <c r="AH82" i="842" s="1"/>
  <c r="AB36" i="842"/>
  <c r="AC36" i="842" s="1"/>
  <c r="AJ36" i="842" s="1"/>
  <c r="AB19" i="842"/>
  <c r="AC19" i="842" s="1"/>
  <c r="AJ19" i="842" s="1"/>
  <c r="AB76" i="842"/>
  <c r="AC76" i="842" s="1"/>
  <c r="AE76" i="842" s="1"/>
  <c r="AH76" i="842" s="1"/>
  <c r="AB5" i="842"/>
  <c r="AC5" i="842" s="1"/>
  <c r="AB72" i="842"/>
  <c r="AC72" i="842" s="1"/>
  <c r="AE72" i="842" s="1"/>
  <c r="AJ72" i="842" s="1"/>
  <c r="AB34" i="842"/>
  <c r="AC34" i="842" s="1"/>
  <c r="AH34" i="842" s="1"/>
  <c r="AB86" i="842"/>
  <c r="AC86" i="842" s="1"/>
  <c r="AE86" i="842" s="1"/>
  <c r="AH86" i="842" s="1"/>
  <c r="AB124" i="842"/>
  <c r="AC124" i="842" s="1"/>
  <c r="AE124" i="842" s="1"/>
  <c r="AJ124" i="842" s="1"/>
  <c r="AH51" i="842"/>
  <c r="AJ51" i="842"/>
  <c r="AJ37" i="842"/>
  <c r="AH37" i="842"/>
  <c r="AJ52" i="842"/>
  <c r="AH31" i="842"/>
  <c r="AJ55" i="842"/>
  <c r="AH55" i="842"/>
  <c r="AJ105" i="842"/>
  <c r="AH105" i="842"/>
  <c r="AH124" i="842"/>
  <c r="AJ125" i="842"/>
  <c r="AH125" i="842"/>
  <c r="AJ25" i="842"/>
  <c r="AH25" i="842"/>
  <c r="AJ137" i="842"/>
  <c r="AH137" i="842"/>
  <c r="AJ91" i="842"/>
  <c r="AH91" i="842"/>
  <c r="AJ109" i="842"/>
  <c r="AH109" i="842"/>
  <c r="AJ70" i="842"/>
  <c r="AH70" i="842"/>
  <c r="AJ41" i="842"/>
  <c r="AH41" i="842"/>
  <c r="AB133" i="842"/>
  <c r="AC133" i="842" s="1"/>
  <c r="AE133" i="842" s="1"/>
  <c r="AB123" i="842"/>
  <c r="AC123" i="842" s="1"/>
  <c r="AE123" i="842" s="1"/>
  <c r="AJ123" i="842" s="1"/>
  <c r="AB113" i="842"/>
  <c r="AC113" i="842" s="1"/>
  <c r="AE113" i="842" s="1"/>
  <c r="AJ113" i="842" s="1"/>
  <c r="AB103" i="842"/>
  <c r="AC103" i="842" s="1"/>
  <c r="AE103" i="842" s="1"/>
  <c r="AB93" i="842"/>
  <c r="AC93" i="842" s="1"/>
  <c r="AE93" i="842" s="1"/>
  <c r="AB83" i="842"/>
  <c r="AC83" i="842" s="1"/>
  <c r="AE83" i="842" s="1"/>
  <c r="AJ83" i="842" s="1"/>
  <c r="AB73" i="842"/>
  <c r="AC73" i="842" s="1"/>
  <c r="AE73" i="842" s="1"/>
  <c r="AB63" i="842"/>
  <c r="AC63" i="842" s="1"/>
  <c r="AE63" i="842" s="1"/>
  <c r="AJ63" i="842" s="1"/>
  <c r="AB53" i="842"/>
  <c r="AC53" i="842" s="1"/>
  <c r="AE53" i="842" s="1"/>
  <c r="AB43" i="842"/>
  <c r="AC43" i="842" s="1"/>
  <c r="AE43" i="842" s="1"/>
  <c r="AJ43" i="842" s="1"/>
  <c r="AB33" i="842"/>
  <c r="AC33" i="842" s="1"/>
  <c r="AJ33" i="842" s="1"/>
  <c r="AB23" i="842"/>
  <c r="AC23" i="842" s="1"/>
  <c r="AB130" i="842"/>
  <c r="AC130" i="842" s="1"/>
  <c r="AE130" i="842" s="1"/>
  <c r="AJ130" i="842" s="1"/>
  <c r="AB120" i="842"/>
  <c r="AC120" i="842" s="1"/>
  <c r="AE120" i="842" s="1"/>
  <c r="AJ120" i="842" s="1"/>
  <c r="AB110" i="842"/>
  <c r="AC110" i="842" s="1"/>
  <c r="AE110" i="842" s="1"/>
  <c r="AJ110" i="842" s="1"/>
  <c r="AB100" i="842"/>
  <c r="AC100" i="842" s="1"/>
  <c r="AE100" i="842" s="1"/>
  <c r="AH100" i="842" s="1"/>
  <c r="AB90" i="842"/>
  <c r="AC90" i="842" s="1"/>
  <c r="AE90" i="842" s="1"/>
  <c r="AH90" i="842" s="1"/>
  <c r="AB80" i="842"/>
  <c r="AC80" i="842" s="1"/>
  <c r="AE80" i="842" s="1"/>
  <c r="AJ80" i="842" s="1"/>
  <c r="AB126" i="842"/>
  <c r="AC126" i="842" s="1"/>
  <c r="AE126" i="842" s="1"/>
  <c r="AB107" i="842"/>
  <c r="AC107" i="842" s="1"/>
  <c r="AE107" i="842" s="1"/>
  <c r="AJ107" i="842" s="1"/>
  <c r="AB21" i="842"/>
  <c r="AC21" i="842" s="1"/>
  <c r="AB115" i="842"/>
  <c r="AC115" i="842" s="1"/>
  <c r="AE115" i="842" s="1"/>
  <c r="AJ115" i="842" s="1"/>
  <c r="AB96" i="842"/>
  <c r="AC96" i="842" s="1"/>
  <c r="AE96" i="842" s="1"/>
  <c r="AB62" i="842"/>
  <c r="AC62" i="842" s="1"/>
  <c r="AE62" i="842" s="1"/>
  <c r="AJ62" i="842" s="1"/>
  <c r="AB59" i="842"/>
  <c r="AC59" i="842" s="1"/>
  <c r="AE59" i="842" s="1"/>
  <c r="AH59" i="842" s="1"/>
  <c r="AB56" i="842"/>
  <c r="AC56" i="842" s="1"/>
  <c r="AE56" i="842" s="1"/>
  <c r="AJ56" i="842" s="1"/>
  <c r="AB30" i="842"/>
  <c r="AC30" i="842" s="1"/>
  <c r="AJ30" i="842" s="1"/>
  <c r="AB27" i="842"/>
  <c r="AC27" i="842" s="1"/>
  <c r="AJ27" i="842" s="1"/>
  <c r="AB24" i="842"/>
  <c r="AC24" i="842" s="1"/>
  <c r="AJ24" i="842" s="1"/>
  <c r="AB129" i="842"/>
  <c r="AC129" i="842" s="1"/>
  <c r="AE129" i="842" s="1"/>
  <c r="AJ129" i="842" s="1"/>
  <c r="AB118" i="842"/>
  <c r="AC118" i="842" s="1"/>
  <c r="AE118" i="842" s="1"/>
  <c r="AH118" i="842" s="1"/>
  <c r="AB85" i="842"/>
  <c r="AC85" i="842" s="1"/>
  <c r="AE85" i="842" s="1"/>
  <c r="AJ85" i="842" s="1"/>
  <c r="AB11" i="842"/>
  <c r="AC11" i="842" s="1"/>
  <c r="AB99" i="842"/>
  <c r="AC99" i="842" s="1"/>
  <c r="AE99" i="842" s="1"/>
  <c r="AH99" i="842" s="1"/>
  <c r="AB88" i="842"/>
  <c r="AC88" i="842" s="1"/>
  <c r="AE88" i="842" s="1"/>
  <c r="AH88" i="842" s="1"/>
  <c r="AB77" i="842"/>
  <c r="AC77" i="842" s="1"/>
  <c r="AE77" i="842" s="1"/>
  <c r="AJ77" i="842" s="1"/>
  <c r="AB74" i="842"/>
  <c r="AC74" i="842" s="1"/>
  <c r="AE74" i="842" s="1"/>
  <c r="AJ74" i="842" s="1"/>
  <c r="AB89" i="842"/>
  <c r="AC89" i="842" s="1"/>
  <c r="AE89" i="842" s="1"/>
  <c r="AB87" i="842"/>
  <c r="AC87" i="842" s="1"/>
  <c r="AE87" i="842" s="1"/>
  <c r="AH87" i="842" s="1"/>
  <c r="AB48" i="842"/>
  <c r="AC48" i="842" s="1"/>
  <c r="AE48" i="842" s="1"/>
  <c r="AJ48" i="842" s="1"/>
  <c r="AB135" i="842"/>
  <c r="AC135" i="842" s="1"/>
  <c r="AE135" i="842" s="1"/>
  <c r="AH135" i="842" s="1"/>
  <c r="AB117" i="842"/>
  <c r="AC117" i="842" s="1"/>
  <c r="AE117" i="842" s="1"/>
  <c r="AH117" i="842" s="1"/>
  <c r="AB61" i="842"/>
  <c r="AC61" i="842" s="1"/>
  <c r="AE61" i="842" s="1"/>
  <c r="AH61" i="842" s="1"/>
  <c r="AB128" i="842"/>
  <c r="AC128" i="842" s="1"/>
  <c r="AE128" i="842" s="1"/>
  <c r="AB94" i="842"/>
  <c r="AC94" i="842" s="1"/>
  <c r="AE94" i="842" s="1"/>
  <c r="AJ94" i="842" s="1"/>
  <c r="AB38" i="842"/>
  <c r="AC38" i="842" s="1"/>
  <c r="AB119" i="842"/>
  <c r="AC119" i="842" s="1"/>
  <c r="AE119" i="842" s="1"/>
  <c r="AH119" i="842" s="1"/>
  <c r="AB101" i="842"/>
  <c r="AC101" i="842" s="1"/>
  <c r="AE101" i="842" s="1"/>
  <c r="AH101" i="842" s="1"/>
  <c r="AB71" i="842"/>
  <c r="AC71" i="842" s="1"/>
  <c r="AE71" i="842" s="1"/>
  <c r="AH71" i="842" s="1"/>
  <c r="AB28" i="842"/>
  <c r="AC28" i="842" s="1"/>
  <c r="AJ28" i="842" s="1"/>
  <c r="AB13" i="842"/>
  <c r="AC13" i="842" s="1"/>
  <c r="AB7" i="842"/>
  <c r="AC7" i="842" s="1"/>
  <c r="AJ7" i="842" s="1"/>
  <c r="AB138" i="842"/>
  <c r="AC138" i="842" s="1"/>
  <c r="AE138" i="842" s="1"/>
  <c r="AJ138" i="842" s="1"/>
  <c r="AB92" i="842"/>
  <c r="AC92" i="842" s="1"/>
  <c r="AE92" i="842" s="1"/>
  <c r="AJ92" i="842" s="1"/>
  <c r="AB69" i="842"/>
  <c r="AC69" i="842" s="1"/>
  <c r="AE69" i="842" s="1"/>
  <c r="AH69" i="842" s="1"/>
  <c r="AB39" i="842"/>
  <c r="AC39" i="842" s="1"/>
  <c r="AJ39" i="842" s="1"/>
  <c r="AB102" i="842"/>
  <c r="AC102" i="842" s="1"/>
  <c r="AE102" i="842" s="1"/>
  <c r="AH102" i="842" s="1"/>
  <c r="AB57" i="842"/>
  <c r="AC57" i="842" s="1"/>
  <c r="AE57" i="842" s="1"/>
  <c r="AJ57" i="842" s="1"/>
  <c r="AB44" i="842"/>
  <c r="AC44" i="842" s="1"/>
  <c r="AE44" i="842" s="1"/>
  <c r="AH44" i="842" s="1"/>
  <c r="AB29" i="842"/>
  <c r="AC29" i="842" s="1"/>
  <c r="AJ29" i="842" s="1"/>
  <c r="AB15" i="842"/>
  <c r="AC15" i="842" s="1"/>
  <c r="AJ15" i="842" s="1"/>
  <c r="AB9" i="842"/>
  <c r="AC9" i="842" s="1"/>
  <c r="AB122" i="842"/>
  <c r="AC122" i="842" s="1"/>
  <c r="AE122" i="842" s="1"/>
  <c r="AH122" i="842" s="1"/>
  <c r="AB67" i="842"/>
  <c r="AC67" i="842" s="1"/>
  <c r="AE67" i="842" s="1"/>
  <c r="AH67" i="842" s="1"/>
  <c r="AB131" i="842"/>
  <c r="AC131" i="842" s="1"/>
  <c r="AE131" i="842" s="1"/>
  <c r="AH131" i="842" s="1"/>
  <c r="AB104" i="842"/>
  <c r="AC104" i="842" s="1"/>
  <c r="AE104" i="842" s="1"/>
  <c r="AH104" i="842" s="1"/>
  <c r="AB81" i="842"/>
  <c r="AC81" i="842" s="1"/>
  <c r="AE81" i="842" s="1"/>
  <c r="AJ81" i="842" s="1"/>
  <c r="AB49" i="842"/>
  <c r="AC49" i="842" s="1"/>
  <c r="AE49" i="842" s="1"/>
  <c r="AH49" i="842" s="1"/>
  <c r="AB127" i="842"/>
  <c r="AC127" i="842" s="1"/>
  <c r="AE127" i="842" s="1"/>
  <c r="AJ127" i="842" s="1"/>
  <c r="AB111" i="842"/>
  <c r="AC111" i="842" s="1"/>
  <c r="AE111" i="842" s="1"/>
  <c r="AH111" i="842" s="1"/>
  <c r="AB79" i="842"/>
  <c r="AC79" i="842" s="1"/>
  <c r="AE79" i="842" s="1"/>
  <c r="AH79" i="842" s="1"/>
  <c r="AB78" i="842"/>
  <c r="AC78" i="842" s="1"/>
  <c r="AE78" i="842" s="1"/>
  <c r="AH78" i="842" s="1"/>
  <c r="AJ116" i="842"/>
  <c r="AH116" i="842"/>
  <c r="AJ136" i="842"/>
  <c r="AH136" i="842"/>
  <c r="AH112" i="842"/>
  <c r="AB132" i="842"/>
  <c r="AC132" i="842" s="1"/>
  <c r="AE132" i="842" s="1"/>
  <c r="AJ132" i="842" s="1"/>
  <c r="AB134" i="842"/>
  <c r="AC134" i="842" s="1"/>
  <c r="AE134" i="842" s="1"/>
  <c r="AJ134" i="842" s="1"/>
  <c r="AH46" i="842"/>
  <c r="AB60" i="842"/>
  <c r="AC60" i="842" s="1"/>
  <c r="AE60" i="842" s="1"/>
  <c r="AJ60" i="842" s="1"/>
  <c r="AB42" i="842"/>
  <c r="AC42" i="842" s="1"/>
  <c r="AE42" i="842" s="1"/>
  <c r="AH42" i="842" s="1"/>
  <c r="AB108" i="842"/>
  <c r="AC108" i="842" s="1"/>
  <c r="AE108" i="842" s="1"/>
  <c r="AJ108" i="842" s="1"/>
  <c r="AK14" i="843" l="1"/>
  <c r="AL9" i="843"/>
  <c r="AL136" i="843"/>
  <c r="AK75" i="843"/>
  <c r="AK48" i="843"/>
  <c r="AL46" i="843"/>
  <c r="AK31" i="843"/>
  <c r="AL39" i="843"/>
  <c r="AK42" i="843"/>
  <c r="AK130" i="843"/>
  <c r="AL33" i="843"/>
  <c r="AK60" i="843"/>
  <c r="AL63" i="843"/>
  <c r="AK63" i="843"/>
  <c r="AL34" i="843"/>
  <c r="AK34" i="843"/>
  <c r="AL20" i="843"/>
  <c r="AK20" i="843"/>
  <c r="AL54" i="843"/>
  <c r="AK54" i="843"/>
  <c r="AL41" i="843"/>
  <c r="AK41" i="843"/>
  <c r="AL116" i="843"/>
  <c r="AK116" i="843"/>
  <c r="AL131" i="843"/>
  <c r="AK131" i="843"/>
  <c r="AL35" i="843"/>
  <c r="AK35" i="843"/>
  <c r="AL112" i="843"/>
  <c r="AK112" i="843"/>
  <c r="AL52" i="843"/>
  <c r="AK52" i="843"/>
  <c r="AL13" i="843"/>
  <c r="AK13" i="843"/>
  <c r="AK115" i="843"/>
  <c r="AL115" i="843"/>
  <c r="AL26" i="843"/>
  <c r="AK26" i="843"/>
  <c r="AL81" i="843"/>
  <c r="AK81" i="843"/>
  <c r="AK47" i="843"/>
  <c r="AL47" i="843"/>
  <c r="AL66" i="843"/>
  <c r="AK66" i="843"/>
  <c r="AL104" i="843"/>
  <c r="AK104" i="843"/>
  <c r="AL88" i="843"/>
  <c r="AK88" i="843"/>
  <c r="AL78" i="843"/>
  <c r="AK78" i="843"/>
  <c r="AL22" i="843"/>
  <c r="AK22" i="843"/>
  <c r="AL5" i="843"/>
  <c r="AK5" i="843"/>
  <c r="AL16" i="843"/>
  <c r="AK16" i="843"/>
  <c r="AL21" i="843"/>
  <c r="AK21" i="843"/>
  <c r="AL18" i="843"/>
  <c r="AK18" i="843"/>
  <c r="AL61" i="843"/>
  <c r="AK61" i="843"/>
  <c r="AL68" i="843"/>
  <c r="AK68" i="843"/>
  <c r="AL132" i="843"/>
  <c r="AK132" i="843"/>
  <c r="AL111" i="843"/>
  <c r="AK111" i="843"/>
  <c r="AL123" i="843"/>
  <c r="AK123" i="843"/>
  <c r="AK36" i="843"/>
  <c r="AL36" i="843"/>
  <c r="AL121" i="843"/>
  <c r="AK121" i="843"/>
  <c r="AL77" i="843"/>
  <c r="AK77" i="843"/>
  <c r="AL101" i="843"/>
  <c r="AK101" i="843"/>
  <c r="AK124" i="843"/>
  <c r="AL124" i="843"/>
  <c r="AL107" i="843"/>
  <c r="AK107" i="843"/>
  <c r="AE21" i="842"/>
  <c r="AH21" i="842" s="1"/>
  <c r="AE5" i="842"/>
  <c r="AH5" i="842" s="1"/>
  <c r="AJ68" i="842"/>
  <c r="AJ35" i="842"/>
  <c r="AJ86" i="842"/>
  <c r="AJ75" i="842"/>
  <c r="AJ45" i="842"/>
  <c r="AH120" i="842"/>
  <c r="AJ84" i="842"/>
  <c r="AJ42" i="842"/>
  <c r="AH95" i="842"/>
  <c r="AH138" i="842"/>
  <c r="AH58" i="842"/>
  <c r="AL58" i="842" s="1"/>
  <c r="AJ98" i="842"/>
  <c r="AH27" i="842"/>
  <c r="AH30" i="842"/>
  <c r="AK30" i="842" s="1"/>
  <c r="AH121" i="842"/>
  <c r="AJ34" i="842"/>
  <c r="AL35" i="842"/>
  <c r="AK35" i="842"/>
  <c r="AK54" i="842"/>
  <c r="AL54" i="842"/>
  <c r="AL68" i="842"/>
  <c r="AK68" i="842"/>
  <c r="AH62" i="842"/>
  <c r="AL62" i="842" s="1"/>
  <c r="AH65" i="842"/>
  <c r="AK65" i="842" s="1"/>
  <c r="AJ131" i="842"/>
  <c r="AH50" i="842"/>
  <c r="AK50" i="842" s="1"/>
  <c r="AJ122" i="842"/>
  <c r="AJ101" i="842"/>
  <c r="AH66" i="842"/>
  <c r="AK66" i="842" s="1"/>
  <c r="AH47" i="842"/>
  <c r="AL47" i="842" s="1"/>
  <c r="AJ67" i="842"/>
  <c r="AH64" i="842"/>
  <c r="AL64" i="842" s="1"/>
  <c r="AJ40" i="842"/>
  <c r="AH72" i="842"/>
  <c r="AL72" i="842" s="1"/>
  <c r="AJ54" i="842"/>
  <c r="AJ32" i="842"/>
  <c r="AH106" i="842"/>
  <c r="AH108" i="842"/>
  <c r="AJ111" i="842"/>
  <c r="AL114" i="842"/>
  <c r="AK114" i="842"/>
  <c r="AH36" i="842"/>
  <c r="AL36" i="842" s="1"/>
  <c r="AH115" i="842"/>
  <c r="AL115" i="842" s="1"/>
  <c r="AH29" i="842"/>
  <c r="AK29" i="842" s="1"/>
  <c r="AJ97" i="842"/>
  <c r="AJ117" i="842"/>
  <c r="AJ9" i="842"/>
  <c r="AJ82" i="842"/>
  <c r="AJ114" i="842"/>
  <c r="AJ119" i="842"/>
  <c r="AL21" i="842"/>
  <c r="AJ76" i="842"/>
  <c r="AH134" i="842"/>
  <c r="AL134" i="842" s="1"/>
  <c r="AH94" i="842"/>
  <c r="AL94" i="842" s="1"/>
  <c r="AH26" i="842"/>
  <c r="AK26" i="842" s="1"/>
  <c r="AH63" i="842"/>
  <c r="AL63" i="842" s="1"/>
  <c r="AH81" i="842"/>
  <c r="AL81" i="842" s="1"/>
  <c r="AJ135" i="842"/>
  <c r="AH28" i="842"/>
  <c r="AK28" i="842" s="1"/>
  <c r="AJ11" i="842"/>
  <c r="AJ79" i="842"/>
  <c r="AJ118" i="842"/>
  <c r="AH48" i="842"/>
  <c r="AL48" i="842" s="1"/>
  <c r="AJ49" i="842"/>
  <c r="AL15" i="842"/>
  <c r="AH33" i="842"/>
  <c r="AK33" i="842" s="1"/>
  <c r="AK5" i="842"/>
  <c r="AJ69" i="842"/>
  <c r="AL24" i="842"/>
  <c r="AH39" i="842"/>
  <c r="AK39" i="842" s="1"/>
  <c r="AK7" i="842"/>
  <c r="AH129" i="842"/>
  <c r="AK129" i="842" s="1"/>
  <c r="AH127" i="842"/>
  <c r="AL127" i="842" s="1"/>
  <c r="AH113" i="842"/>
  <c r="AL113" i="842" s="1"/>
  <c r="AH43" i="842"/>
  <c r="AK43" i="842" s="1"/>
  <c r="AL87" i="842"/>
  <c r="AK87" i="842"/>
  <c r="AK122" i="842"/>
  <c r="AL122" i="842"/>
  <c r="AK99" i="842"/>
  <c r="AL99" i="842"/>
  <c r="AL78" i="842"/>
  <c r="AK78" i="842"/>
  <c r="AK71" i="842"/>
  <c r="AL71" i="842"/>
  <c r="AK61" i="842"/>
  <c r="AL61" i="842"/>
  <c r="AL135" i="842"/>
  <c r="AK135" i="842"/>
  <c r="AK102" i="842"/>
  <c r="AL102" i="842"/>
  <c r="AL90" i="842"/>
  <c r="AK90" i="842"/>
  <c r="AK42" i="842"/>
  <c r="AL42" i="842"/>
  <c r="AL88" i="842"/>
  <c r="AK88" i="842"/>
  <c r="AL100" i="842"/>
  <c r="AK100" i="842"/>
  <c r="AL118" i="842"/>
  <c r="AK118" i="842"/>
  <c r="AL59" i="842"/>
  <c r="AK59" i="842"/>
  <c r="AL44" i="842"/>
  <c r="AK44" i="842"/>
  <c r="AJ133" i="842"/>
  <c r="AH133" i="842"/>
  <c r="AL70" i="842"/>
  <c r="AK70" i="842"/>
  <c r="AL29" i="842"/>
  <c r="AK52" i="842"/>
  <c r="AL52" i="842"/>
  <c r="AL33" i="842"/>
  <c r="AL27" i="842"/>
  <c r="AK27" i="842"/>
  <c r="AL111" i="842"/>
  <c r="AK111" i="842"/>
  <c r="AK95" i="842"/>
  <c r="AL95" i="842"/>
  <c r="AH74" i="842"/>
  <c r="AJ90" i="842"/>
  <c r="AJ102" i="842"/>
  <c r="AK55" i="842"/>
  <c r="AL55" i="842"/>
  <c r="AL51" i="842"/>
  <c r="AK51" i="842"/>
  <c r="AJ23" i="842"/>
  <c r="AH85" i="842"/>
  <c r="AL49" i="842"/>
  <c r="AK49" i="842"/>
  <c r="AL32" i="842"/>
  <c r="AK32" i="842"/>
  <c r="AK15" i="842"/>
  <c r="AJ100" i="842"/>
  <c r="AL45" i="842"/>
  <c r="AK45" i="842"/>
  <c r="AL106" i="842"/>
  <c r="AK106" i="842"/>
  <c r="AL86" i="842"/>
  <c r="AK86" i="842"/>
  <c r="AH110" i="842"/>
  <c r="AH80" i="842"/>
  <c r="AL69" i="842"/>
  <c r="AK69" i="842"/>
  <c r="AH89" i="842"/>
  <c r="AJ89" i="842"/>
  <c r="AK11" i="842"/>
  <c r="AL11" i="842"/>
  <c r="AL121" i="842"/>
  <c r="AK121" i="842"/>
  <c r="AL97" i="842"/>
  <c r="AK97" i="842"/>
  <c r="AL41" i="842"/>
  <c r="AK41" i="842"/>
  <c r="AL125" i="842"/>
  <c r="AK125" i="842"/>
  <c r="AK136" i="842"/>
  <c r="AL136" i="842"/>
  <c r="AK40" i="842"/>
  <c r="AL40" i="842"/>
  <c r="AH57" i="842"/>
  <c r="AJ13" i="842"/>
  <c r="AJ104" i="842"/>
  <c r="AL82" i="842"/>
  <c r="AK82" i="842"/>
  <c r="AL119" i="842"/>
  <c r="AK119" i="842"/>
  <c r="AJ53" i="842"/>
  <c r="AH53" i="842"/>
  <c r="AH92" i="842"/>
  <c r="AJ59" i="842"/>
  <c r="AL31" i="842"/>
  <c r="AK31" i="842"/>
  <c r="AL75" i="842"/>
  <c r="AK75" i="842"/>
  <c r="AL116" i="842"/>
  <c r="AK116" i="842"/>
  <c r="AH83" i="842"/>
  <c r="AJ96" i="842"/>
  <c r="AH96" i="842"/>
  <c r="AJ93" i="842"/>
  <c r="AH93" i="842"/>
  <c r="AH107" i="842"/>
  <c r="AL91" i="842"/>
  <c r="AK91" i="842"/>
  <c r="AJ87" i="842"/>
  <c r="AH60" i="842"/>
  <c r="AJ71" i="842"/>
  <c r="AH77" i="842"/>
  <c r="AK76" i="842"/>
  <c r="AL76" i="842"/>
  <c r="AL34" i="842"/>
  <c r="AK34" i="842"/>
  <c r="AH130" i="842"/>
  <c r="AK112" i="842"/>
  <c r="AL112" i="842"/>
  <c r="AJ88" i="842"/>
  <c r="AJ103" i="842"/>
  <c r="AH103" i="842"/>
  <c r="AJ78" i="842"/>
  <c r="AH132" i="842"/>
  <c r="AJ44" i="842"/>
  <c r="AL37" i="842"/>
  <c r="AK37" i="842"/>
  <c r="AL25" i="842"/>
  <c r="AK25" i="842"/>
  <c r="AL108" i="842"/>
  <c r="AK108" i="842"/>
  <c r="AL79" i="842"/>
  <c r="AK79" i="842"/>
  <c r="AL137" i="842"/>
  <c r="AK137" i="842"/>
  <c r="AJ99" i="842"/>
  <c r="AJ61" i="842"/>
  <c r="AL124" i="842"/>
  <c r="AK124" i="842"/>
  <c r="AL120" i="842"/>
  <c r="AK120" i="842"/>
  <c r="AL138" i="842"/>
  <c r="AK138" i="842"/>
  <c r="AJ126" i="842"/>
  <c r="AH126" i="842"/>
  <c r="AL101" i="842"/>
  <c r="AK101" i="842"/>
  <c r="AL131" i="842"/>
  <c r="AK131" i="842"/>
  <c r="AL84" i="842"/>
  <c r="AK84" i="842"/>
  <c r="AK46" i="842"/>
  <c r="AL46" i="842"/>
  <c r="AK67" i="842"/>
  <c r="AL67" i="842"/>
  <c r="AL109" i="842"/>
  <c r="AK109" i="842"/>
  <c r="AK117" i="842"/>
  <c r="AL117" i="842"/>
  <c r="AK62" i="842"/>
  <c r="AL104" i="842"/>
  <c r="AK104" i="842"/>
  <c r="AJ38" i="842"/>
  <c r="AH38" i="842"/>
  <c r="AL105" i="842"/>
  <c r="AK105" i="842"/>
  <c r="AL65" i="842"/>
  <c r="AL66" i="842"/>
  <c r="AH73" i="842"/>
  <c r="AJ73" i="842"/>
  <c r="AL17" i="842"/>
  <c r="AK17" i="842"/>
  <c r="AL98" i="842"/>
  <c r="AK98" i="842"/>
  <c r="AL9" i="842"/>
  <c r="AK9" i="842"/>
  <c r="AH128" i="842"/>
  <c r="AJ128" i="842"/>
  <c r="AH56" i="842"/>
  <c r="AH123" i="842"/>
  <c r="AJ21" i="842" l="1"/>
  <c r="AJ5" i="842"/>
  <c r="AL50" i="842"/>
  <c r="AK36" i="842"/>
  <c r="AL28" i="842"/>
  <c r="AK64" i="842"/>
  <c r="AL30" i="842"/>
  <c r="AK58" i="842"/>
  <c r="AK72" i="842"/>
  <c r="AK21" i="842"/>
  <c r="AK134" i="842"/>
  <c r="AK47" i="842"/>
  <c r="AL129" i="842"/>
  <c r="AK63" i="842"/>
  <c r="AK94" i="842"/>
  <c r="AK113" i="842"/>
  <c r="AK81" i="842"/>
  <c r="AK48" i="842"/>
  <c r="AL19" i="842"/>
  <c r="AK19" i="842"/>
  <c r="AL26" i="842"/>
  <c r="AK115" i="842"/>
  <c r="AL43" i="842"/>
  <c r="AL39" i="842"/>
  <c r="AL7" i="842"/>
  <c r="AL5" i="842"/>
  <c r="AK24" i="842"/>
  <c r="AK127" i="842"/>
  <c r="AK130" i="842"/>
  <c r="AL130" i="842"/>
  <c r="AL89" i="842"/>
  <c r="AK89" i="842"/>
  <c r="AK60" i="842"/>
  <c r="AL60" i="842"/>
  <c r="AL133" i="842"/>
  <c r="AK133" i="842"/>
  <c r="AK85" i="842"/>
  <c r="AL85" i="842"/>
  <c r="AL132" i="842"/>
  <c r="AK132" i="842"/>
  <c r="AL107" i="842"/>
  <c r="AK107" i="842"/>
  <c r="AL80" i="842"/>
  <c r="AK80" i="842"/>
  <c r="AL23" i="842"/>
  <c r="AK23" i="842"/>
  <c r="AL93" i="842"/>
  <c r="AK93" i="842"/>
  <c r="AK92" i="842"/>
  <c r="AL92" i="842"/>
  <c r="AK110" i="842"/>
  <c r="AL110" i="842"/>
  <c r="AL103" i="842"/>
  <c r="AK103" i="842"/>
  <c r="AL53" i="842"/>
  <c r="AK53" i="842"/>
  <c r="AL74" i="842"/>
  <c r="AK74" i="842"/>
  <c r="AK77" i="842"/>
  <c r="AL77" i="842"/>
  <c r="AK73" i="842"/>
  <c r="AL73" i="842"/>
  <c r="AL123" i="842"/>
  <c r="AK123" i="842"/>
  <c r="AL96" i="842"/>
  <c r="AK96" i="842"/>
  <c r="AL38" i="842"/>
  <c r="AK38" i="842"/>
  <c r="AL83" i="842"/>
  <c r="AK83" i="842"/>
  <c r="AK128" i="842"/>
  <c r="AL128" i="842"/>
  <c r="AL126" i="842"/>
  <c r="AK126" i="842"/>
  <c r="AL13" i="842"/>
  <c r="AK13" i="842"/>
  <c r="AL57" i="842"/>
  <c r="AK57" i="842"/>
  <c r="AK56" i="842"/>
  <c r="AL56" i="842"/>
  <c r="N50" i="841" l="1"/>
  <c r="N48" i="841" l="1"/>
  <c r="N46" i="841"/>
  <c r="N44" i="841"/>
  <c r="N40" i="840" l="1"/>
  <c r="N38" i="840" l="1"/>
  <c r="N21" i="841" l="1"/>
  <c r="AX142" i="841" l="1"/>
  <c r="AW142" i="841"/>
  <c r="AN142" i="841"/>
  <c r="AO142" i="841" s="1"/>
  <c r="U142" i="841"/>
  <c r="V142" i="841" s="1"/>
  <c r="N142" i="841"/>
  <c r="AX141" i="841"/>
  <c r="AW141" i="841"/>
  <c r="AN141" i="841"/>
  <c r="AO141" i="841" s="1"/>
  <c r="AB141" i="841"/>
  <c r="AC141" i="841" s="1"/>
  <c r="AE141" i="841" s="1"/>
  <c r="U141" i="841"/>
  <c r="V141" i="841" s="1"/>
  <c r="N141" i="841"/>
  <c r="AX140" i="841"/>
  <c r="AW140" i="841"/>
  <c r="AN140" i="841"/>
  <c r="AO140" i="841" s="1"/>
  <c r="AB140" i="841"/>
  <c r="AC140" i="841" s="1"/>
  <c r="AE140" i="841" s="1"/>
  <c r="U140" i="841"/>
  <c r="V140" i="841" s="1"/>
  <c r="N140" i="841"/>
  <c r="AX139" i="841"/>
  <c r="AW139" i="841"/>
  <c r="AN139" i="841"/>
  <c r="AO139" i="841" s="1"/>
  <c r="U139" i="841"/>
  <c r="V139" i="841" s="1"/>
  <c r="N139" i="841"/>
  <c r="AX138" i="841"/>
  <c r="AW138" i="841"/>
  <c r="AN138" i="841"/>
  <c r="AO138" i="841" s="1"/>
  <c r="AB138" i="841"/>
  <c r="AC138" i="841" s="1"/>
  <c r="AE138" i="841" s="1"/>
  <c r="V138" i="841"/>
  <c r="U138" i="841"/>
  <c r="N138" i="841"/>
  <c r="AX137" i="841"/>
  <c r="AW137" i="841"/>
  <c r="AN137" i="841"/>
  <c r="AO137" i="841" s="1"/>
  <c r="AB137" i="841"/>
  <c r="AC137" i="841" s="1"/>
  <c r="AE137" i="841" s="1"/>
  <c r="U137" i="841"/>
  <c r="V137" i="841" s="1"/>
  <c r="AJ137" i="841" s="1"/>
  <c r="N137" i="841"/>
  <c r="AX136" i="841"/>
  <c r="AW136" i="841"/>
  <c r="AN136" i="841"/>
  <c r="AO136" i="841" s="1"/>
  <c r="U136" i="841"/>
  <c r="V136" i="841" s="1"/>
  <c r="N136" i="841"/>
  <c r="AX135" i="841"/>
  <c r="AW135" i="841"/>
  <c r="AO135" i="841"/>
  <c r="AN135" i="841"/>
  <c r="AE135" i="841"/>
  <c r="AJ135" i="841" s="1"/>
  <c r="U135" i="841"/>
  <c r="V135" i="841" s="1"/>
  <c r="N135" i="841"/>
  <c r="AX134" i="841"/>
  <c r="AW134" i="841"/>
  <c r="AN134" i="841"/>
  <c r="AO134" i="841" s="1"/>
  <c r="AB134" i="841"/>
  <c r="AC134" i="841" s="1"/>
  <c r="AE134" i="841" s="1"/>
  <c r="U134" i="841"/>
  <c r="V134" i="841" s="1"/>
  <c r="N134" i="841"/>
  <c r="AX133" i="841"/>
  <c r="AW133" i="841"/>
  <c r="AN133" i="841"/>
  <c r="AO133" i="841" s="1"/>
  <c r="U133" i="841"/>
  <c r="V133" i="841" s="1"/>
  <c r="N133" i="841"/>
  <c r="AX132" i="841"/>
  <c r="AW132" i="841"/>
  <c r="AN132" i="841"/>
  <c r="AO132" i="841" s="1"/>
  <c r="AB132" i="841"/>
  <c r="AC132" i="841" s="1"/>
  <c r="AE132" i="841" s="1"/>
  <c r="AJ132" i="841" s="1"/>
  <c r="V132" i="841"/>
  <c r="U132" i="841"/>
  <c r="N132" i="841"/>
  <c r="AX131" i="841"/>
  <c r="AW131" i="841"/>
  <c r="AN131" i="841"/>
  <c r="AO131" i="841" s="1"/>
  <c r="AB131" i="841"/>
  <c r="AC131" i="841" s="1"/>
  <c r="AE131" i="841" s="1"/>
  <c r="AJ131" i="841" s="1"/>
  <c r="U131" i="841"/>
  <c r="V131" i="841" s="1"/>
  <c r="AH131" i="841" s="1"/>
  <c r="AK131" i="841" s="1"/>
  <c r="N131" i="841"/>
  <c r="AX130" i="841"/>
  <c r="AW130" i="841"/>
  <c r="AN130" i="841"/>
  <c r="AO130" i="841" s="1"/>
  <c r="U130" i="841"/>
  <c r="V130" i="841" s="1"/>
  <c r="N130" i="841"/>
  <c r="AX129" i="841"/>
  <c r="AW129" i="841"/>
  <c r="AN129" i="841"/>
  <c r="AO129" i="841" s="1"/>
  <c r="V129" i="841"/>
  <c r="U129" i="841"/>
  <c r="N129" i="841"/>
  <c r="AX128" i="841"/>
  <c r="AW128" i="841"/>
  <c r="AN128" i="841"/>
  <c r="AO128" i="841" s="1"/>
  <c r="AB128" i="841"/>
  <c r="AC128" i="841" s="1"/>
  <c r="AE128" i="841" s="1"/>
  <c r="V128" i="841"/>
  <c r="U128" i="841"/>
  <c r="N128" i="841"/>
  <c r="AX127" i="841"/>
  <c r="AW127" i="841"/>
  <c r="AN127" i="841"/>
  <c r="AO127" i="841" s="1"/>
  <c r="U127" i="841"/>
  <c r="V127" i="841" s="1"/>
  <c r="N127" i="841"/>
  <c r="AX126" i="841"/>
  <c r="AW126" i="841"/>
  <c r="AN126" i="841"/>
  <c r="AO126" i="841" s="1"/>
  <c r="AB126" i="841"/>
  <c r="AC126" i="841" s="1"/>
  <c r="AE126" i="841" s="1"/>
  <c r="AJ126" i="841" s="1"/>
  <c r="V126" i="841"/>
  <c r="AH126" i="841" s="1"/>
  <c r="U126" i="841"/>
  <c r="N126" i="841"/>
  <c r="AX125" i="841"/>
  <c r="AW125" i="841"/>
  <c r="AN125" i="841"/>
  <c r="AO125" i="841" s="1"/>
  <c r="U125" i="841"/>
  <c r="V125" i="841" s="1"/>
  <c r="N125" i="841"/>
  <c r="AX124" i="841"/>
  <c r="AW124" i="841"/>
  <c r="AN124" i="841"/>
  <c r="AO124" i="841" s="1"/>
  <c r="AB124" i="841"/>
  <c r="AC124" i="841" s="1"/>
  <c r="AE124" i="841" s="1"/>
  <c r="U124" i="841"/>
  <c r="V124" i="841" s="1"/>
  <c r="N124" i="841"/>
  <c r="AX123" i="841"/>
  <c r="AW123" i="841"/>
  <c r="AN123" i="841"/>
  <c r="AO123" i="841" s="1"/>
  <c r="U123" i="841"/>
  <c r="V123" i="841" s="1"/>
  <c r="N123" i="841"/>
  <c r="AX122" i="841"/>
  <c r="AW122" i="841"/>
  <c r="AN122" i="841"/>
  <c r="AO122" i="841" s="1"/>
  <c r="AB122" i="841"/>
  <c r="AC122" i="841" s="1"/>
  <c r="AE122" i="841" s="1"/>
  <c r="V122" i="841"/>
  <c r="AJ122" i="841" s="1"/>
  <c r="U122" i="841"/>
  <c r="N122" i="841"/>
  <c r="AX121" i="841"/>
  <c r="AW121" i="841"/>
  <c r="AN121" i="841"/>
  <c r="AO121" i="841" s="1"/>
  <c r="AB121" i="841"/>
  <c r="AC121" i="841" s="1"/>
  <c r="AE121" i="841" s="1"/>
  <c r="U121" i="841"/>
  <c r="V121" i="841" s="1"/>
  <c r="N121" i="841"/>
  <c r="AX120" i="841"/>
  <c r="AW120" i="841"/>
  <c r="AN120" i="841"/>
  <c r="AO120" i="841" s="1"/>
  <c r="AB120" i="841"/>
  <c r="AC120" i="841" s="1"/>
  <c r="AE120" i="841" s="1"/>
  <c r="U120" i="841"/>
  <c r="V120" i="841" s="1"/>
  <c r="N120" i="841"/>
  <c r="AX119" i="841"/>
  <c r="AW119" i="841"/>
  <c r="AN119" i="841"/>
  <c r="AO119" i="841" s="1"/>
  <c r="AB119" i="841"/>
  <c r="AC119" i="841" s="1"/>
  <c r="AE119" i="841" s="1"/>
  <c r="U119" i="841"/>
  <c r="V119" i="841" s="1"/>
  <c r="N119" i="841"/>
  <c r="AX118" i="841"/>
  <c r="AW118" i="841"/>
  <c r="AN118" i="841"/>
  <c r="AO118" i="841" s="1"/>
  <c r="AB118" i="841"/>
  <c r="AC118" i="841" s="1"/>
  <c r="AE118" i="841" s="1"/>
  <c r="V118" i="841"/>
  <c r="U118" i="841"/>
  <c r="N118" i="841"/>
  <c r="AX117" i="841"/>
  <c r="AW117" i="841"/>
  <c r="AN117" i="841"/>
  <c r="AO117" i="841" s="1"/>
  <c r="U117" i="841"/>
  <c r="V117" i="841" s="1"/>
  <c r="N117" i="841"/>
  <c r="AX116" i="841"/>
  <c r="AW116" i="841"/>
  <c r="AN116" i="841"/>
  <c r="AO116" i="841" s="1"/>
  <c r="AB116" i="841"/>
  <c r="AC116" i="841" s="1"/>
  <c r="AE116" i="841" s="1"/>
  <c r="U116" i="841"/>
  <c r="V116" i="841" s="1"/>
  <c r="N116" i="841"/>
  <c r="AX115" i="841"/>
  <c r="AW115" i="841"/>
  <c r="AN115" i="841"/>
  <c r="AO115" i="841" s="1"/>
  <c r="U115" i="841"/>
  <c r="V115" i="841" s="1"/>
  <c r="N115" i="841"/>
  <c r="AX114" i="841"/>
  <c r="AW114" i="841"/>
  <c r="AN114" i="841"/>
  <c r="AO114" i="841" s="1"/>
  <c r="U114" i="841"/>
  <c r="V114" i="841" s="1"/>
  <c r="N114" i="841"/>
  <c r="AX113" i="841"/>
  <c r="AW113" i="841"/>
  <c r="AN113" i="841"/>
  <c r="AO113" i="841" s="1"/>
  <c r="U113" i="841"/>
  <c r="V113" i="841" s="1"/>
  <c r="N113" i="841"/>
  <c r="AX112" i="841"/>
  <c r="AW112" i="841"/>
  <c r="AN112" i="841"/>
  <c r="AO112" i="841" s="1"/>
  <c r="AB112" i="841"/>
  <c r="AC112" i="841" s="1"/>
  <c r="AE112" i="841" s="1"/>
  <c r="AH112" i="841" s="1"/>
  <c r="AL112" i="841" s="1"/>
  <c r="U112" i="841"/>
  <c r="V112" i="841" s="1"/>
  <c r="N112" i="841"/>
  <c r="AX111" i="841"/>
  <c r="AW111" i="841"/>
  <c r="AO111" i="841"/>
  <c r="AN111" i="841"/>
  <c r="U111" i="841"/>
  <c r="V111" i="841" s="1"/>
  <c r="N111" i="841"/>
  <c r="AX110" i="841"/>
  <c r="AW110" i="841"/>
  <c r="AN110" i="841"/>
  <c r="AO110" i="841" s="1"/>
  <c r="AB110" i="841"/>
  <c r="AC110" i="841" s="1"/>
  <c r="AE110" i="841" s="1"/>
  <c r="U110" i="841"/>
  <c r="V110" i="841" s="1"/>
  <c r="N110" i="841"/>
  <c r="AX109" i="841"/>
  <c r="AW109" i="841"/>
  <c r="AN109" i="841"/>
  <c r="AO109" i="841" s="1"/>
  <c r="AB109" i="841"/>
  <c r="AC109" i="841" s="1"/>
  <c r="AE109" i="841" s="1"/>
  <c r="U109" i="841"/>
  <c r="V109" i="841" s="1"/>
  <c r="N109" i="841"/>
  <c r="AX108" i="841"/>
  <c r="AW108" i="841"/>
  <c r="AO108" i="841"/>
  <c r="AN108" i="841"/>
  <c r="V108" i="841"/>
  <c r="U108" i="841"/>
  <c r="N108" i="841"/>
  <c r="AX107" i="841"/>
  <c r="AW107" i="841"/>
  <c r="AN107" i="841"/>
  <c r="AO107" i="841" s="1"/>
  <c r="AB107" i="841"/>
  <c r="AC107" i="841" s="1"/>
  <c r="AE107" i="841" s="1"/>
  <c r="U107" i="841"/>
  <c r="V107" i="841" s="1"/>
  <c r="AJ107" i="841" s="1"/>
  <c r="N107" i="841"/>
  <c r="AX106" i="841"/>
  <c r="AW106" i="841"/>
  <c r="AN106" i="841"/>
  <c r="AO106" i="841" s="1"/>
  <c r="AB106" i="841"/>
  <c r="AC106" i="841" s="1"/>
  <c r="AE106" i="841" s="1"/>
  <c r="U106" i="841"/>
  <c r="V106" i="841" s="1"/>
  <c r="N106" i="841"/>
  <c r="AX105" i="841"/>
  <c r="AW105" i="841"/>
  <c r="AO105" i="841"/>
  <c r="AN105" i="841"/>
  <c r="U105" i="841"/>
  <c r="V105" i="841" s="1"/>
  <c r="N105" i="841"/>
  <c r="AX104" i="841"/>
  <c r="AW104" i="841"/>
  <c r="AN104" i="841"/>
  <c r="AO104" i="841" s="1"/>
  <c r="AB104" i="841"/>
  <c r="AC104" i="841" s="1"/>
  <c r="AE104" i="841" s="1"/>
  <c r="U104" i="841"/>
  <c r="V104" i="841" s="1"/>
  <c r="N104" i="841"/>
  <c r="AX103" i="841"/>
  <c r="AW103" i="841"/>
  <c r="AN103" i="841"/>
  <c r="AO103" i="841" s="1"/>
  <c r="AB103" i="841"/>
  <c r="AC103" i="841" s="1"/>
  <c r="AE103" i="841" s="1"/>
  <c r="AH103" i="841" s="1"/>
  <c r="U103" i="841"/>
  <c r="V103" i="841" s="1"/>
  <c r="N103" i="841"/>
  <c r="AX102" i="841"/>
  <c r="AW102" i="841"/>
  <c r="AN102" i="841"/>
  <c r="AO102" i="841" s="1"/>
  <c r="V102" i="841"/>
  <c r="U102" i="841"/>
  <c r="N102" i="841"/>
  <c r="AX101" i="841"/>
  <c r="AW101" i="841"/>
  <c r="AN101" i="841"/>
  <c r="AO101" i="841" s="1"/>
  <c r="AB101" i="841"/>
  <c r="AC101" i="841" s="1"/>
  <c r="AE101" i="841" s="1"/>
  <c r="AH101" i="841" s="1"/>
  <c r="V101" i="841"/>
  <c r="U101" i="841"/>
  <c r="N101" i="841"/>
  <c r="AX100" i="841"/>
  <c r="AW100" i="841"/>
  <c r="AN100" i="841"/>
  <c r="AO100" i="841" s="1"/>
  <c r="AB100" i="841"/>
  <c r="AC100" i="841" s="1"/>
  <c r="AE100" i="841" s="1"/>
  <c r="U100" i="841"/>
  <c r="V100" i="841" s="1"/>
  <c r="N100" i="841"/>
  <c r="AX99" i="841"/>
  <c r="AW99" i="841"/>
  <c r="AN99" i="841"/>
  <c r="AO99" i="841" s="1"/>
  <c r="U99" i="841"/>
  <c r="V99" i="841" s="1"/>
  <c r="N99" i="841"/>
  <c r="AX98" i="841"/>
  <c r="AW98" i="841"/>
  <c r="AN98" i="841"/>
  <c r="AO98" i="841" s="1"/>
  <c r="V98" i="841"/>
  <c r="U98" i="841"/>
  <c r="N98" i="841"/>
  <c r="AX97" i="841"/>
  <c r="AW97" i="841"/>
  <c r="AO97" i="841"/>
  <c r="AN97" i="841"/>
  <c r="AB97" i="841"/>
  <c r="AC97" i="841" s="1"/>
  <c r="AE97" i="841" s="1"/>
  <c r="U97" i="841"/>
  <c r="V97" i="841" s="1"/>
  <c r="N97" i="841"/>
  <c r="AX96" i="841"/>
  <c r="AW96" i="841"/>
  <c r="AN96" i="841"/>
  <c r="AO96" i="841" s="1"/>
  <c r="U96" i="841"/>
  <c r="V96" i="841" s="1"/>
  <c r="N96" i="841"/>
  <c r="AX95" i="841"/>
  <c r="AW95" i="841"/>
  <c r="AN95" i="841"/>
  <c r="AO95" i="841" s="1"/>
  <c r="U95" i="841"/>
  <c r="V95" i="841" s="1"/>
  <c r="N95" i="841"/>
  <c r="AX94" i="841"/>
  <c r="AW94" i="841"/>
  <c r="AN94" i="841"/>
  <c r="AO94" i="841" s="1"/>
  <c r="AB94" i="841"/>
  <c r="AC94" i="841" s="1"/>
  <c r="AE94" i="841" s="1"/>
  <c r="V94" i="841"/>
  <c r="U94" i="841"/>
  <c r="N94" i="841"/>
  <c r="AX93" i="841"/>
  <c r="AW93" i="841"/>
  <c r="AN93" i="841"/>
  <c r="AO93" i="841" s="1"/>
  <c r="AB93" i="841"/>
  <c r="AC93" i="841" s="1"/>
  <c r="AE93" i="841" s="1"/>
  <c r="U93" i="841"/>
  <c r="V93" i="841" s="1"/>
  <c r="N93" i="841"/>
  <c r="AX92" i="841"/>
  <c r="AW92" i="841"/>
  <c r="AO92" i="841"/>
  <c r="AN92" i="841"/>
  <c r="U92" i="841"/>
  <c r="V92" i="841" s="1"/>
  <c r="N92" i="841"/>
  <c r="AX91" i="841"/>
  <c r="AW91" i="841"/>
  <c r="AN91" i="841"/>
  <c r="AO91" i="841" s="1"/>
  <c r="AB91" i="841"/>
  <c r="AC91" i="841" s="1"/>
  <c r="AE91" i="841" s="1"/>
  <c r="U91" i="841"/>
  <c r="V91" i="841" s="1"/>
  <c r="N91" i="841"/>
  <c r="AX90" i="841"/>
  <c r="AW90" i="841"/>
  <c r="AN90" i="841"/>
  <c r="AO90" i="841" s="1"/>
  <c r="AB90" i="841"/>
  <c r="AC90" i="841" s="1"/>
  <c r="AE90" i="841" s="1"/>
  <c r="V90" i="841"/>
  <c r="U90" i="841"/>
  <c r="N90" i="841"/>
  <c r="AX89" i="841"/>
  <c r="AW89" i="841"/>
  <c r="AO89" i="841"/>
  <c r="AN89" i="841"/>
  <c r="U89" i="841"/>
  <c r="V89" i="841" s="1"/>
  <c r="N89" i="841"/>
  <c r="AX88" i="841"/>
  <c r="AW88" i="841"/>
  <c r="AO88" i="841"/>
  <c r="AN88" i="841"/>
  <c r="AB88" i="841"/>
  <c r="AC88" i="841" s="1"/>
  <c r="AE88" i="841" s="1"/>
  <c r="V88" i="841"/>
  <c r="AH88" i="841" s="1"/>
  <c r="U88" i="841"/>
  <c r="N88" i="841"/>
  <c r="AX87" i="841"/>
  <c r="AW87" i="841"/>
  <c r="AN87" i="841"/>
  <c r="AO87" i="841" s="1"/>
  <c r="U87" i="841"/>
  <c r="V87" i="841" s="1"/>
  <c r="N87" i="841"/>
  <c r="AX86" i="841"/>
  <c r="AW86" i="841"/>
  <c r="AN86" i="841"/>
  <c r="AO86" i="841" s="1"/>
  <c r="AB86" i="841"/>
  <c r="AC86" i="841" s="1"/>
  <c r="AE86" i="841" s="1"/>
  <c r="U86" i="841"/>
  <c r="V86" i="841" s="1"/>
  <c r="N86" i="841"/>
  <c r="AX85" i="841"/>
  <c r="AW85" i="841"/>
  <c r="AN85" i="841"/>
  <c r="AO85" i="841" s="1"/>
  <c r="U85" i="841"/>
  <c r="V85" i="841" s="1"/>
  <c r="N85" i="841"/>
  <c r="AX84" i="841"/>
  <c r="AW84" i="841"/>
  <c r="AN84" i="841"/>
  <c r="AO84" i="841" s="1"/>
  <c r="AB84" i="841"/>
  <c r="AC84" i="841" s="1"/>
  <c r="AE84" i="841" s="1"/>
  <c r="U84" i="841"/>
  <c r="V84" i="841" s="1"/>
  <c r="N84" i="841"/>
  <c r="AX83" i="841"/>
  <c r="AW83" i="841"/>
  <c r="AN83" i="841"/>
  <c r="AO83" i="841" s="1"/>
  <c r="AB83" i="841"/>
  <c r="AC83" i="841" s="1"/>
  <c r="AE83" i="841" s="1"/>
  <c r="V83" i="841"/>
  <c r="U83" i="841"/>
  <c r="N83" i="841"/>
  <c r="AX82" i="841"/>
  <c r="AW82" i="841"/>
  <c r="AN82" i="841"/>
  <c r="AO82" i="841" s="1"/>
  <c r="AB82" i="841"/>
  <c r="AC82" i="841" s="1"/>
  <c r="AE82" i="841" s="1"/>
  <c r="U82" i="841"/>
  <c r="V82" i="841" s="1"/>
  <c r="N82" i="841"/>
  <c r="AX81" i="841"/>
  <c r="AW81" i="841"/>
  <c r="AO81" i="841"/>
  <c r="AN81" i="841"/>
  <c r="AB81" i="841"/>
  <c r="AC81" i="841" s="1"/>
  <c r="AE81" i="841" s="1"/>
  <c r="U81" i="841"/>
  <c r="V81" i="841" s="1"/>
  <c r="N81" i="841"/>
  <c r="AX80" i="841"/>
  <c r="AW80" i="841"/>
  <c r="AN80" i="841"/>
  <c r="AO80" i="841" s="1"/>
  <c r="U80" i="841"/>
  <c r="V80" i="841" s="1"/>
  <c r="N80" i="841"/>
  <c r="AX79" i="841"/>
  <c r="AW79" i="841"/>
  <c r="AN79" i="841"/>
  <c r="AO79" i="841" s="1"/>
  <c r="AB79" i="841"/>
  <c r="AC79" i="841" s="1"/>
  <c r="AE79" i="841" s="1"/>
  <c r="U79" i="841"/>
  <c r="V79" i="841" s="1"/>
  <c r="N79" i="841"/>
  <c r="AX78" i="841"/>
  <c r="AW78" i="841"/>
  <c r="AO78" i="841"/>
  <c r="AN78" i="841"/>
  <c r="AB78" i="841"/>
  <c r="AC78" i="841" s="1"/>
  <c r="AE78" i="841" s="1"/>
  <c r="V78" i="841"/>
  <c r="U78" i="841"/>
  <c r="N78" i="841"/>
  <c r="AX77" i="841"/>
  <c r="AW77" i="841"/>
  <c r="AN77" i="841"/>
  <c r="AO77" i="841" s="1"/>
  <c r="AB77" i="841"/>
  <c r="AC77" i="841" s="1"/>
  <c r="AE77" i="841" s="1"/>
  <c r="U77" i="841"/>
  <c r="V77" i="841" s="1"/>
  <c r="N77" i="841"/>
  <c r="AX76" i="841"/>
  <c r="AW76" i="841"/>
  <c r="AN76" i="841"/>
  <c r="AO76" i="841" s="1"/>
  <c r="AB76" i="841"/>
  <c r="AC76" i="841" s="1"/>
  <c r="AE76" i="841" s="1"/>
  <c r="U76" i="841"/>
  <c r="V76" i="841" s="1"/>
  <c r="N76" i="841"/>
  <c r="AX75" i="841"/>
  <c r="AW75" i="841"/>
  <c r="AN75" i="841"/>
  <c r="AO75" i="841" s="1"/>
  <c r="U75" i="841"/>
  <c r="V75" i="841" s="1"/>
  <c r="N75" i="841"/>
  <c r="AX74" i="841"/>
  <c r="AW74" i="841"/>
  <c r="AN74" i="841"/>
  <c r="AO74" i="841" s="1"/>
  <c r="AB74" i="841"/>
  <c r="AC74" i="841" s="1"/>
  <c r="AE74" i="841" s="1"/>
  <c r="U74" i="841"/>
  <c r="V74" i="841" s="1"/>
  <c r="N74" i="841"/>
  <c r="AX73" i="841"/>
  <c r="AW73" i="841"/>
  <c r="AN73" i="841"/>
  <c r="AO73" i="841" s="1"/>
  <c r="AB73" i="841"/>
  <c r="AC73" i="841" s="1"/>
  <c r="AE73" i="841" s="1"/>
  <c r="U73" i="841"/>
  <c r="V73" i="841" s="1"/>
  <c r="N73" i="841"/>
  <c r="AX72" i="841"/>
  <c r="AW72" i="841"/>
  <c r="AN72" i="841"/>
  <c r="AO72" i="841" s="1"/>
  <c r="AB72" i="841"/>
  <c r="AC72" i="841" s="1"/>
  <c r="AE72" i="841" s="1"/>
  <c r="U72" i="841"/>
  <c r="V72" i="841" s="1"/>
  <c r="N72" i="841"/>
  <c r="AX71" i="841"/>
  <c r="AW71" i="841"/>
  <c r="AN71" i="841"/>
  <c r="AO71" i="841" s="1"/>
  <c r="U71" i="841"/>
  <c r="V71" i="841" s="1"/>
  <c r="N71" i="841"/>
  <c r="AX70" i="841"/>
  <c r="AW70" i="841"/>
  <c r="AN70" i="841"/>
  <c r="AO70" i="841" s="1"/>
  <c r="AB70" i="841"/>
  <c r="AC70" i="841" s="1"/>
  <c r="AE70" i="841" s="1"/>
  <c r="U70" i="841"/>
  <c r="V70" i="841" s="1"/>
  <c r="N70" i="841"/>
  <c r="AX69" i="841"/>
  <c r="AW69" i="841"/>
  <c r="AN69" i="841"/>
  <c r="AO69" i="841" s="1"/>
  <c r="AB69" i="841"/>
  <c r="AC69" i="841" s="1"/>
  <c r="AE69" i="841" s="1"/>
  <c r="V69" i="841"/>
  <c r="U69" i="841"/>
  <c r="N69" i="841"/>
  <c r="AX68" i="841"/>
  <c r="AW68" i="841"/>
  <c r="AN68" i="841"/>
  <c r="AO68" i="841" s="1"/>
  <c r="V68" i="841"/>
  <c r="U68" i="841"/>
  <c r="N68" i="841"/>
  <c r="AX67" i="841"/>
  <c r="AW67" i="841"/>
  <c r="AN67" i="841"/>
  <c r="AO67" i="841" s="1"/>
  <c r="AB67" i="841"/>
  <c r="AC67" i="841" s="1"/>
  <c r="AE67" i="841" s="1"/>
  <c r="U67" i="841"/>
  <c r="V67" i="841" s="1"/>
  <c r="N67" i="841"/>
  <c r="AX66" i="841"/>
  <c r="AW66" i="841"/>
  <c r="AN66" i="841"/>
  <c r="AO66" i="841" s="1"/>
  <c r="AB66" i="841"/>
  <c r="AC66" i="841" s="1"/>
  <c r="AE66" i="841" s="1"/>
  <c r="U66" i="841"/>
  <c r="V66" i="841" s="1"/>
  <c r="N66" i="841"/>
  <c r="AX65" i="841"/>
  <c r="AW65" i="841"/>
  <c r="AN65" i="841"/>
  <c r="AO65" i="841" s="1"/>
  <c r="U65" i="841"/>
  <c r="V65" i="841" s="1"/>
  <c r="N65" i="841"/>
  <c r="AX64" i="841"/>
  <c r="AW64" i="841"/>
  <c r="AN64" i="841"/>
  <c r="AO64" i="841" s="1"/>
  <c r="AB64" i="841"/>
  <c r="AC64" i="841" s="1"/>
  <c r="AE64" i="841" s="1"/>
  <c r="AJ64" i="841" s="1"/>
  <c r="U64" i="841"/>
  <c r="V64" i="841" s="1"/>
  <c r="N64" i="841"/>
  <c r="AX63" i="841"/>
  <c r="AW63" i="841"/>
  <c r="AN63" i="841"/>
  <c r="AO63" i="841" s="1"/>
  <c r="AB63" i="841"/>
  <c r="AC63" i="841" s="1"/>
  <c r="AE63" i="841" s="1"/>
  <c r="U63" i="841"/>
  <c r="V63" i="841" s="1"/>
  <c r="N63" i="841"/>
  <c r="AX62" i="841"/>
  <c r="AW62" i="841"/>
  <c r="AO62" i="841"/>
  <c r="AN62" i="841"/>
  <c r="U62" i="841"/>
  <c r="V62" i="841" s="1"/>
  <c r="N62" i="841"/>
  <c r="AX61" i="841"/>
  <c r="AW61" i="841"/>
  <c r="AN61" i="841"/>
  <c r="AO61" i="841" s="1"/>
  <c r="AB61" i="841"/>
  <c r="AC61" i="841" s="1"/>
  <c r="AE61" i="841" s="1"/>
  <c r="V61" i="841"/>
  <c r="U61" i="841"/>
  <c r="N61" i="841"/>
  <c r="AX60" i="841"/>
  <c r="AW60" i="841"/>
  <c r="AN60" i="841"/>
  <c r="AO60" i="841" s="1"/>
  <c r="AB60" i="841"/>
  <c r="AC60" i="841" s="1"/>
  <c r="AE60" i="841" s="1"/>
  <c r="V60" i="841"/>
  <c r="U60" i="841"/>
  <c r="N60" i="841"/>
  <c r="AX59" i="841"/>
  <c r="AW59" i="841"/>
  <c r="AN59" i="841"/>
  <c r="AO59" i="841" s="1"/>
  <c r="U59" i="841"/>
  <c r="V59" i="841" s="1"/>
  <c r="N59" i="841"/>
  <c r="AX58" i="841"/>
  <c r="AW58" i="841"/>
  <c r="AN58" i="841"/>
  <c r="AO58" i="841" s="1"/>
  <c r="AB58" i="841"/>
  <c r="AC58" i="841" s="1"/>
  <c r="AE58" i="841" s="1"/>
  <c r="V58" i="841"/>
  <c r="U58" i="841"/>
  <c r="N58" i="841"/>
  <c r="AX57" i="841"/>
  <c r="AW57" i="841"/>
  <c r="AN57" i="841"/>
  <c r="AO57" i="841" s="1"/>
  <c r="AB57" i="841"/>
  <c r="AC57" i="841" s="1"/>
  <c r="AE57" i="841" s="1"/>
  <c r="AH57" i="841" s="1"/>
  <c r="U57" i="841"/>
  <c r="V57" i="841" s="1"/>
  <c r="N57" i="841"/>
  <c r="AX56" i="841"/>
  <c r="AW56" i="841"/>
  <c r="AN56" i="841"/>
  <c r="AO56" i="841" s="1"/>
  <c r="U56" i="841"/>
  <c r="V56" i="841" s="1"/>
  <c r="N56" i="841"/>
  <c r="AX55" i="841"/>
  <c r="AW55" i="841"/>
  <c r="AN55" i="841"/>
  <c r="AO55" i="841" s="1"/>
  <c r="U55" i="841"/>
  <c r="V55" i="841" s="1"/>
  <c r="N55" i="841"/>
  <c r="AX54" i="841"/>
  <c r="AW54" i="841"/>
  <c r="AO54" i="841"/>
  <c r="AN54" i="841"/>
  <c r="AB54" i="841"/>
  <c r="AC54" i="841" s="1"/>
  <c r="AE54" i="841" s="1"/>
  <c r="U54" i="841"/>
  <c r="V54" i="841" s="1"/>
  <c r="N54" i="841"/>
  <c r="AX53" i="841"/>
  <c r="AW53" i="841"/>
  <c r="AN53" i="841"/>
  <c r="AO53" i="841" s="1"/>
  <c r="AB53" i="841"/>
  <c r="AC53" i="841" s="1"/>
  <c r="AE53" i="841" s="1"/>
  <c r="U53" i="841"/>
  <c r="V53" i="841" s="1"/>
  <c r="N53" i="841"/>
  <c r="AX52" i="841"/>
  <c r="AW52" i="841"/>
  <c r="AN52" i="841"/>
  <c r="AO52" i="841" s="1"/>
  <c r="U52" i="841"/>
  <c r="V52" i="841" s="1"/>
  <c r="N52" i="841"/>
  <c r="AX51" i="841"/>
  <c r="AW51" i="841"/>
  <c r="AN51" i="841"/>
  <c r="AO51" i="841" s="1"/>
  <c r="AB51" i="841"/>
  <c r="AC51" i="841" s="1"/>
  <c r="AE51" i="841" s="1"/>
  <c r="U51" i="841"/>
  <c r="V51" i="841" s="1"/>
  <c r="N51" i="841"/>
  <c r="AX49" i="841"/>
  <c r="AW49" i="841"/>
  <c r="AN49" i="841"/>
  <c r="AO49" i="841" s="1"/>
  <c r="AB49" i="841"/>
  <c r="AC49" i="841" s="1"/>
  <c r="AE49" i="841" s="1"/>
  <c r="U49" i="841"/>
  <c r="V49" i="841" s="1"/>
  <c r="N49" i="841"/>
  <c r="AX47" i="841"/>
  <c r="AW47" i="841"/>
  <c r="AN47" i="841"/>
  <c r="AO47" i="841" s="1"/>
  <c r="U47" i="841"/>
  <c r="V47" i="841" s="1"/>
  <c r="N47" i="841"/>
  <c r="AX45" i="841"/>
  <c r="AW45" i="841"/>
  <c r="AN45" i="841"/>
  <c r="AO45" i="841" s="1"/>
  <c r="U45" i="841"/>
  <c r="V45" i="841" s="1"/>
  <c r="N45" i="841"/>
  <c r="AX43" i="841"/>
  <c r="AW43" i="841"/>
  <c r="AN43" i="841"/>
  <c r="AO43" i="841" s="1"/>
  <c r="AB43" i="841"/>
  <c r="AC43" i="841" s="1"/>
  <c r="AE43" i="841" s="1"/>
  <c r="U43" i="841"/>
  <c r="V43" i="841" s="1"/>
  <c r="N43" i="841"/>
  <c r="N42" i="841"/>
  <c r="AX41" i="841"/>
  <c r="AW41" i="841"/>
  <c r="AO41" i="841"/>
  <c r="AN41" i="841"/>
  <c r="AB41" i="841"/>
  <c r="AC41" i="841" s="1"/>
  <c r="AE41" i="841" s="1"/>
  <c r="U41" i="841"/>
  <c r="V41" i="841" s="1"/>
  <c r="N41" i="841"/>
  <c r="N40" i="841"/>
  <c r="AX39" i="841"/>
  <c r="AW39" i="841"/>
  <c r="AN39" i="841"/>
  <c r="AO39" i="841" s="1"/>
  <c r="U39" i="841"/>
  <c r="V39" i="841" s="1"/>
  <c r="N39" i="841"/>
  <c r="N38" i="841"/>
  <c r="AX37" i="841"/>
  <c r="AW37" i="841"/>
  <c r="AN37" i="841"/>
  <c r="AO37" i="841" s="1"/>
  <c r="AB37" i="841"/>
  <c r="AC37" i="841" s="1"/>
  <c r="AE37" i="841" s="1"/>
  <c r="U37" i="841"/>
  <c r="V37" i="841" s="1"/>
  <c r="N37" i="841"/>
  <c r="N36" i="841"/>
  <c r="AX35" i="841"/>
  <c r="AW35" i="841"/>
  <c r="AN35" i="841"/>
  <c r="AO35" i="841" s="1"/>
  <c r="AB35" i="841"/>
  <c r="AC35" i="841" s="1"/>
  <c r="AE35" i="841" s="1"/>
  <c r="U35" i="841"/>
  <c r="V35" i="841" s="1"/>
  <c r="N35" i="841"/>
  <c r="N34" i="841"/>
  <c r="AX33" i="841"/>
  <c r="AW33" i="841"/>
  <c r="AN33" i="841"/>
  <c r="AO33" i="841" s="1"/>
  <c r="U33" i="841"/>
  <c r="V33" i="841" s="1"/>
  <c r="N33" i="841"/>
  <c r="N32" i="841"/>
  <c r="AX31" i="841"/>
  <c r="AW31" i="841"/>
  <c r="AN31" i="841"/>
  <c r="AO31" i="841" s="1"/>
  <c r="AB31" i="841"/>
  <c r="AC31" i="841" s="1"/>
  <c r="AE31" i="841" s="1"/>
  <c r="U31" i="841"/>
  <c r="V31" i="841" s="1"/>
  <c r="N31" i="841"/>
  <c r="N30" i="841"/>
  <c r="AX29" i="841"/>
  <c r="AW29" i="841"/>
  <c r="AN29" i="841"/>
  <c r="AO29" i="841" s="1"/>
  <c r="U29" i="841"/>
  <c r="V29" i="841" s="1"/>
  <c r="N29" i="841"/>
  <c r="N28" i="841"/>
  <c r="AX27" i="841"/>
  <c r="AW27" i="841"/>
  <c r="AN27" i="841"/>
  <c r="AO27" i="841" s="1"/>
  <c r="AB27" i="841"/>
  <c r="AC27" i="841" s="1"/>
  <c r="AE27" i="841" s="1"/>
  <c r="U27" i="841"/>
  <c r="V27" i="841" s="1"/>
  <c r="N27" i="841"/>
  <c r="N26" i="841"/>
  <c r="AX25" i="841"/>
  <c r="AW25" i="841"/>
  <c r="AN25" i="841"/>
  <c r="AO25" i="841" s="1"/>
  <c r="AB25" i="841"/>
  <c r="AC25" i="841" s="1"/>
  <c r="AE25" i="841" s="1"/>
  <c r="U25" i="841"/>
  <c r="V25" i="841" s="1"/>
  <c r="N25" i="841"/>
  <c r="N24" i="841"/>
  <c r="AX23" i="841"/>
  <c r="AW23" i="841"/>
  <c r="AN23" i="841"/>
  <c r="AO23" i="841" s="1"/>
  <c r="AB23" i="841"/>
  <c r="AC23" i="841" s="1"/>
  <c r="AE23" i="841" s="1"/>
  <c r="U23" i="841"/>
  <c r="V23" i="841" s="1"/>
  <c r="N23" i="841"/>
  <c r="N22" i="841"/>
  <c r="AX21" i="841"/>
  <c r="AW21" i="841"/>
  <c r="AN21" i="841"/>
  <c r="AO21" i="841" s="1"/>
  <c r="AB21" i="841"/>
  <c r="AC21" i="841" s="1"/>
  <c r="AE21" i="841" s="1"/>
  <c r="U21" i="841"/>
  <c r="V21" i="841" s="1"/>
  <c r="N20" i="841"/>
  <c r="AX19" i="841"/>
  <c r="AW19" i="841"/>
  <c r="AN19" i="841"/>
  <c r="AO19" i="841" s="1"/>
  <c r="U19" i="841"/>
  <c r="V19" i="841" s="1"/>
  <c r="N19" i="841"/>
  <c r="N18" i="841"/>
  <c r="AX17" i="841"/>
  <c r="AW17" i="841"/>
  <c r="AN17" i="841"/>
  <c r="AO17" i="841" s="1"/>
  <c r="AB17" i="841"/>
  <c r="AC17" i="841" s="1"/>
  <c r="AE17" i="841" s="1"/>
  <c r="U17" i="841"/>
  <c r="V17" i="841" s="1"/>
  <c r="N17" i="841"/>
  <c r="N16" i="841"/>
  <c r="AX15" i="841"/>
  <c r="AW15" i="841"/>
  <c r="AN15" i="841"/>
  <c r="AO15" i="841" s="1"/>
  <c r="AB15" i="841"/>
  <c r="AC15" i="841" s="1"/>
  <c r="AE15" i="841" s="1"/>
  <c r="U15" i="841"/>
  <c r="V15" i="841" s="1"/>
  <c r="N15" i="841"/>
  <c r="N14" i="841"/>
  <c r="AX13" i="841"/>
  <c r="AW13" i="841"/>
  <c r="AN13" i="841"/>
  <c r="AO13" i="841" s="1"/>
  <c r="U13" i="841"/>
  <c r="V13" i="841" s="1"/>
  <c r="N13" i="841"/>
  <c r="N12" i="841"/>
  <c r="AX11" i="841"/>
  <c r="AW11" i="841"/>
  <c r="AN11" i="841"/>
  <c r="AO11" i="841" s="1"/>
  <c r="AB11" i="841"/>
  <c r="AC11" i="841" s="1"/>
  <c r="AE11" i="841" s="1"/>
  <c r="U11" i="841"/>
  <c r="V11" i="841" s="1"/>
  <c r="AJ11" i="841" s="1"/>
  <c r="N11" i="841"/>
  <c r="N10" i="841"/>
  <c r="AX9" i="841"/>
  <c r="AW9" i="841"/>
  <c r="AN9" i="841"/>
  <c r="AO9" i="841" s="1"/>
  <c r="AB9" i="841"/>
  <c r="AC9" i="841" s="1"/>
  <c r="AE9" i="841" s="1"/>
  <c r="U9" i="841"/>
  <c r="V9" i="841" s="1"/>
  <c r="N9" i="841"/>
  <c r="N8" i="841"/>
  <c r="AX7" i="841"/>
  <c r="AW7" i="841"/>
  <c r="AN7" i="841"/>
  <c r="AO7" i="841" s="1"/>
  <c r="AB7" i="841"/>
  <c r="AC7" i="841" s="1"/>
  <c r="AE7" i="841" s="1"/>
  <c r="U7" i="841"/>
  <c r="V7" i="841" s="1"/>
  <c r="N7" i="841"/>
  <c r="N6" i="841"/>
  <c r="AX5" i="841"/>
  <c r="AW5" i="841"/>
  <c r="AN5" i="841"/>
  <c r="AO5" i="841" s="1"/>
  <c r="AC5" i="841"/>
  <c r="AE5" i="841" s="1"/>
  <c r="U5" i="841"/>
  <c r="V5" i="841" s="1"/>
  <c r="N5" i="841"/>
  <c r="AS2" i="841"/>
  <c r="AA2" i="841"/>
  <c r="AD2" i="841" s="1"/>
  <c r="I2" i="841"/>
  <c r="AB135" i="841" s="1"/>
  <c r="AC135" i="841" s="1"/>
  <c r="AJ35" i="841" l="1"/>
  <c r="AB89" i="841"/>
  <c r="AC89" i="841" s="1"/>
  <c r="AE89" i="841" s="1"/>
  <c r="AB92" i="841"/>
  <c r="AC92" i="841" s="1"/>
  <c r="AE92" i="841" s="1"/>
  <c r="AB98" i="841"/>
  <c r="AC98" i="841" s="1"/>
  <c r="AE98" i="841" s="1"/>
  <c r="AB113" i="841"/>
  <c r="AC113" i="841" s="1"/>
  <c r="AE113" i="841" s="1"/>
  <c r="AJ113" i="841" s="1"/>
  <c r="AB129" i="841"/>
  <c r="AC129" i="841" s="1"/>
  <c r="AE129" i="841" s="1"/>
  <c r="AB13" i="841"/>
  <c r="AC13" i="841" s="1"/>
  <c r="AE13" i="841" s="1"/>
  <c r="AB52" i="841"/>
  <c r="AC52" i="841" s="1"/>
  <c r="AE52" i="841" s="1"/>
  <c r="AH52" i="841" s="1"/>
  <c r="AB80" i="841"/>
  <c r="AC80" i="841" s="1"/>
  <c r="AE80" i="841" s="1"/>
  <c r="AB123" i="841"/>
  <c r="AC123" i="841" s="1"/>
  <c r="AE123" i="841" s="1"/>
  <c r="AJ63" i="841"/>
  <c r="AJ112" i="841"/>
  <c r="AJ77" i="841"/>
  <c r="AB29" i="841"/>
  <c r="AC29" i="841" s="1"/>
  <c r="AE29" i="841" s="1"/>
  <c r="AB33" i="841"/>
  <c r="AC33" i="841" s="1"/>
  <c r="AE33" i="841" s="1"/>
  <c r="AJ33" i="841" s="1"/>
  <c r="AB68" i="841"/>
  <c r="AC68" i="841" s="1"/>
  <c r="AE68" i="841" s="1"/>
  <c r="AJ68" i="841" s="1"/>
  <c r="AB71" i="841"/>
  <c r="AC71" i="841" s="1"/>
  <c r="AE71" i="841" s="1"/>
  <c r="AH71" i="841" s="1"/>
  <c r="AB117" i="841"/>
  <c r="AC117" i="841" s="1"/>
  <c r="AE117" i="841" s="1"/>
  <c r="AH117" i="841" s="1"/>
  <c r="AJ72" i="841"/>
  <c r="AJ103" i="841"/>
  <c r="AB19" i="841"/>
  <c r="AC19" i="841" s="1"/>
  <c r="AE19" i="841" s="1"/>
  <c r="AH19" i="841" s="1"/>
  <c r="AB142" i="841"/>
  <c r="AC142" i="841" s="1"/>
  <c r="AE142" i="841" s="1"/>
  <c r="AH142" i="841" s="1"/>
  <c r="AB56" i="841"/>
  <c r="AC56" i="841" s="1"/>
  <c r="AE56" i="841" s="1"/>
  <c r="AH56" i="841" s="1"/>
  <c r="AB59" i="841"/>
  <c r="AC59" i="841" s="1"/>
  <c r="AE59" i="841" s="1"/>
  <c r="AB62" i="841"/>
  <c r="AC62" i="841" s="1"/>
  <c r="AE62" i="841" s="1"/>
  <c r="AJ62" i="841" s="1"/>
  <c r="AB87" i="841"/>
  <c r="AC87" i="841" s="1"/>
  <c r="AE87" i="841" s="1"/>
  <c r="AH87" i="841" s="1"/>
  <c r="AB96" i="841"/>
  <c r="AC96" i="841" s="1"/>
  <c r="AE96" i="841" s="1"/>
  <c r="AJ102" i="841"/>
  <c r="AB108" i="841"/>
  <c r="AC108" i="841" s="1"/>
  <c r="AE108" i="841" s="1"/>
  <c r="AJ108" i="841" s="1"/>
  <c r="AB111" i="841"/>
  <c r="AC111" i="841" s="1"/>
  <c r="AE111" i="841" s="1"/>
  <c r="AJ111" i="841" s="1"/>
  <c r="AB127" i="841"/>
  <c r="AC127" i="841" s="1"/>
  <c r="AE127" i="841" s="1"/>
  <c r="AH127" i="841" s="1"/>
  <c r="AB133" i="841"/>
  <c r="AC133" i="841" s="1"/>
  <c r="AE133" i="841" s="1"/>
  <c r="AH133" i="841" s="1"/>
  <c r="AB136" i="841"/>
  <c r="AC136" i="841" s="1"/>
  <c r="AE136" i="841" s="1"/>
  <c r="AJ136" i="841" s="1"/>
  <c r="AB139" i="841"/>
  <c r="AC139" i="841" s="1"/>
  <c r="AE139" i="841" s="1"/>
  <c r="AJ139" i="841" s="1"/>
  <c r="AJ70" i="841"/>
  <c r="AB39" i="841"/>
  <c r="AC39" i="841" s="1"/>
  <c r="AE39" i="841" s="1"/>
  <c r="AH39" i="841" s="1"/>
  <c r="AB47" i="841"/>
  <c r="AC47" i="841" s="1"/>
  <c r="AE47" i="841" s="1"/>
  <c r="AJ47" i="841" s="1"/>
  <c r="AJ78" i="841"/>
  <c r="AB99" i="841"/>
  <c r="AC99" i="841" s="1"/>
  <c r="AE99" i="841" s="1"/>
  <c r="AB102" i="841"/>
  <c r="AC102" i="841" s="1"/>
  <c r="AE102" i="841" s="1"/>
  <c r="AB114" i="841"/>
  <c r="AC114" i="841" s="1"/>
  <c r="AE114" i="841" s="1"/>
  <c r="AB130" i="841"/>
  <c r="AC130" i="841" s="1"/>
  <c r="AE130" i="841" s="1"/>
  <c r="AJ97" i="841"/>
  <c r="AH97" i="841"/>
  <c r="AH27" i="841"/>
  <c r="AJ27" i="841"/>
  <c r="AJ86" i="841"/>
  <c r="AH86" i="841"/>
  <c r="AJ92" i="841"/>
  <c r="AH92" i="841"/>
  <c r="AK101" i="841"/>
  <c r="AL101" i="841"/>
  <c r="AH113" i="841"/>
  <c r="AJ5" i="841"/>
  <c r="AH5" i="841"/>
  <c r="AJ134" i="841"/>
  <c r="AH134" i="841"/>
  <c r="AK57" i="841"/>
  <c r="AL57" i="841"/>
  <c r="AL88" i="841"/>
  <c r="AK88" i="841"/>
  <c r="AL103" i="841"/>
  <c r="AK103" i="841"/>
  <c r="AJ51" i="841"/>
  <c r="AH51" i="841"/>
  <c r="AJ79" i="841"/>
  <c r="AH79" i="841"/>
  <c r="AH17" i="841"/>
  <c r="AJ17" i="841"/>
  <c r="AJ120" i="841"/>
  <c r="AH120" i="841"/>
  <c r="AH139" i="841"/>
  <c r="AJ99" i="841"/>
  <c r="AH99" i="841"/>
  <c r="AH9" i="841"/>
  <c r="AJ9" i="841"/>
  <c r="AH81" i="841"/>
  <c r="AJ81" i="841"/>
  <c r="AH84" i="841"/>
  <c r="AJ84" i="841"/>
  <c r="AH111" i="841"/>
  <c r="AJ106" i="841"/>
  <c r="AH106" i="841"/>
  <c r="AJ59" i="841"/>
  <c r="AH59" i="841"/>
  <c r="AJ43" i="841"/>
  <c r="AH43" i="841"/>
  <c r="AJ54" i="841"/>
  <c r="AH54" i="841"/>
  <c r="AH77" i="841"/>
  <c r="AJ114" i="841"/>
  <c r="AH114" i="841"/>
  <c r="AJ138" i="841"/>
  <c r="AH138" i="841"/>
  <c r="AJ141" i="841"/>
  <c r="AJ82" i="841"/>
  <c r="AH82" i="841"/>
  <c r="AJ49" i="841"/>
  <c r="AH49" i="841"/>
  <c r="AJ15" i="841"/>
  <c r="AH60" i="841"/>
  <c r="AJ60" i="841"/>
  <c r="AH70" i="841"/>
  <c r="AK112" i="841"/>
  <c r="AL126" i="841"/>
  <c r="AK126" i="841"/>
  <c r="AJ66" i="841"/>
  <c r="AH66" i="841"/>
  <c r="AJ73" i="841"/>
  <c r="AH73" i="841"/>
  <c r="AH90" i="841"/>
  <c r="AJ90" i="841"/>
  <c r="AH15" i="841"/>
  <c r="AH41" i="841"/>
  <c r="AJ41" i="841"/>
  <c r="AL131" i="841"/>
  <c r="AH37" i="841"/>
  <c r="AH93" i="841"/>
  <c r="AJ93" i="841"/>
  <c r="AJ88" i="841"/>
  <c r="AJ96" i="841"/>
  <c r="AH96" i="841"/>
  <c r="AJ67" i="841"/>
  <c r="AH67" i="841"/>
  <c r="AL127" i="841"/>
  <c r="AK127" i="841"/>
  <c r="AJ13" i="841"/>
  <c r="AH13" i="841"/>
  <c r="AJ91" i="841"/>
  <c r="AH91" i="841"/>
  <c r="AH122" i="841"/>
  <c r="AJ94" i="841"/>
  <c r="AH94" i="841"/>
  <c r="AH72" i="841"/>
  <c r="AH141" i="841"/>
  <c r="AH11" i="841"/>
  <c r="AJ110" i="841"/>
  <c r="AH110" i="841"/>
  <c r="AH118" i="841"/>
  <c r="AJ118" i="841"/>
  <c r="AJ83" i="841"/>
  <c r="AH83" i="841"/>
  <c r="AH58" i="841"/>
  <c r="AJ58" i="841"/>
  <c r="AJ124" i="841"/>
  <c r="AH124" i="841"/>
  <c r="AJ21" i="841"/>
  <c r="AH21" i="841"/>
  <c r="AJ37" i="841"/>
  <c r="AJ53" i="841"/>
  <c r="AH53" i="841"/>
  <c r="AH64" i="841"/>
  <c r="AH116" i="841"/>
  <c r="AJ116" i="841"/>
  <c r="AJ140" i="841"/>
  <c r="AH140" i="841"/>
  <c r="AJ80" i="841"/>
  <c r="AH80" i="841"/>
  <c r="AH31" i="841"/>
  <c r="AJ31" i="841"/>
  <c r="AJ123" i="841"/>
  <c r="AH123" i="841"/>
  <c r="AH107" i="841"/>
  <c r="AJ109" i="841"/>
  <c r="AH109" i="841"/>
  <c r="AH132" i="841"/>
  <c r="AH137" i="841"/>
  <c r="AJ61" i="841"/>
  <c r="AH63" i="841"/>
  <c r="AJ128" i="841"/>
  <c r="AH135" i="841"/>
  <c r="AH61" i="841"/>
  <c r="AJ76" i="841"/>
  <c r="AH76" i="841"/>
  <c r="AJ105" i="841"/>
  <c r="AJ130" i="841"/>
  <c r="AH130" i="841"/>
  <c r="AH25" i="841"/>
  <c r="AJ25" i="841"/>
  <c r="AH121" i="841"/>
  <c r="AJ121" i="841"/>
  <c r="AJ101" i="841"/>
  <c r="AH105" i="841"/>
  <c r="AJ57" i="841"/>
  <c r="AJ74" i="841"/>
  <c r="AH74" i="841"/>
  <c r="AJ119" i="841"/>
  <c r="AH119" i="841"/>
  <c r="AH128" i="841"/>
  <c r="AJ69" i="841"/>
  <c r="AJ100" i="841"/>
  <c r="AH100" i="841"/>
  <c r="AJ142" i="841"/>
  <c r="AJ98" i="841"/>
  <c r="AJ125" i="841"/>
  <c r="AH125" i="841"/>
  <c r="AJ7" i="841"/>
  <c r="AH7" i="841"/>
  <c r="AH104" i="841"/>
  <c r="AJ89" i="841"/>
  <c r="AH89" i="841"/>
  <c r="AH69" i="841"/>
  <c r="AH35" i="841"/>
  <c r="AH78" i="841"/>
  <c r="AH98" i="841"/>
  <c r="AH102" i="841"/>
  <c r="AJ129" i="841"/>
  <c r="AH129" i="841"/>
  <c r="AJ23" i="841"/>
  <c r="AH23" i="841"/>
  <c r="AJ104" i="841"/>
  <c r="AB45" i="841"/>
  <c r="AC45" i="841" s="1"/>
  <c r="AE45" i="841" s="1"/>
  <c r="AJ45" i="841" s="1"/>
  <c r="AB55" i="841"/>
  <c r="AC55" i="841" s="1"/>
  <c r="AE55" i="841" s="1"/>
  <c r="AJ55" i="841" s="1"/>
  <c r="AB65" i="841"/>
  <c r="AC65" i="841" s="1"/>
  <c r="AE65" i="841" s="1"/>
  <c r="AH65" i="841" s="1"/>
  <c r="AB75" i="841"/>
  <c r="AC75" i="841" s="1"/>
  <c r="AE75" i="841" s="1"/>
  <c r="AH75" i="841" s="1"/>
  <c r="AB85" i="841"/>
  <c r="AC85" i="841" s="1"/>
  <c r="AE85" i="841" s="1"/>
  <c r="AH85" i="841" s="1"/>
  <c r="AB95" i="841"/>
  <c r="AC95" i="841" s="1"/>
  <c r="AE95" i="841" s="1"/>
  <c r="AH95" i="841" s="1"/>
  <c r="AB105" i="841"/>
  <c r="AC105" i="841" s="1"/>
  <c r="AE105" i="841" s="1"/>
  <c r="AB115" i="841"/>
  <c r="AC115" i="841" s="1"/>
  <c r="AE115" i="841" s="1"/>
  <c r="AH115" i="841" s="1"/>
  <c r="AB125" i="841"/>
  <c r="AC125" i="841" s="1"/>
  <c r="AE125" i="841" s="1"/>
  <c r="AH47" i="841" l="1"/>
  <c r="AJ19" i="841"/>
  <c r="AK142" i="841"/>
  <c r="AL142" i="841"/>
  <c r="AJ39" i="841"/>
  <c r="AJ75" i="841"/>
  <c r="AJ85" i="841"/>
  <c r="AJ29" i="841"/>
  <c r="AH29" i="841"/>
  <c r="AJ71" i="841"/>
  <c r="AH62" i="841"/>
  <c r="AL62" i="841" s="1"/>
  <c r="AJ52" i="841"/>
  <c r="AJ117" i="841"/>
  <c r="AH136" i="841"/>
  <c r="AJ95" i="841"/>
  <c r="AJ56" i="841"/>
  <c r="AJ133" i="841"/>
  <c r="AH108" i="841"/>
  <c r="AL108" i="841" s="1"/>
  <c r="AH68" i="841"/>
  <c r="AK68" i="841" s="1"/>
  <c r="AJ87" i="841"/>
  <c r="AH33" i="841"/>
  <c r="AK33" i="841" s="1"/>
  <c r="AJ127" i="841"/>
  <c r="AL115" i="841"/>
  <c r="AK115" i="841"/>
  <c r="AK95" i="841"/>
  <c r="AL95" i="841"/>
  <c r="AL65" i="841"/>
  <c r="AK65" i="841"/>
  <c r="AL19" i="841"/>
  <c r="AK19" i="841"/>
  <c r="AK137" i="841"/>
  <c r="AL137" i="841"/>
  <c r="AK122" i="841"/>
  <c r="AL122" i="841"/>
  <c r="AL81" i="841"/>
  <c r="AK81" i="841"/>
  <c r="AK85" i="841"/>
  <c r="AL85" i="841"/>
  <c r="AK124" i="841"/>
  <c r="AL124" i="841"/>
  <c r="AL41" i="841"/>
  <c r="AK41" i="841"/>
  <c r="AL134" i="841"/>
  <c r="AK134" i="841"/>
  <c r="AL7" i="841"/>
  <c r="AK7" i="841"/>
  <c r="AK13" i="841"/>
  <c r="AL13" i="841"/>
  <c r="AL5" i="841"/>
  <c r="AK5" i="841"/>
  <c r="AL23" i="841"/>
  <c r="AK23" i="841"/>
  <c r="AL121" i="841"/>
  <c r="AK121" i="841"/>
  <c r="AL58" i="841"/>
  <c r="AK58" i="841"/>
  <c r="AL90" i="841"/>
  <c r="AK90" i="841"/>
  <c r="AK125" i="841"/>
  <c r="AL125" i="841"/>
  <c r="AL83" i="841"/>
  <c r="AK83" i="841"/>
  <c r="AL73" i="841"/>
  <c r="AK73" i="841"/>
  <c r="AK59" i="841"/>
  <c r="AL59" i="841"/>
  <c r="AK139" i="841"/>
  <c r="AL139" i="841"/>
  <c r="AK25" i="841"/>
  <c r="AL25" i="841"/>
  <c r="AL67" i="841"/>
  <c r="AK67" i="841"/>
  <c r="AL31" i="841"/>
  <c r="AK31" i="841"/>
  <c r="AL106" i="841"/>
  <c r="AK106" i="841"/>
  <c r="AL120" i="841"/>
  <c r="AK120" i="841"/>
  <c r="AL102" i="841"/>
  <c r="AK102" i="841"/>
  <c r="AL80" i="841"/>
  <c r="AK80" i="841"/>
  <c r="AL118" i="841"/>
  <c r="AK118" i="841"/>
  <c r="AL96" i="841"/>
  <c r="AK96" i="841"/>
  <c r="AJ65" i="841"/>
  <c r="AK98" i="841"/>
  <c r="AL98" i="841"/>
  <c r="AL100" i="841"/>
  <c r="AK100" i="841"/>
  <c r="AK110" i="841"/>
  <c r="AL110" i="841"/>
  <c r="AL111" i="841"/>
  <c r="AK111" i="841"/>
  <c r="AL92" i="841"/>
  <c r="AK92" i="841"/>
  <c r="AL78" i="841"/>
  <c r="AK78" i="841"/>
  <c r="AL76" i="841"/>
  <c r="AK76" i="841"/>
  <c r="AK140" i="841"/>
  <c r="AL140" i="841"/>
  <c r="AL39" i="841"/>
  <c r="AK39" i="841"/>
  <c r="AL17" i="841"/>
  <c r="AK17" i="841"/>
  <c r="AK11" i="841"/>
  <c r="AL11" i="841"/>
  <c r="AK71" i="841"/>
  <c r="AL71" i="841"/>
  <c r="AL79" i="841"/>
  <c r="AK79" i="841"/>
  <c r="AL86" i="841"/>
  <c r="AK86" i="841"/>
  <c r="AL105" i="841"/>
  <c r="AK105" i="841"/>
  <c r="AL21" i="841"/>
  <c r="AK21" i="841"/>
  <c r="AL104" i="841"/>
  <c r="AK104" i="841"/>
  <c r="AL132" i="841"/>
  <c r="AK132" i="841"/>
  <c r="AK91" i="841"/>
  <c r="AL91" i="841"/>
  <c r="AL54" i="841"/>
  <c r="AK54" i="841"/>
  <c r="AH55" i="841"/>
  <c r="AK109" i="841"/>
  <c r="AL109" i="841"/>
  <c r="AK60" i="841"/>
  <c r="AL60" i="841"/>
  <c r="AK15" i="841"/>
  <c r="AL15" i="841"/>
  <c r="AL43" i="841"/>
  <c r="AK43" i="841"/>
  <c r="AL9" i="841"/>
  <c r="AK9" i="841"/>
  <c r="AL107" i="841"/>
  <c r="AK107" i="841"/>
  <c r="AL99" i="841"/>
  <c r="AK99" i="841"/>
  <c r="AL123" i="841"/>
  <c r="AK123" i="841"/>
  <c r="AL49" i="841"/>
  <c r="AK49" i="841"/>
  <c r="AL113" i="841"/>
  <c r="AK113" i="841"/>
  <c r="AL129" i="841"/>
  <c r="AK129" i="841"/>
  <c r="AL82" i="841"/>
  <c r="AK82" i="841"/>
  <c r="AL130" i="841"/>
  <c r="AK130" i="841"/>
  <c r="AL66" i="841"/>
  <c r="AK66" i="841"/>
  <c r="AL35" i="841"/>
  <c r="AK35" i="841"/>
  <c r="AK128" i="841"/>
  <c r="AL128" i="841"/>
  <c r="AK141" i="841"/>
  <c r="AL141" i="841"/>
  <c r="AL84" i="841"/>
  <c r="AK84" i="841"/>
  <c r="AL69" i="841"/>
  <c r="AK69" i="841"/>
  <c r="AK119" i="841"/>
  <c r="AL119" i="841"/>
  <c r="AL87" i="841"/>
  <c r="AK87" i="841"/>
  <c r="AL116" i="841"/>
  <c r="AK116" i="841"/>
  <c r="AK72" i="841"/>
  <c r="AL72" i="841"/>
  <c r="AL56" i="841"/>
  <c r="AK56" i="841"/>
  <c r="AL52" i="841"/>
  <c r="AK52" i="841"/>
  <c r="AL138" i="841"/>
  <c r="AK138" i="841"/>
  <c r="AK75" i="841"/>
  <c r="AL75" i="841"/>
  <c r="AL51" i="841"/>
  <c r="AK51" i="841"/>
  <c r="AL89" i="841"/>
  <c r="AK89" i="841"/>
  <c r="AK61" i="841"/>
  <c r="AL61" i="841"/>
  <c r="AL64" i="841"/>
  <c r="AK64" i="841"/>
  <c r="AL27" i="841"/>
  <c r="AK27" i="841"/>
  <c r="AL74" i="841"/>
  <c r="AK74" i="841"/>
  <c r="AL135" i="841"/>
  <c r="AK135" i="841"/>
  <c r="AL53" i="841"/>
  <c r="AK53" i="841"/>
  <c r="AL117" i="841"/>
  <c r="AK117" i="841"/>
  <c r="AK114" i="841"/>
  <c r="AL114" i="841"/>
  <c r="AL47" i="841"/>
  <c r="AK47" i="841"/>
  <c r="AH45" i="841"/>
  <c r="AL94" i="841"/>
  <c r="AK94" i="841"/>
  <c r="AL93" i="841"/>
  <c r="AK93" i="841"/>
  <c r="AL136" i="841"/>
  <c r="AK136" i="841"/>
  <c r="AJ115" i="841"/>
  <c r="AL63" i="841"/>
  <c r="AK63" i="841"/>
  <c r="AL77" i="841"/>
  <c r="AK77" i="841"/>
  <c r="AL133" i="841"/>
  <c r="AK133" i="841"/>
  <c r="AL97" i="841"/>
  <c r="AK97" i="841"/>
  <c r="AL37" i="841"/>
  <c r="AK37" i="841"/>
  <c r="AL70" i="841"/>
  <c r="AK70" i="841"/>
  <c r="N36" i="840"/>
  <c r="AL29" i="841" l="1"/>
  <c r="AK29" i="841"/>
  <c r="AL68" i="841"/>
  <c r="AK62" i="841"/>
  <c r="AL33" i="841"/>
  <c r="AK108" i="841"/>
  <c r="AL55" i="841"/>
  <c r="AK55" i="841"/>
  <c r="AL45" i="841"/>
  <c r="AK45" i="841"/>
  <c r="N25" i="840"/>
  <c r="U25" i="840"/>
  <c r="V25" i="840" s="1"/>
  <c r="AN25" i="840"/>
  <c r="AO25" i="840" s="1"/>
  <c r="AW25" i="840"/>
  <c r="AX25" i="840"/>
  <c r="N26" i="840"/>
  <c r="AF11" i="840" l="1"/>
  <c r="AX133" i="840"/>
  <c r="AW133" i="840"/>
  <c r="AN133" i="840"/>
  <c r="AO133" i="840" s="1"/>
  <c r="U133" i="840"/>
  <c r="V133" i="840" s="1"/>
  <c r="N133" i="840"/>
  <c r="AX132" i="840"/>
  <c r="AW132" i="840"/>
  <c r="AN132" i="840"/>
  <c r="AO132" i="840" s="1"/>
  <c r="U132" i="840"/>
  <c r="V132" i="840" s="1"/>
  <c r="N132" i="840"/>
  <c r="AX131" i="840"/>
  <c r="AW131" i="840"/>
  <c r="AN131" i="840"/>
  <c r="AO131" i="840" s="1"/>
  <c r="U131" i="840"/>
  <c r="V131" i="840" s="1"/>
  <c r="N131" i="840"/>
  <c r="AX130" i="840"/>
  <c r="AW130" i="840"/>
  <c r="AN130" i="840"/>
  <c r="AO130" i="840" s="1"/>
  <c r="U130" i="840"/>
  <c r="V130" i="840" s="1"/>
  <c r="N130" i="840"/>
  <c r="AX129" i="840"/>
  <c r="AW129" i="840"/>
  <c r="AN129" i="840"/>
  <c r="AO129" i="840" s="1"/>
  <c r="U129" i="840"/>
  <c r="V129" i="840" s="1"/>
  <c r="N129" i="840"/>
  <c r="AX128" i="840"/>
  <c r="AW128" i="840"/>
  <c r="AN128" i="840"/>
  <c r="AO128" i="840" s="1"/>
  <c r="U128" i="840"/>
  <c r="V128" i="840" s="1"/>
  <c r="N128" i="840"/>
  <c r="AX127" i="840"/>
  <c r="AW127" i="840"/>
  <c r="AN127" i="840"/>
  <c r="AO127" i="840" s="1"/>
  <c r="U127" i="840"/>
  <c r="V127" i="840" s="1"/>
  <c r="N127" i="840"/>
  <c r="AX126" i="840"/>
  <c r="AW126" i="840"/>
  <c r="AN126" i="840"/>
  <c r="AO126" i="840" s="1"/>
  <c r="U126" i="840"/>
  <c r="V126" i="840" s="1"/>
  <c r="N126" i="840"/>
  <c r="AX125" i="840"/>
  <c r="AW125" i="840"/>
  <c r="AN125" i="840"/>
  <c r="AO125" i="840" s="1"/>
  <c r="U125" i="840"/>
  <c r="V125" i="840" s="1"/>
  <c r="N125" i="840"/>
  <c r="AX124" i="840"/>
  <c r="AW124" i="840"/>
  <c r="AN124" i="840"/>
  <c r="AO124" i="840" s="1"/>
  <c r="U124" i="840"/>
  <c r="V124" i="840" s="1"/>
  <c r="N124" i="840"/>
  <c r="AX123" i="840"/>
  <c r="AW123" i="840"/>
  <c r="AN123" i="840"/>
  <c r="AO123" i="840" s="1"/>
  <c r="U123" i="840"/>
  <c r="V123" i="840" s="1"/>
  <c r="N123" i="840"/>
  <c r="AX122" i="840"/>
  <c r="AW122" i="840"/>
  <c r="AN122" i="840"/>
  <c r="AO122" i="840" s="1"/>
  <c r="U122" i="840"/>
  <c r="V122" i="840" s="1"/>
  <c r="N122" i="840"/>
  <c r="AX121" i="840"/>
  <c r="AW121" i="840"/>
  <c r="AN121" i="840"/>
  <c r="AO121" i="840" s="1"/>
  <c r="U121" i="840"/>
  <c r="V121" i="840" s="1"/>
  <c r="N121" i="840"/>
  <c r="AX120" i="840"/>
  <c r="AW120" i="840"/>
  <c r="AN120" i="840"/>
  <c r="AO120" i="840" s="1"/>
  <c r="U120" i="840"/>
  <c r="V120" i="840" s="1"/>
  <c r="N120" i="840"/>
  <c r="AX119" i="840"/>
  <c r="AW119" i="840"/>
  <c r="AN119" i="840"/>
  <c r="AO119" i="840" s="1"/>
  <c r="U119" i="840"/>
  <c r="V119" i="840" s="1"/>
  <c r="N119" i="840"/>
  <c r="AX118" i="840"/>
  <c r="AW118" i="840"/>
  <c r="AN118" i="840"/>
  <c r="AO118" i="840" s="1"/>
  <c r="U118" i="840"/>
  <c r="V118" i="840" s="1"/>
  <c r="N118" i="840"/>
  <c r="AX117" i="840"/>
  <c r="AW117" i="840"/>
  <c r="AN117" i="840"/>
  <c r="AO117" i="840" s="1"/>
  <c r="U117" i="840"/>
  <c r="V117" i="840" s="1"/>
  <c r="N117" i="840"/>
  <c r="AX116" i="840"/>
  <c r="AW116" i="840"/>
  <c r="AN116" i="840"/>
  <c r="AO116" i="840" s="1"/>
  <c r="U116" i="840"/>
  <c r="V116" i="840" s="1"/>
  <c r="N116" i="840"/>
  <c r="AX115" i="840"/>
  <c r="AW115" i="840"/>
  <c r="AN115" i="840"/>
  <c r="AO115" i="840" s="1"/>
  <c r="U115" i="840"/>
  <c r="V115" i="840" s="1"/>
  <c r="N115" i="840"/>
  <c r="AX114" i="840"/>
  <c r="AW114" i="840"/>
  <c r="AN114" i="840"/>
  <c r="AO114" i="840" s="1"/>
  <c r="U114" i="840"/>
  <c r="V114" i="840" s="1"/>
  <c r="N114" i="840"/>
  <c r="AX113" i="840"/>
  <c r="AW113" i="840"/>
  <c r="AN113" i="840"/>
  <c r="AO113" i="840" s="1"/>
  <c r="U113" i="840"/>
  <c r="V113" i="840" s="1"/>
  <c r="N113" i="840"/>
  <c r="AX112" i="840"/>
  <c r="AW112" i="840"/>
  <c r="AN112" i="840"/>
  <c r="AO112" i="840" s="1"/>
  <c r="U112" i="840"/>
  <c r="V112" i="840" s="1"/>
  <c r="N112" i="840"/>
  <c r="AX111" i="840"/>
  <c r="AW111" i="840"/>
  <c r="AN111" i="840"/>
  <c r="AO111" i="840" s="1"/>
  <c r="U111" i="840"/>
  <c r="V111" i="840" s="1"/>
  <c r="N111" i="840"/>
  <c r="AX110" i="840"/>
  <c r="AW110" i="840"/>
  <c r="AN110" i="840"/>
  <c r="AO110" i="840" s="1"/>
  <c r="U110" i="840"/>
  <c r="V110" i="840" s="1"/>
  <c r="N110" i="840"/>
  <c r="AX109" i="840"/>
  <c r="AW109" i="840"/>
  <c r="AN109" i="840"/>
  <c r="AO109" i="840" s="1"/>
  <c r="U109" i="840"/>
  <c r="V109" i="840" s="1"/>
  <c r="N109" i="840"/>
  <c r="AX108" i="840"/>
  <c r="AW108" i="840"/>
  <c r="AN108" i="840"/>
  <c r="AO108" i="840" s="1"/>
  <c r="U108" i="840"/>
  <c r="V108" i="840" s="1"/>
  <c r="N108" i="840"/>
  <c r="AX107" i="840"/>
  <c r="AW107" i="840"/>
  <c r="AN107" i="840"/>
  <c r="AO107" i="840" s="1"/>
  <c r="U107" i="840"/>
  <c r="V107" i="840" s="1"/>
  <c r="N107" i="840"/>
  <c r="AX106" i="840"/>
  <c r="AW106" i="840"/>
  <c r="AN106" i="840"/>
  <c r="AO106" i="840" s="1"/>
  <c r="U106" i="840"/>
  <c r="V106" i="840" s="1"/>
  <c r="N106" i="840"/>
  <c r="AX105" i="840"/>
  <c r="AW105" i="840"/>
  <c r="AN105" i="840"/>
  <c r="AO105" i="840" s="1"/>
  <c r="U105" i="840"/>
  <c r="V105" i="840" s="1"/>
  <c r="N105" i="840"/>
  <c r="AX104" i="840"/>
  <c r="AW104" i="840"/>
  <c r="AN104" i="840"/>
  <c r="AO104" i="840" s="1"/>
  <c r="U104" i="840"/>
  <c r="V104" i="840" s="1"/>
  <c r="N104" i="840"/>
  <c r="AX103" i="840"/>
  <c r="AW103" i="840"/>
  <c r="AN103" i="840"/>
  <c r="AO103" i="840" s="1"/>
  <c r="U103" i="840"/>
  <c r="V103" i="840" s="1"/>
  <c r="N103" i="840"/>
  <c r="AX102" i="840"/>
  <c r="AW102" i="840"/>
  <c r="AN102" i="840"/>
  <c r="AO102" i="840" s="1"/>
  <c r="U102" i="840"/>
  <c r="V102" i="840" s="1"/>
  <c r="N102" i="840"/>
  <c r="AX101" i="840"/>
  <c r="AW101" i="840"/>
  <c r="AN101" i="840"/>
  <c r="AO101" i="840" s="1"/>
  <c r="U101" i="840"/>
  <c r="V101" i="840" s="1"/>
  <c r="N101" i="840"/>
  <c r="AX100" i="840"/>
  <c r="AW100" i="840"/>
  <c r="AN100" i="840"/>
  <c r="AO100" i="840" s="1"/>
  <c r="U100" i="840"/>
  <c r="V100" i="840" s="1"/>
  <c r="N100" i="840"/>
  <c r="AX99" i="840"/>
  <c r="AW99" i="840"/>
  <c r="AN99" i="840"/>
  <c r="AO99" i="840" s="1"/>
  <c r="U99" i="840"/>
  <c r="V99" i="840" s="1"/>
  <c r="N99" i="840"/>
  <c r="AX98" i="840"/>
  <c r="AW98" i="840"/>
  <c r="AN98" i="840"/>
  <c r="AO98" i="840" s="1"/>
  <c r="U98" i="840"/>
  <c r="V98" i="840" s="1"/>
  <c r="N98" i="840"/>
  <c r="AX97" i="840"/>
  <c r="AW97" i="840"/>
  <c r="AN97" i="840"/>
  <c r="AO97" i="840" s="1"/>
  <c r="U97" i="840"/>
  <c r="V97" i="840" s="1"/>
  <c r="N97" i="840"/>
  <c r="AX96" i="840"/>
  <c r="AW96" i="840"/>
  <c r="AN96" i="840"/>
  <c r="AO96" i="840" s="1"/>
  <c r="U96" i="840"/>
  <c r="V96" i="840" s="1"/>
  <c r="N96" i="840"/>
  <c r="AX95" i="840"/>
  <c r="AW95" i="840"/>
  <c r="AN95" i="840"/>
  <c r="AO95" i="840" s="1"/>
  <c r="U95" i="840"/>
  <c r="V95" i="840" s="1"/>
  <c r="N95" i="840"/>
  <c r="AX94" i="840"/>
  <c r="AW94" i="840"/>
  <c r="AN94" i="840"/>
  <c r="AO94" i="840" s="1"/>
  <c r="U94" i="840"/>
  <c r="V94" i="840" s="1"/>
  <c r="N94" i="840"/>
  <c r="AX93" i="840"/>
  <c r="AW93" i="840"/>
  <c r="AN93" i="840"/>
  <c r="AO93" i="840" s="1"/>
  <c r="U93" i="840"/>
  <c r="V93" i="840" s="1"/>
  <c r="N93" i="840"/>
  <c r="AX92" i="840"/>
  <c r="AW92" i="840"/>
  <c r="AN92" i="840"/>
  <c r="AO92" i="840" s="1"/>
  <c r="U92" i="840"/>
  <c r="V92" i="840" s="1"/>
  <c r="N92" i="840"/>
  <c r="AX91" i="840"/>
  <c r="AW91" i="840"/>
  <c r="AN91" i="840"/>
  <c r="AO91" i="840" s="1"/>
  <c r="U91" i="840"/>
  <c r="V91" i="840" s="1"/>
  <c r="N91" i="840"/>
  <c r="AX90" i="840"/>
  <c r="AW90" i="840"/>
  <c r="AN90" i="840"/>
  <c r="AO90" i="840" s="1"/>
  <c r="U90" i="840"/>
  <c r="V90" i="840" s="1"/>
  <c r="N90" i="840"/>
  <c r="AX89" i="840"/>
  <c r="AW89" i="840"/>
  <c r="AN89" i="840"/>
  <c r="AO89" i="840" s="1"/>
  <c r="U89" i="840"/>
  <c r="V89" i="840" s="1"/>
  <c r="N89" i="840"/>
  <c r="AX88" i="840"/>
  <c r="AW88" i="840"/>
  <c r="AN88" i="840"/>
  <c r="AO88" i="840" s="1"/>
  <c r="U88" i="840"/>
  <c r="V88" i="840" s="1"/>
  <c r="N88" i="840"/>
  <c r="AX87" i="840"/>
  <c r="AW87" i="840"/>
  <c r="AN87" i="840"/>
  <c r="AO87" i="840" s="1"/>
  <c r="U87" i="840"/>
  <c r="V87" i="840" s="1"/>
  <c r="N87" i="840"/>
  <c r="AX86" i="840"/>
  <c r="AW86" i="840"/>
  <c r="AN86" i="840"/>
  <c r="AO86" i="840" s="1"/>
  <c r="U86" i="840"/>
  <c r="V86" i="840" s="1"/>
  <c r="N86" i="840"/>
  <c r="AX85" i="840"/>
  <c r="AW85" i="840"/>
  <c r="AN85" i="840"/>
  <c r="AO85" i="840" s="1"/>
  <c r="U85" i="840"/>
  <c r="V85" i="840" s="1"/>
  <c r="N85" i="840"/>
  <c r="AX84" i="840"/>
  <c r="AW84" i="840"/>
  <c r="AN84" i="840"/>
  <c r="AO84" i="840" s="1"/>
  <c r="U84" i="840"/>
  <c r="V84" i="840" s="1"/>
  <c r="N84" i="840"/>
  <c r="AX83" i="840"/>
  <c r="AW83" i="840"/>
  <c r="AN83" i="840"/>
  <c r="AO83" i="840" s="1"/>
  <c r="U83" i="840"/>
  <c r="V83" i="840" s="1"/>
  <c r="N83" i="840"/>
  <c r="AX82" i="840"/>
  <c r="AW82" i="840"/>
  <c r="AN82" i="840"/>
  <c r="AO82" i="840" s="1"/>
  <c r="U82" i="840"/>
  <c r="V82" i="840" s="1"/>
  <c r="N82" i="840"/>
  <c r="AX81" i="840"/>
  <c r="AW81" i="840"/>
  <c r="AN81" i="840"/>
  <c r="AO81" i="840" s="1"/>
  <c r="U81" i="840"/>
  <c r="V81" i="840" s="1"/>
  <c r="N81" i="840"/>
  <c r="AX80" i="840"/>
  <c r="AW80" i="840"/>
  <c r="AN80" i="840"/>
  <c r="AO80" i="840" s="1"/>
  <c r="U80" i="840"/>
  <c r="V80" i="840" s="1"/>
  <c r="N80" i="840"/>
  <c r="AX79" i="840"/>
  <c r="AW79" i="840"/>
  <c r="AN79" i="840"/>
  <c r="AO79" i="840" s="1"/>
  <c r="U79" i="840"/>
  <c r="V79" i="840" s="1"/>
  <c r="N79" i="840"/>
  <c r="AX78" i="840"/>
  <c r="AW78" i="840"/>
  <c r="AN78" i="840"/>
  <c r="AO78" i="840" s="1"/>
  <c r="U78" i="840"/>
  <c r="V78" i="840" s="1"/>
  <c r="N78" i="840"/>
  <c r="AX77" i="840"/>
  <c r="AW77" i="840"/>
  <c r="AN77" i="840"/>
  <c r="AO77" i="840" s="1"/>
  <c r="U77" i="840"/>
  <c r="V77" i="840" s="1"/>
  <c r="N77" i="840"/>
  <c r="AX76" i="840"/>
  <c r="AW76" i="840"/>
  <c r="AN76" i="840"/>
  <c r="AO76" i="840" s="1"/>
  <c r="U76" i="840"/>
  <c r="V76" i="840" s="1"/>
  <c r="N76" i="840"/>
  <c r="AX75" i="840"/>
  <c r="AW75" i="840"/>
  <c r="AN75" i="840"/>
  <c r="AO75" i="840" s="1"/>
  <c r="U75" i="840"/>
  <c r="V75" i="840" s="1"/>
  <c r="N75" i="840"/>
  <c r="AX74" i="840"/>
  <c r="AW74" i="840"/>
  <c r="AN74" i="840"/>
  <c r="AO74" i="840" s="1"/>
  <c r="U74" i="840"/>
  <c r="V74" i="840" s="1"/>
  <c r="N74" i="840"/>
  <c r="AX73" i="840"/>
  <c r="AW73" i="840"/>
  <c r="AN73" i="840"/>
  <c r="AO73" i="840" s="1"/>
  <c r="U73" i="840"/>
  <c r="V73" i="840" s="1"/>
  <c r="N73" i="840"/>
  <c r="AX72" i="840"/>
  <c r="AW72" i="840"/>
  <c r="AN72" i="840"/>
  <c r="AO72" i="840" s="1"/>
  <c r="U72" i="840"/>
  <c r="V72" i="840" s="1"/>
  <c r="N72" i="840"/>
  <c r="AX71" i="840"/>
  <c r="AW71" i="840"/>
  <c r="AN71" i="840"/>
  <c r="AO71" i="840" s="1"/>
  <c r="U71" i="840"/>
  <c r="V71" i="840" s="1"/>
  <c r="N71" i="840"/>
  <c r="AX70" i="840"/>
  <c r="AW70" i="840"/>
  <c r="AN70" i="840"/>
  <c r="AO70" i="840" s="1"/>
  <c r="U70" i="840"/>
  <c r="V70" i="840" s="1"/>
  <c r="N70" i="840"/>
  <c r="AX69" i="840"/>
  <c r="AW69" i="840"/>
  <c r="AN69" i="840"/>
  <c r="AO69" i="840" s="1"/>
  <c r="U69" i="840"/>
  <c r="V69" i="840" s="1"/>
  <c r="N69" i="840"/>
  <c r="AX68" i="840"/>
  <c r="AW68" i="840"/>
  <c r="AN68" i="840"/>
  <c r="AO68" i="840" s="1"/>
  <c r="U68" i="840"/>
  <c r="V68" i="840" s="1"/>
  <c r="N68" i="840"/>
  <c r="AX67" i="840"/>
  <c r="AW67" i="840"/>
  <c r="AN67" i="840"/>
  <c r="AO67" i="840" s="1"/>
  <c r="U67" i="840"/>
  <c r="V67" i="840" s="1"/>
  <c r="N67" i="840"/>
  <c r="AX66" i="840"/>
  <c r="AW66" i="840"/>
  <c r="AN66" i="840"/>
  <c r="AO66" i="840" s="1"/>
  <c r="U66" i="840"/>
  <c r="V66" i="840" s="1"/>
  <c r="N66" i="840"/>
  <c r="AX65" i="840"/>
  <c r="AW65" i="840"/>
  <c r="AN65" i="840"/>
  <c r="AO65" i="840" s="1"/>
  <c r="U65" i="840"/>
  <c r="V65" i="840" s="1"/>
  <c r="N65" i="840"/>
  <c r="AX64" i="840"/>
  <c r="AW64" i="840"/>
  <c r="AN64" i="840"/>
  <c r="AO64" i="840" s="1"/>
  <c r="AB64" i="840"/>
  <c r="AC64" i="840" s="1"/>
  <c r="AE64" i="840" s="1"/>
  <c r="U64" i="840"/>
  <c r="V64" i="840" s="1"/>
  <c r="N64" i="840"/>
  <c r="AX63" i="840"/>
  <c r="AW63" i="840"/>
  <c r="AN63" i="840"/>
  <c r="AO63" i="840" s="1"/>
  <c r="U63" i="840"/>
  <c r="V63" i="840" s="1"/>
  <c r="N63" i="840"/>
  <c r="AX62" i="840"/>
  <c r="AW62" i="840"/>
  <c r="AN62" i="840"/>
  <c r="AO62" i="840" s="1"/>
  <c r="U62" i="840"/>
  <c r="V62" i="840" s="1"/>
  <c r="N62" i="840"/>
  <c r="AX61" i="840"/>
  <c r="AW61" i="840"/>
  <c r="AN61" i="840"/>
  <c r="AO61" i="840" s="1"/>
  <c r="U61" i="840"/>
  <c r="V61" i="840" s="1"/>
  <c r="N61" i="840"/>
  <c r="AX60" i="840"/>
  <c r="AW60" i="840"/>
  <c r="AN60" i="840"/>
  <c r="AO60" i="840" s="1"/>
  <c r="U60" i="840"/>
  <c r="V60" i="840" s="1"/>
  <c r="N60" i="840"/>
  <c r="AX59" i="840"/>
  <c r="AW59" i="840"/>
  <c r="AN59" i="840"/>
  <c r="AO59" i="840" s="1"/>
  <c r="U59" i="840"/>
  <c r="V59" i="840" s="1"/>
  <c r="N59" i="840"/>
  <c r="AX58" i="840"/>
  <c r="AW58" i="840"/>
  <c r="AN58" i="840"/>
  <c r="AO58" i="840" s="1"/>
  <c r="U58" i="840"/>
  <c r="V58" i="840" s="1"/>
  <c r="N58" i="840"/>
  <c r="AX57" i="840"/>
  <c r="AW57" i="840"/>
  <c r="AN57" i="840"/>
  <c r="AO57" i="840" s="1"/>
  <c r="U57" i="840"/>
  <c r="V57" i="840" s="1"/>
  <c r="N57" i="840"/>
  <c r="AX56" i="840"/>
  <c r="AW56" i="840"/>
  <c r="AN56" i="840"/>
  <c r="AO56" i="840" s="1"/>
  <c r="U56" i="840"/>
  <c r="V56" i="840" s="1"/>
  <c r="N56" i="840"/>
  <c r="AX55" i="840"/>
  <c r="AW55" i="840"/>
  <c r="AN55" i="840"/>
  <c r="AO55" i="840" s="1"/>
  <c r="U55" i="840"/>
  <c r="V55" i="840" s="1"/>
  <c r="N55" i="840"/>
  <c r="AX54" i="840"/>
  <c r="AW54" i="840"/>
  <c r="AN54" i="840"/>
  <c r="AO54" i="840" s="1"/>
  <c r="U54" i="840"/>
  <c r="V54" i="840" s="1"/>
  <c r="N54" i="840"/>
  <c r="AX53" i="840"/>
  <c r="AW53" i="840"/>
  <c r="AN53" i="840"/>
  <c r="AO53" i="840" s="1"/>
  <c r="U53" i="840"/>
  <c r="V53" i="840" s="1"/>
  <c r="N53" i="840"/>
  <c r="AX52" i="840"/>
  <c r="AW52" i="840"/>
  <c r="AN52" i="840"/>
  <c r="AO52" i="840" s="1"/>
  <c r="U52" i="840"/>
  <c r="V52" i="840" s="1"/>
  <c r="N52" i="840"/>
  <c r="AX51" i="840"/>
  <c r="AW51" i="840"/>
  <c r="AN51" i="840"/>
  <c r="AO51" i="840" s="1"/>
  <c r="U51" i="840"/>
  <c r="V51" i="840" s="1"/>
  <c r="N51" i="840"/>
  <c r="AX50" i="840"/>
  <c r="AW50" i="840"/>
  <c r="AN50" i="840"/>
  <c r="AO50" i="840" s="1"/>
  <c r="U50" i="840"/>
  <c r="V50" i="840" s="1"/>
  <c r="N50" i="840"/>
  <c r="AX49" i="840"/>
  <c r="AW49" i="840"/>
  <c r="AN49" i="840"/>
  <c r="AO49" i="840" s="1"/>
  <c r="U49" i="840"/>
  <c r="V49" i="840" s="1"/>
  <c r="N49" i="840"/>
  <c r="AX48" i="840"/>
  <c r="AW48" i="840"/>
  <c r="AN48" i="840"/>
  <c r="AO48" i="840" s="1"/>
  <c r="U48" i="840"/>
  <c r="V48" i="840" s="1"/>
  <c r="N48" i="840"/>
  <c r="AX47" i="840"/>
  <c r="AW47" i="840"/>
  <c r="AN47" i="840"/>
  <c r="AO47" i="840" s="1"/>
  <c r="U47" i="840"/>
  <c r="V47" i="840" s="1"/>
  <c r="N47" i="840"/>
  <c r="AX46" i="840"/>
  <c r="AW46" i="840"/>
  <c r="AN46" i="840"/>
  <c r="AO46" i="840" s="1"/>
  <c r="U46" i="840"/>
  <c r="V46" i="840" s="1"/>
  <c r="N46" i="840"/>
  <c r="AX45" i="840"/>
  <c r="AW45" i="840"/>
  <c r="AN45" i="840"/>
  <c r="AO45" i="840" s="1"/>
  <c r="U45" i="840"/>
  <c r="V45" i="840" s="1"/>
  <c r="N45" i="840"/>
  <c r="AX44" i="840"/>
  <c r="AW44" i="840"/>
  <c r="AN44" i="840"/>
  <c r="AO44" i="840" s="1"/>
  <c r="U44" i="840"/>
  <c r="V44" i="840" s="1"/>
  <c r="N44" i="840"/>
  <c r="AX43" i="840"/>
  <c r="AW43" i="840"/>
  <c r="AN43" i="840"/>
  <c r="AO43" i="840" s="1"/>
  <c r="U43" i="840"/>
  <c r="V43" i="840" s="1"/>
  <c r="N43" i="840"/>
  <c r="AX42" i="840"/>
  <c r="AW42" i="840"/>
  <c r="AN42" i="840"/>
  <c r="AO42" i="840" s="1"/>
  <c r="U42" i="840"/>
  <c r="V42" i="840" s="1"/>
  <c r="N42" i="840"/>
  <c r="AX41" i="840"/>
  <c r="AW41" i="840"/>
  <c r="AN41" i="840"/>
  <c r="AO41" i="840" s="1"/>
  <c r="U41" i="840"/>
  <c r="V41" i="840" s="1"/>
  <c r="N41" i="840"/>
  <c r="AX39" i="840"/>
  <c r="AW39" i="840"/>
  <c r="AN39" i="840"/>
  <c r="AO39" i="840" s="1"/>
  <c r="U39" i="840"/>
  <c r="V39" i="840" s="1"/>
  <c r="N39" i="840"/>
  <c r="AX37" i="840"/>
  <c r="AW37" i="840"/>
  <c r="AN37" i="840"/>
  <c r="AO37" i="840" s="1"/>
  <c r="U37" i="840"/>
  <c r="V37" i="840" s="1"/>
  <c r="N37" i="840"/>
  <c r="AX35" i="840"/>
  <c r="AW35" i="840"/>
  <c r="AN35" i="840"/>
  <c r="AO35" i="840" s="1"/>
  <c r="U35" i="840"/>
  <c r="V35" i="840" s="1"/>
  <c r="N35" i="840"/>
  <c r="N34" i="840"/>
  <c r="AX33" i="840"/>
  <c r="AW33" i="840"/>
  <c r="AN33" i="840"/>
  <c r="AO33" i="840" s="1"/>
  <c r="U33" i="840"/>
  <c r="V33" i="840" s="1"/>
  <c r="N33" i="840"/>
  <c r="N32" i="840"/>
  <c r="AX31" i="840"/>
  <c r="AW31" i="840"/>
  <c r="AN31" i="840"/>
  <c r="AO31" i="840" s="1"/>
  <c r="U31" i="840"/>
  <c r="V31" i="840" s="1"/>
  <c r="N31" i="840"/>
  <c r="N30" i="840"/>
  <c r="AX29" i="840"/>
  <c r="AW29" i="840"/>
  <c r="AN29" i="840"/>
  <c r="AO29" i="840" s="1"/>
  <c r="U29" i="840"/>
  <c r="V29" i="840" s="1"/>
  <c r="N29" i="840"/>
  <c r="N28" i="840"/>
  <c r="AX27" i="840"/>
  <c r="AW27" i="840"/>
  <c r="AN27" i="840"/>
  <c r="AO27" i="840" s="1"/>
  <c r="U27" i="840"/>
  <c r="V27" i="840" s="1"/>
  <c r="N27" i="840"/>
  <c r="N24" i="840"/>
  <c r="AX23" i="840"/>
  <c r="AW23" i="840"/>
  <c r="AN23" i="840"/>
  <c r="AO23" i="840" s="1"/>
  <c r="U23" i="840"/>
  <c r="V23" i="840" s="1"/>
  <c r="N23" i="840"/>
  <c r="N22" i="840"/>
  <c r="AX21" i="840"/>
  <c r="AW21" i="840"/>
  <c r="AN21" i="840"/>
  <c r="AO21" i="840" s="1"/>
  <c r="U21" i="840"/>
  <c r="V21" i="840" s="1"/>
  <c r="N21" i="840"/>
  <c r="N20" i="840"/>
  <c r="AX19" i="840"/>
  <c r="AW19" i="840"/>
  <c r="AN19" i="840"/>
  <c r="AO19" i="840" s="1"/>
  <c r="U19" i="840"/>
  <c r="V19" i="840" s="1"/>
  <c r="N19" i="840"/>
  <c r="N18" i="840"/>
  <c r="AX17" i="840"/>
  <c r="AW17" i="840"/>
  <c r="AN17" i="840"/>
  <c r="AO17" i="840" s="1"/>
  <c r="U17" i="840"/>
  <c r="V17" i="840" s="1"/>
  <c r="N17" i="840"/>
  <c r="N16" i="840"/>
  <c r="AX15" i="840"/>
  <c r="AW15" i="840"/>
  <c r="AN15" i="840"/>
  <c r="AO15" i="840" s="1"/>
  <c r="U15" i="840"/>
  <c r="V15" i="840" s="1"/>
  <c r="N15" i="840"/>
  <c r="N14" i="840"/>
  <c r="AX13" i="840"/>
  <c r="AW13" i="840"/>
  <c r="AN13" i="840"/>
  <c r="AO13" i="840" s="1"/>
  <c r="U13" i="840"/>
  <c r="V13" i="840" s="1"/>
  <c r="N13" i="840"/>
  <c r="N12" i="840"/>
  <c r="AX11" i="840"/>
  <c r="AW11" i="840"/>
  <c r="AN11" i="840"/>
  <c r="AO11" i="840" s="1"/>
  <c r="U11" i="840"/>
  <c r="V11" i="840" s="1"/>
  <c r="N11" i="840"/>
  <c r="N10" i="840"/>
  <c r="AX9" i="840"/>
  <c r="AW9" i="840"/>
  <c r="AN9" i="840"/>
  <c r="AO9" i="840" s="1"/>
  <c r="U9" i="840"/>
  <c r="V9" i="840" s="1"/>
  <c r="N9" i="840"/>
  <c r="N8" i="840"/>
  <c r="AX7" i="840"/>
  <c r="AW7" i="840"/>
  <c r="AN7" i="840"/>
  <c r="AO7" i="840" s="1"/>
  <c r="U7" i="840"/>
  <c r="V7" i="840" s="1"/>
  <c r="N7" i="840"/>
  <c r="N6" i="840"/>
  <c r="AX5" i="840"/>
  <c r="AW5" i="840"/>
  <c r="AN5" i="840"/>
  <c r="AO5" i="840" s="1"/>
  <c r="U5" i="840"/>
  <c r="V5" i="840" s="1"/>
  <c r="N5" i="840"/>
  <c r="AA2" i="840"/>
  <c r="AD2" i="840" s="1"/>
  <c r="I2" i="840"/>
  <c r="AI1" i="840"/>
  <c r="AS2" i="840" s="1"/>
  <c r="AB104" i="840" l="1"/>
  <c r="AC104" i="840" s="1"/>
  <c r="AE104" i="840" s="1"/>
  <c r="AB25" i="840"/>
  <c r="AC25" i="840" s="1"/>
  <c r="AE25" i="840" s="1"/>
  <c r="AB46" i="840"/>
  <c r="AC46" i="840" s="1"/>
  <c r="AE46" i="840" s="1"/>
  <c r="AH46" i="840" s="1"/>
  <c r="AB39" i="840"/>
  <c r="AC39" i="840" s="1"/>
  <c r="AE39" i="840" s="1"/>
  <c r="AJ39" i="840" s="1"/>
  <c r="AB127" i="840"/>
  <c r="AC127" i="840" s="1"/>
  <c r="AE127" i="840" s="1"/>
  <c r="AH127" i="840" s="1"/>
  <c r="AB57" i="840"/>
  <c r="AC57" i="840" s="1"/>
  <c r="AE57" i="840" s="1"/>
  <c r="AJ57" i="840" s="1"/>
  <c r="AB112" i="840"/>
  <c r="AC112" i="840" s="1"/>
  <c r="AE112" i="840" s="1"/>
  <c r="AJ112" i="840" s="1"/>
  <c r="AB105" i="840"/>
  <c r="AC105" i="840" s="1"/>
  <c r="AE105" i="840" s="1"/>
  <c r="AH105" i="840" s="1"/>
  <c r="AB109" i="840"/>
  <c r="AC109" i="840" s="1"/>
  <c r="AE109" i="840" s="1"/>
  <c r="AB49" i="840"/>
  <c r="AC49" i="840" s="1"/>
  <c r="AE49" i="840" s="1"/>
  <c r="AJ49" i="840" s="1"/>
  <c r="AB42" i="840"/>
  <c r="AC42" i="840" s="1"/>
  <c r="AE42" i="840" s="1"/>
  <c r="AH42" i="840" s="1"/>
  <c r="AB102" i="840"/>
  <c r="AC102" i="840" s="1"/>
  <c r="AE102" i="840" s="1"/>
  <c r="AB76" i="840"/>
  <c r="AC76" i="840" s="1"/>
  <c r="AE76" i="840" s="1"/>
  <c r="AJ76" i="840" s="1"/>
  <c r="AB9" i="840"/>
  <c r="AC9" i="840" s="1"/>
  <c r="AE9" i="840" s="1"/>
  <c r="AJ9" i="840" s="1"/>
  <c r="AB131" i="840"/>
  <c r="AC131" i="840" s="1"/>
  <c r="AE131" i="840" s="1"/>
  <c r="AH131" i="840" s="1"/>
  <c r="AB87" i="840"/>
  <c r="AC87" i="840" s="1"/>
  <c r="AE87" i="840" s="1"/>
  <c r="AJ87" i="840" s="1"/>
  <c r="AB99" i="840"/>
  <c r="AC99" i="840" s="1"/>
  <c r="AE99" i="840" s="1"/>
  <c r="AH99" i="840" s="1"/>
  <c r="AB117" i="840"/>
  <c r="AC117" i="840" s="1"/>
  <c r="AE117" i="840" s="1"/>
  <c r="AJ117" i="840" s="1"/>
  <c r="AB11" i="840"/>
  <c r="AC11" i="840" s="1"/>
  <c r="AE11" i="840" s="1"/>
  <c r="AJ11" i="840" s="1"/>
  <c r="AB17" i="840"/>
  <c r="AC17" i="840" s="1"/>
  <c r="AE17" i="840" s="1"/>
  <c r="AJ17" i="840" s="1"/>
  <c r="AB23" i="840"/>
  <c r="AC23" i="840" s="1"/>
  <c r="AE23" i="840" s="1"/>
  <c r="AJ23" i="840" s="1"/>
  <c r="AB31" i="840"/>
  <c r="AC31" i="840" s="1"/>
  <c r="AE31" i="840" s="1"/>
  <c r="AH31" i="840" s="1"/>
  <c r="AB69" i="840"/>
  <c r="AC69" i="840" s="1"/>
  <c r="AE69" i="840" s="1"/>
  <c r="AJ69" i="840" s="1"/>
  <c r="AB55" i="840"/>
  <c r="AC55" i="840" s="1"/>
  <c r="AE55" i="840" s="1"/>
  <c r="AH55" i="840" s="1"/>
  <c r="AB85" i="840"/>
  <c r="AC85" i="840" s="1"/>
  <c r="AE85" i="840" s="1"/>
  <c r="AJ85" i="840" s="1"/>
  <c r="AB125" i="840"/>
  <c r="AC125" i="840" s="1"/>
  <c r="AE125" i="840" s="1"/>
  <c r="AJ125" i="840" s="1"/>
  <c r="AB95" i="840"/>
  <c r="AC95" i="840" s="1"/>
  <c r="AE95" i="840" s="1"/>
  <c r="AJ95" i="840" s="1"/>
  <c r="AB66" i="840"/>
  <c r="AC66" i="840" s="1"/>
  <c r="AE66" i="840" s="1"/>
  <c r="AJ66" i="840" s="1"/>
  <c r="AB111" i="840"/>
  <c r="AC111" i="840" s="1"/>
  <c r="AE111" i="840" s="1"/>
  <c r="AH111" i="840" s="1"/>
  <c r="AB84" i="840"/>
  <c r="AC84" i="840" s="1"/>
  <c r="AE84" i="840" s="1"/>
  <c r="AH84" i="840" s="1"/>
  <c r="AB106" i="840"/>
  <c r="AC106" i="840" s="1"/>
  <c r="AE106" i="840" s="1"/>
  <c r="AJ106" i="840" s="1"/>
  <c r="AB92" i="840"/>
  <c r="AC92" i="840" s="1"/>
  <c r="AE92" i="840" s="1"/>
  <c r="AJ92" i="840" s="1"/>
  <c r="AB114" i="840"/>
  <c r="AC114" i="840" s="1"/>
  <c r="AE114" i="840" s="1"/>
  <c r="AH114" i="840" s="1"/>
  <c r="AB63" i="840"/>
  <c r="AC63" i="840" s="1"/>
  <c r="AE63" i="840" s="1"/>
  <c r="AJ63" i="840" s="1"/>
  <c r="AB51" i="840"/>
  <c r="AC51" i="840" s="1"/>
  <c r="AE51" i="840" s="1"/>
  <c r="AH51" i="840" s="1"/>
  <c r="AK51" i="840" s="1"/>
  <c r="AB13" i="840"/>
  <c r="AC13" i="840" s="1"/>
  <c r="AE13" i="840" s="1"/>
  <c r="AJ13" i="840" s="1"/>
  <c r="AB19" i="840"/>
  <c r="AC19" i="840" s="1"/>
  <c r="AE19" i="840" s="1"/>
  <c r="AJ19" i="840" s="1"/>
  <c r="AB27" i="840"/>
  <c r="AC27" i="840" s="1"/>
  <c r="AE27" i="840" s="1"/>
  <c r="AJ27" i="840" s="1"/>
  <c r="AB33" i="840"/>
  <c r="AC33" i="840" s="1"/>
  <c r="AE33" i="840" s="1"/>
  <c r="AJ33" i="840" s="1"/>
  <c r="AB41" i="840"/>
  <c r="AC41" i="840" s="1"/>
  <c r="AE41" i="840" s="1"/>
  <c r="AH41" i="840" s="1"/>
  <c r="AB122" i="840"/>
  <c r="AC122" i="840" s="1"/>
  <c r="AE122" i="840" s="1"/>
  <c r="AJ122" i="840" s="1"/>
  <c r="AB35" i="840"/>
  <c r="AC35" i="840" s="1"/>
  <c r="AE35" i="840" s="1"/>
  <c r="AJ35" i="840" s="1"/>
  <c r="AB52" i="840"/>
  <c r="AC52" i="840" s="1"/>
  <c r="AE52" i="840" s="1"/>
  <c r="AJ52" i="840" s="1"/>
  <c r="AB115" i="840"/>
  <c r="AC115" i="840" s="1"/>
  <c r="AE115" i="840" s="1"/>
  <c r="AJ115" i="840" s="1"/>
  <c r="AB124" i="840"/>
  <c r="AC124" i="840" s="1"/>
  <c r="AE124" i="840" s="1"/>
  <c r="AH124" i="840" s="1"/>
  <c r="AB81" i="840"/>
  <c r="AC81" i="840" s="1"/>
  <c r="AE81" i="840" s="1"/>
  <c r="AJ81" i="840" s="1"/>
  <c r="AB45" i="840"/>
  <c r="AC45" i="840" s="1"/>
  <c r="AE45" i="840" s="1"/>
  <c r="AH45" i="840" s="1"/>
  <c r="AB121" i="840"/>
  <c r="AC121" i="840" s="1"/>
  <c r="AE121" i="840" s="1"/>
  <c r="AB86" i="840"/>
  <c r="AC86" i="840" s="1"/>
  <c r="AE86" i="840" s="1"/>
  <c r="AJ86" i="840" s="1"/>
  <c r="AB101" i="840"/>
  <c r="AC101" i="840" s="1"/>
  <c r="AE101" i="840" s="1"/>
  <c r="AH101" i="840" s="1"/>
  <c r="AB119" i="840"/>
  <c r="AC119" i="840" s="1"/>
  <c r="AE119" i="840" s="1"/>
  <c r="AJ119" i="840" s="1"/>
  <c r="AH121" i="840"/>
  <c r="AL121" i="840" s="1"/>
  <c r="AB61" i="840"/>
  <c r="AC61" i="840" s="1"/>
  <c r="AE61" i="840" s="1"/>
  <c r="AJ61" i="840" s="1"/>
  <c r="AB75" i="840"/>
  <c r="AC75" i="840" s="1"/>
  <c r="AE75" i="840" s="1"/>
  <c r="AJ75" i="840" s="1"/>
  <c r="AB82" i="840"/>
  <c r="AC82" i="840" s="1"/>
  <c r="AE82" i="840" s="1"/>
  <c r="AJ82" i="840" s="1"/>
  <c r="AB96" i="840"/>
  <c r="AC96" i="840" s="1"/>
  <c r="AE96" i="840" s="1"/>
  <c r="AJ96" i="840" s="1"/>
  <c r="AB110" i="840"/>
  <c r="AC110" i="840" s="1"/>
  <c r="AE110" i="840" s="1"/>
  <c r="AH110" i="840" s="1"/>
  <c r="AB113" i="840"/>
  <c r="AC113" i="840" s="1"/>
  <c r="AE113" i="840" s="1"/>
  <c r="AJ113" i="840" s="1"/>
  <c r="AB116" i="840"/>
  <c r="AC116" i="840" s="1"/>
  <c r="AE116" i="840" s="1"/>
  <c r="AH116" i="840" s="1"/>
  <c r="AB47" i="840"/>
  <c r="AC47" i="840" s="1"/>
  <c r="AE47" i="840" s="1"/>
  <c r="AJ47" i="840" s="1"/>
  <c r="AB54" i="840"/>
  <c r="AC54" i="840" s="1"/>
  <c r="AE54" i="840" s="1"/>
  <c r="AJ54" i="840" s="1"/>
  <c r="AB89" i="840"/>
  <c r="AC89" i="840" s="1"/>
  <c r="AE89" i="840" s="1"/>
  <c r="AJ89" i="840" s="1"/>
  <c r="AB103" i="840"/>
  <c r="AC103" i="840" s="1"/>
  <c r="AE103" i="840" s="1"/>
  <c r="AJ103" i="840" s="1"/>
  <c r="AB21" i="840"/>
  <c r="AC21" i="840" s="1"/>
  <c r="AE21" i="840" s="1"/>
  <c r="AJ21" i="840" s="1"/>
  <c r="AB44" i="840"/>
  <c r="AC44" i="840" s="1"/>
  <c r="AE44" i="840" s="1"/>
  <c r="AJ44" i="840" s="1"/>
  <c r="AB72" i="840"/>
  <c r="AC72" i="840" s="1"/>
  <c r="AE72" i="840" s="1"/>
  <c r="AJ72" i="840" s="1"/>
  <c r="AB79" i="840"/>
  <c r="AC79" i="840" s="1"/>
  <c r="AE79" i="840" s="1"/>
  <c r="AJ79" i="840" s="1"/>
  <c r="AB100" i="840"/>
  <c r="AC100" i="840" s="1"/>
  <c r="AE100" i="840" s="1"/>
  <c r="AJ100" i="840" s="1"/>
  <c r="AB43" i="840"/>
  <c r="AC43" i="840" s="1"/>
  <c r="AE43" i="840" s="1"/>
  <c r="AJ43" i="840" s="1"/>
  <c r="AB73" i="840"/>
  <c r="AC73" i="840" s="1"/>
  <c r="AE73" i="840" s="1"/>
  <c r="AJ73" i="840" s="1"/>
  <c r="AB83" i="840"/>
  <c r="AC83" i="840" s="1"/>
  <c r="AE83" i="840" s="1"/>
  <c r="AH83" i="840" s="1"/>
  <c r="AB93" i="840"/>
  <c r="AC93" i="840" s="1"/>
  <c r="AE93" i="840" s="1"/>
  <c r="AJ93" i="840" s="1"/>
  <c r="AB37" i="840"/>
  <c r="AC37" i="840" s="1"/>
  <c r="AE37" i="840" s="1"/>
  <c r="AJ37" i="840" s="1"/>
  <c r="AB60" i="840"/>
  <c r="AC60" i="840" s="1"/>
  <c r="AE60" i="840" s="1"/>
  <c r="AJ60" i="840" s="1"/>
  <c r="AB70" i="840"/>
  <c r="AC70" i="840" s="1"/>
  <c r="AE70" i="840" s="1"/>
  <c r="AH70" i="840" s="1"/>
  <c r="AB80" i="840"/>
  <c r="AC80" i="840" s="1"/>
  <c r="AE80" i="840" s="1"/>
  <c r="AJ80" i="840" s="1"/>
  <c r="AB133" i="840"/>
  <c r="AC133" i="840" s="1"/>
  <c r="AE133" i="840" s="1"/>
  <c r="AH133" i="840" s="1"/>
  <c r="AB50" i="840"/>
  <c r="AC50" i="840" s="1"/>
  <c r="AE50" i="840" s="1"/>
  <c r="AJ50" i="840" s="1"/>
  <c r="AB53" i="840"/>
  <c r="AC53" i="840" s="1"/>
  <c r="AE53" i="840" s="1"/>
  <c r="AH53" i="840" s="1"/>
  <c r="AB90" i="840"/>
  <c r="AC90" i="840" s="1"/>
  <c r="AE90" i="840" s="1"/>
  <c r="AJ90" i="840" s="1"/>
  <c r="AB107" i="840"/>
  <c r="AC107" i="840" s="1"/>
  <c r="AE107" i="840" s="1"/>
  <c r="AJ107" i="840" s="1"/>
  <c r="AJ104" i="840"/>
  <c r="AB130" i="840"/>
  <c r="AC130" i="840" s="1"/>
  <c r="AE130" i="840" s="1"/>
  <c r="AJ130" i="840" s="1"/>
  <c r="AB67" i="840"/>
  <c r="AC67" i="840" s="1"/>
  <c r="AE67" i="840" s="1"/>
  <c r="AJ67" i="840" s="1"/>
  <c r="AB77" i="840"/>
  <c r="AC77" i="840" s="1"/>
  <c r="AE77" i="840" s="1"/>
  <c r="AH77" i="840" s="1"/>
  <c r="AJ109" i="840"/>
  <c r="AH109" i="840"/>
  <c r="AJ102" i="840"/>
  <c r="AH102" i="840"/>
  <c r="AH104" i="840"/>
  <c r="AJ46" i="840"/>
  <c r="AJ64" i="840"/>
  <c r="AH64" i="840"/>
  <c r="AJ121" i="840"/>
  <c r="AB128" i="840"/>
  <c r="AC128" i="840" s="1"/>
  <c r="AE128" i="840" s="1"/>
  <c r="AJ128" i="840" s="1"/>
  <c r="AB118" i="840"/>
  <c r="AC118" i="840" s="1"/>
  <c r="AE118" i="840" s="1"/>
  <c r="AH118" i="840" s="1"/>
  <c r="AB108" i="840"/>
  <c r="AC108" i="840" s="1"/>
  <c r="AE108" i="840" s="1"/>
  <c r="AH108" i="840" s="1"/>
  <c r="AB98" i="840"/>
  <c r="AC98" i="840" s="1"/>
  <c r="AE98" i="840" s="1"/>
  <c r="AH98" i="840" s="1"/>
  <c r="AB88" i="840"/>
  <c r="AC88" i="840" s="1"/>
  <c r="AE88" i="840" s="1"/>
  <c r="AB78" i="840"/>
  <c r="AC78" i="840" s="1"/>
  <c r="AE78" i="840" s="1"/>
  <c r="AB68" i="840"/>
  <c r="AC68" i="840" s="1"/>
  <c r="AE68" i="840" s="1"/>
  <c r="AB58" i="840"/>
  <c r="AC58" i="840" s="1"/>
  <c r="AE58" i="840" s="1"/>
  <c r="AJ58" i="840" s="1"/>
  <c r="AB48" i="840"/>
  <c r="AC48" i="840" s="1"/>
  <c r="AE48" i="840" s="1"/>
  <c r="AH48" i="840" s="1"/>
  <c r="AB5" i="840"/>
  <c r="AC5" i="840" s="1"/>
  <c r="AE5" i="840" s="1"/>
  <c r="AJ5" i="840" s="1"/>
  <c r="AB29" i="840"/>
  <c r="AC29" i="840" s="1"/>
  <c r="AE29" i="840" s="1"/>
  <c r="AH29" i="840" s="1"/>
  <c r="AB56" i="840"/>
  <c r="AC56" i="840" s="1"/>
  <c r="AE56" i="840" s="1"/>
  <c r="AJ56" i="840" s="1"/>
  <c r="AB59" i="840"/>
  <c r="AC59" i="840" s="1"/>
  <c r="AE59" i="840" s="1"/>
  <c r="AJ59" i="840" s="1"/>
  <c r="AB71" i="840"/>
  <c r="AC71" i="840" s="1"/>
  <c r="AE71" i="840" s="1"/>
  <c r="AJ71" i="840" s="1"/>
  <c r="AB74" i="840"/>
  <c r="AC74" i="840" s="1"/>
  <c r="AE74" i="840" s="1"/>
  <c r="AJ74" i="840" s="1"/>
  <c r="AB129" i="840"/>
  <c r="AC129" i="840" s="1"/>
  <c r="AE129" i="840" s="1"/>
  <c r="AJ129" i="840" s="1"/>
  <c r="AB132" i="840"/>
  <c r="AC132" i="840" s="1"/>
  <c r="AE132" i="840" s="1"/>
  <c r="AJ132" i="840" s="1"/>
  <c r="AB7" i="840"/>
  <c r="AC7" i="840" s="1"/>
  <c r="AE7" i="840" s="1"/>
  <c r="AJ7" i="840" s="1"/>
  <c r="AB15" i="840"/>
  <c r="AC15" i="840" s="1"/>
  <c r="AE15" i="840" s="1"/>
  <c r="AJ15" i="840" s="1"/>
  <c r="AB62" i="840"/>
  <c r="AC62" i="840" s="1"/>
  <c r="AE62" i="840" s="1"/>
  <c r="AJ62" i="840" s="1"/>
  <c r="AB97" i="840"/>
  <c r="AC97" i="840" s="1"/>
  <c r="AE97" i="840" s="1"/>
  <c r="AB120" i="840"/>
  <c r="AC120" i="840" s="1"/>
  <c r="AE120" i="840" s="1"/>
  <c r="AJ120" i="840" s="1"/>
  <c r="AB123" i="840"/>
  <c r="AC123" i="840" s="1"/>
  <c r="AE123" i="840" s="1"/>
  <c r="AB126" i="840"/>
  <c r="AC126" i="840" s="1"/>
  <c r="AE126" i="840" s="1"/>
  <c r="AH126" i="840" s="1"/>
  <c r="AB65" i="840"/>
  <c r="AC65" i="840" s="1"/>
  <c r="AE65" i="840" s="1"/>
  <c r="AJ65" i="840" s="1"/>
  <c r="AB91" i="840"/>
  <c r="AC91" i="840" s="1"/>
  <c r="AE91" i="840" s="1"/>
  <c r="AB94" i="840"/>
  <c r="AC94" i="840" s="1"/>
  <c r="AE94" i="840" s="1"/>
  <c r="AJ94" i="840" s="1"/>
  <c r="N14" i="839"/>
  <c r="AH95" i="840" l="1"/>
  <c r="AJ124" i="840"/>
  <c r="AJ105" i="840"/>
  <c r="AH81" i="840"/>
  <c r="AH66" i="840"/>
  <c r="AH61" i="840"/>
  <c r="AL61" i="840" s="1"/>
  <c r="AH125" i="840"/>
  <c r="AL125" i="840" s="1"/>
  <c r="AH52" i="840"/>
  <c r="AJ116" i="840"/>
  <c r="AJ41" i="840"/>
  <c r="AH85" i="840"/>
  <c r="AJ127" i="840"/>
  <c r="AH115" i="840"/>
  <c r="AL115" i="840" s="1"/>
  <c r="AJ51" i="840"/>
  <c r="AJ31" i="840"/>
  <c r="AH39" i="840"/>
  <c r="AK39" i="840" s="1"/>
  <c r="AH37" i="840"/>
  <c r="AL37" i="840" s="1"/>
  <c r="AH35" i="840"/>
  <c r="AL35" i="840" s="1"/>
  <c r="AH33" i="840"/>
  <c r="AK33" i="840" s="1"/>
  <c r="AH23" i="840"/>
  <c r="AK23" i="840" s="1"/>
  <c r="AH17" i="840"/>
  <c r="AK17" i="840" s="1"/>
  <c r="AH11" i="840"/>
  <c r="AH117" i="840"/>
  <c r="AL117" i="840" s="1"/>
  <c r="AH130" i="840"/>
  <c r="AL130" i="840" s="1"/>
  <c r="AJ131" i="840"/>
  <c r="AH49" i="840"/>
  <c r="AK49" i="840" s="1"/>
  <c r="AJ99" i="840"/>
  <c r="AH13" i="840"/>
  <c r="AK13" i="840" s="1"/>
  <c r="AH76" i="840"/>
  <c r="AH67" i="840"/>
  <c r="AL67" i="840" s="1"/>
  <c r="AJ42" i="840"/>
  <c r="AH27" i="840"/>
  <c r="AK27" i="840" s="1"/>
  <c r="AH87" i="840"/>
  <c r="AL87" i="840" s="1"/>
  <c r="AJ48" i="840"/>
  <c r="AH19" i="840"/>
  <c r="AL19" i="840" s="1"/>
  <c r="AH9" i="840"/>
  <c r="AL9" i="840" s="1"/>
  <c r="AH86" i="840"/>
  <c r="AK86" i="840" s="1"/>
  <c r="AH119" i="840"/>
  <c r="AL119" i="840" s="1"/>
  <c r="AJ114" i="840"/>
  <c r="AK121" i="840"/>
  <c r="AH57" i="840"/>
  <c r="AL57" i="840" s="1"/>
  <c r="AH25" i="840"/>
  <c r="AJ25" i="840"/>
  <c r="AJ101" i="840"/>
  <c r="AH79" i="840"/>
  <c r="AK79" i="840" s="1"/>
  <c r="AH112" i="840"/>
  <c r="AL112" i="840" s="1"/>
  <c r="AL31" i="840"/>
  <c r="AK31" i="840"/>
  <c r="AH113" i="840"/>
  <c r="AK113" i="840" s="1"/>
  <c r="AH63" i="840"/>
  <c r="AL63" i="840" s="1"/>
  <c r="AJ84" i="840"/>
  <c r="AH5" i="840"/>
  <c r="AL5" i="840" s="1"/>
  <c r="AH92" i="840"/>
  <c r="AK92" i="840" s="1"/>
  <c r="AJ111" i="840"/>
  <c r="AJ110" i="840"/>
  <c r="AJ55" i="840"/>
  <c r="AH106" i="840"/>
  <c r="AL106" i="840" s="1"/>
  <c r="AH82" i="840"/>
  <c r="AL82" i="840" s="1"/>
  <c r="AL51" i="840"/>
  <c r="AJ45" i="840"/>
  <c r="AH100" i="840"/>
  <c r="AL100" i="840" s="1"/>
  <c r="AH69" i="840"/>
  <c r="AK69" i="840" s="1"/>
  <c r="AH96" i="840"/>
  <c r="AL96" i="840" s="1"/>
  <c r="AH122" i="840"/>
  <c r="AK122" i="840" s="1"/>
  <c r="AH73" i="840"/>
  <c r="AL73" i="840" s="1"/>
  <c r="AH58" i="840"/>
  <c r="AL58" i="840" s="1"/>
  <c r="AJ126" i="840"/>
  <c r="AJ108" i="840"/>
  <c r="AJ98" i="840"/>
  <c r="AH72" i="840"/>
  <c r="AK72" i="840" s="1"/>
  <c r="AH47" i="840"/>
  <c r="AK47" i="840" s="1"/>
  <c r="AJ77" i="840"/>
  <c r="AH103" i="840"/>
  <c r="AL103" i="840" s="1"/>
  <c r="AH21" i="840"/>
  <c r="AK21" i="840" s="1"/>
  <c r="AH89" i="840"/>
  <c r="AH75" i="840"/>
  <c r="AL75" i="840" s="1"/>
  <c r="AH129" i="840"/>
  <c r="AL129" i="840" s="1"/>
  <c r="AJ83" i="840"/>
  <c r="AH44" i="840"/>
  <c r="AL44" i="840" s="1"/>
  <c r="AH54" i="840"/>
  <c r="AL54" i="840" s="1"/>
  <c r="AH65" i="840"/>
  <c r="AL65" i="840" s="1"/>
  <c r="AH120" i="840"/>
  <c r="AL120" i="840" s="1"/>
  <c r="AH90" i="840"/>
  <c r="AK90" i="840" s="1"/>
  <c r="AH50" i="840"/>
  <c r="AK50" i="840" s="1"/>
  <c r="AJ133" i="840"/>
  <c r="AH93" i="840"/>
  <c r="AK93" i="840" s="1"/>
  <c r="AJ70" i="840"/>
  <c r="AJ53" i="840"/>
  <c r="AH107" i="840"/>
  <c r="AK107" i="840" s="1"/>
  <c r="AH80" i="840"/>
  <c r="AK80" i="840" s="1"/>
  <c r="AH60" i="840"/>
  <c r="AK60" i="840" s="1"/>
  <c r="AH132" i="840"/>
  <c r="AL132" i="840" s="1"/>
  <c r="AH94" i="840"/>
  <c r="AK94" i="840" s="1"/>
  <c r="AH43" i="840"/>
  <c r="AL43" i="840" s="1"/>
  <c r="AL118" i="840"/>
  <c r="AK118" i="840"/>
  <c r="AL29" i="840"/>
  <c r="AK29" i="840"/>
  <c r="AL48" i="840"/>
  <c r="AK48" i="840"/>
  <c r="AK5" i="840"/>
  <c r="AL109" i="840"/>
  <c r="AK109" i="840"/>
  <c r="AL89" i="840"/>
  <c r="AK89" i="840"/>
  <c r="AH15" i="840"/>
  <c r="AL110" i="840"/>
  <c r="AK110" i="840"/>
  <c r="AH128" i="840"/>
  <c r="AL101" i="840"/>
  <c r="AK101" i="840"/>
  <c r="AL66" i="840"/>
  <c r="AK66" i="840"/>
  <c r="AJ118" i="840"/>
  <c r="AL52" i="840"/>
  <c r="AK52" i="840"/>
  <c r="AL85" i="840"/>
  <c r="AK85" i="840"/>
  <c r="AK64" i="840"/>
  <c r="AL64" i="840"/>
  <c r="AL81" i="840"/>
  <c r="AK81" i="840"/>
  <c r="AH7" i="840"/>
  <c r="AL77" i="840"/>
  <c r="AK77" i="840"/>
  <c r="AL126" i="840"/>
  <c r="AK126" i="840"/>
  <c r="AL95" i="840"/>
  <c r="AK95" i="840"/>
  <c r="AK117" i="840"/>
  <c r="AL53" i="840"/>
  <c r="AK53" i="840"/>
  <c r="AH74" i="840"/>
  <c r="AL108" i="840"/>
  <c r="AK108" i="840"/>
  <c r="AL45" i="840"/>
  <c r="AK45" i="840"/>
  <c r="AL98" i="840"/>
  <c r="AK98" i="840"/>
  <c r="AL46" i="840"/>
  <c r="AK46" i="840"/>
  <c r="AL124" i="840"/>
  <c r="AK124" i="840"/>
  <c r="AJ29" i="840"/>
  <c r="AH62" i="840"/>
  <c r="AL55" i="840"/>
  <c r="AK55" i="840"/>
  <c r="AK41" i="840"/>
  <c r="AL41" i="840"/>
  <c r="AL111" i="840"/>
  <c r="AK111" i="840"/>
  <c r="AL133" i="840"/>
  <c r="AK133" i="840"/>
  <c r="AL105" i="840"/>
  <c r="AK105" i="840"/>
  <c r="AL104" i="840"/>
  <c r="AK104" i="840"/>
  <c r="AK96" i="840"/>
  <c r="AL99" i="840"/>
  <c r="AK99" i="840"/>
  <c r="AL127" i="840"/>
  <c r="AK127" i="840"/>
  <c r="AJ91" i="840"/>
  <c r="AH91" i="840"/>
  <c r="AL102" i="840"/>
  <c r="AK102" i="840"/>
  <c r="AJ68" i="840"/>
  <c r="AH68" i="840"/>
  <c r="AL131" i="840"/>
  <c r="AK131" i="840"/>
  <c r="AL114" i="840"/>
  <c r="AK114" i="840"/>
  <c r="AH59" i="840"/>
  <c r="AL11" i="840"/>
  <c r="AK11" i="840"/>
  <c r="AJ78" i="840"/>
  <c r="AH78" i="840"/>
  <c r="AL70" i="840"/>
  <c r="AK70" i="840"/>
  <c r="AJ123" i="840"/>
  <c r="AH123" i="840"/>
  <c r="AJ88" i="840"/>
  <c r="AH88" i="840"/>
  <c r="AK83" i="840"/>
  <c r="AL83" i="840"/>
  <c r="AL42" i="840"/>
  <c r="AK42" i="840"/>
  <c r="AL116" i="840"/>
  <c r="AK116" i="840"/>
  <c r="AL84" i="840"/>
  <c r="AK84" i="840"/>
  <c r="AJ97" i="840"/>
  <c r="AH97" i="840"/>
  <c r="AH56" i="840"/>
  <c r="AH71" i="840"/>
  <c r="AF11" i="839"/>
  <c r="AL107" i="840" l="1"/>
  <c r="AL47" i="840"/>
  <c r="AK67" i="840"/>
  <c r="AL72" i="840"/>
  <c r="AK112" i="840"/>
  <c r="AL113" i="840"/>
  <c r="AK125" i="840"/>
  <c r="AK63" i="840"/>
  <c r="AK130" i="840"/>
  <c r="AL93" i="840"/>
  <c r="AL39" i="840"/>
  <c r="AL79" i="840"/>
  <c r="AK82" i="840"/>
  <c r="AK58" i="840"/>
  <c r="AK61" i="840"/>
  <c r="AK115" i="840"/>
  <c r="AK37" i="840"/>
  <c r="AL33" i="840"/>
  <c r="AK35" i="840"/>
  <c r="AL17" i="840"/>
  <c r="AL23" i="840"/>
  <c r="AK119" i="840"/>
  <c r="AK19" i="840"/>
  <c r="AK57" i="840"/>
  <c r="AK103" i="840"/>
  <c r="AL76" i="840"/>
  <c r="AK76" i="840"/>
  <c r="AK9" i="840"/>
  <c r="AL21" i="840"/>
  <c r="AL49" i="840"/>
  <c r="AK87" i="840"/>
  <c r="AL13" i="840"/>
  <c r="AL94" i="840"/>
  <c r="AL86" i="840"/>
  <c r="AL27" i="840"/>
  <c r="AL25" i="840"/>
  <c r="AK25" i="840"/>
  <c r="AK100" i="840"/>
  <c r="AK106" i="840"/>
  <c r="AL69" i="840"/>
  <c r="AK73" i="840"/>
  <c r="AL122" i="840"/>
  <c r="AL92" i="840"/>
  <c r="AK65" i="840"/>
  <c r="AK44" i="840"/>
  <c r="AK129" i="840"/>
  <c r="AL90" i="840"/>
  <c r="AL50" i="840"/>
  <c r="AK75" i="840"/>
  <c r="AK120" i="840"/>
  <c r="AK54" i="840"/>
  <c r="AL60" i="840"/>
  <c r="AL80" i="840"/>
  <c r="AK132" i="840"/>
  <c r="AK43" i="840"/>
  <c r="AL128" i="840"/>
  <c r="AK128" i="840"/>
  <c r="AL78" i="840"/>
  <c r="AK78" i="840"/>
  <c r="AL91" i="840"/>
  <c r="AK91" i="840"/>
  <c r="AL74" i="840"/>
  <c r="AK74" i="840"/>
  <c r="AL71" i="840"/>
  <c r="AK71" i="840"/>
  <c r="AL59" i="840"/>
  <c r="AK59" i="840"/>
  <c r="AL15" i="840"/>
  <c r="AK15" i="840"/>
  <c r="AL56" i="840"/>
  <c r="AK56" i="840"/>
  <c r="AL97" i="840"/>
  <c r="AK97" i="840"/>
  <c r="AK88" i="840"/>
  <c r="AL88" i="840"/>
  <c r="AL62" i="840"/>
  <c r="AK62" i="840"/>
  <c r="AL123" i="840"/>
  <c r="AK123" i="840"/>
  <c r="AL68" i="840"/>
  <c r="AK68" i="840"/>
  <c r="AK7" i="840"/>
  <c r="AL7" i="840"/>
  <c r="N12" i="839"/>
  <c r="AX136" i="839"/>
  <c r="AW136" i="839"/>
  <c r="AO136" i="839"/>
  <c r="AN136" i="839"/>
  <c r="V136" i="839"/>
  <c r="U136" i="839"/>
  <c r="N136" i="839"/>
  <c r="AX135" i="839"/>
  <c r="AW135" i="839"/>
  <c r="AN135" i="839"/>
  <c r="AO135" i="839" s="1"/>
  <c r="U135" i="839"/>
  <c r="V135" i="839" s="1"/>
  <c r="N135" i="839"/>
  <c r="AX134" i="839"/>
  <c r="AW134" i="839"/>
  <c r="AN134" i="839"/>
  <c r="AO134" i="839" s="1"/>
  <c r="U134" i="839"/>
  <c r="V134" i="839" s="1"/>
  <c r="N134" i="839"/>
  <c r="AX133" i="839"/>
  <c r="AW133" i="839"/>
  <c r="AO133" i="839"/>
  <c r="AN133" i="839"/>
  <c r="U133" i="839"/>
  <c r="V133" i="839" s="1"/>
  <c r="N133" i="839"/>
  <c r="AX132" i="839"/>
  <c r="AW132" i="839"/>
  <c r="AN132" i="839"/>
  <c r="AO132" i="839" s="1"/>
  <c r="U132" i="839"/>
  <c r="V132" i="839" s="1"/>
  <c r="N132" i="839"/>
  <c r="AX131" i="839"/>
  <c r="AW131" i="839"/>
  <c r="AO131" i="839"/>
  <c r="AN131" i="839"/>
  <c r="U131" i="839"/>
  <c r="V131" i="839" s="1"/>
  <c r="N131" i="839"/>
  <c r="AX130" i="839"/>
  <c r="AW130" i="839"/>
  <c r="AO130" i="839"/>
  <c r="AN130" i="839"/>
  <c r="V130" i="839"/>
  <c r="U130" i="839"/>
  <c r="N130" i="839"/>
  <c r="AX129" i="839"/>
  <c r="AW129" i="839"/>
  <c r="AO129" i="839"/>
  <c r="AN129" i="839"/>
  <c r="U129" i="839"/>
  <c r="V129" i="839" s="1"/>
  <c r="N129" i="839"/>
  <c r="AX128" i="839"/>
  <c r="AW128" i="839"/>
  <c r="AN128" i="839"/>
  <c r="AO128" i="839" s="1"/>
  <c r="V128" i="839"/>
  <c r="U128" i="839"/>
  <c r="N128" i="839"/>
  <c r="AX127" i="839"/>
  <c r="AW127" i="839"/>
  <c r="AO127" i="839"/>
  <c r="AN127" i="839"/>
  <c r="V127" i="839"/>
  <c r="U127" i="839"/>
  <c r="N127" i="839"/>
  <c r="AX126" i="839"/>
  <c r="AW126" i="839"/>
  <c r="AN126" i="839"/>
  <c r="AO126" i="839" s="1"/>
  <c r="U126" i="839"/>
  <c r="V126" i="839" s="1"/>
  <c r="N126" i="839"/>
  <c r="AX125" i="839"/>
  <c r="AW125" i="839"/>
  <c r="AN125" i="839"/>
  <c r="AO125" i="839" s="1"/>
  <c r="U125" i="839"/>
  <c r="V125" i="839" s="1"/>
  <c r="N125" i="839"/>
  <c r="AX124" i="839"/>
  <c r="AW124" i="839"/>
  <c r="AN124" i="839"/>
  <c r="AO124" i="839" s="1"/>
  <c r="U124" i="839"/>
  <c r="V124" i="839" s="1"/>
  <c r="N124" i="839"/>
  <c r="AX123" i="839"/>
  <c r="AW123" i="839"/>
  <c r="AO123" i="839"/>
  <c r="AN123" i="839"/>
  <c r="V123" i="839"/>
  <c r="U123" i="839"/>
  <c r="N123" i="839"/>
  <c r="AX122" i="839"/>
  <c r="AW122" i="839"/>
  <c r="AN122" i="839"/>
  <c r="AO122" i="839" s="1"/>
  <c r="U122" i="839"/>
  <c r="V122" i="839" s="1"/>
  <c r="N122" i="839"/>
  <c r="AX121" i="839"/>
  <c r="AW121" i="839"/>
  <c r="AN121" i="839"/>
  <c r="AO121" i="839" s="1"/>
  <c r="U121" i="839"/>
  <c r="V121" i="839" s="1"/>
  <c r="N121" i="839"/>
  <c r="AX120" i="839"/>
  <c r="AW120" i="839"/>
  <c r="AO120" i="839"/>
  <c r="AN120" i="839"/>
  <c r="U120" i="839"/>
  <c r="V120" i="839" s="1"/>
  <c r="N120" i="839"/>
  <c r="AX119" i="839"/>
  <c r="AW119" i="839"/>
  <c r="AO119" i="839"/>
  <c r="AN119" i="839"/>
  <c r="U119" i="839"/>
  <c r="V119" i="839" s="1"/>
  <c r="N119" i="839"/>
  <c r="AX118" i="839"/>
  <c r="AW118" i="839"/>
  <c r="AN118" i="839"/>
  <c r="AO118" i="839" s="1"/>
  <c r="U118" i="839"/>
  <c r="V118" i="839" s="1"/>
  <c r="N118" i="839"/>
  <c r="AX117" i="839"/>
  <c r="AW117" i="839"/>
  <c r="AO117" i="839"/>
  <c r="AN117" i="839"/>
  <c r="U117" i="839"/>
  <c r="V117" i="839" s="1"/>
  <c r="N117" i="839"/>
  <c r="AX116" i="839"/>
  <c r="AW116" i="839"/>
  <c r="AN116" i="839"/>
  <c r="AO116" i="839" s="1"/>
  <c r="V116" i="839"/>
  <c r="U116" i="839"/>
  <c r="N116" i="839"/>
  <c r="AX115" i="839"/>
  <c r="AW115" i="839"/>
  <c r="AO115" i="839"/>
  <c r="AN115" i="839"/>
  <c r="V115" i="839"/>
  <c r="U115" i="839"/>
  <c r="N115" i="839"/>
  <c r="AX114" i="839"/>
  <c r="AW114" i="839"/>
  <c r="AN114" i="839"/>
  <c r="AO114" i="839" s="1"/>
  <c r="V114" i="839"/>
  <c r="U114" i="839"/>
  <c r="N114" i="839"/>
  <c r="AX113" i="839"/>
  <c r="AW113" i="839"/>
  <c r="AN113" i="839"/>
  <c r="AO113" i="839" s="1"/>
  <c r="V113" i="839"/>
  <c r="U113" i="839"/>
  <c r="N113" i="839"/>
  <c r="AX112" i="839"/>
  <c r="AW112" i="839"/>
  <c r="AO112" i="839"/>
  <c r="AN112" i="839"/>
  <c r="U112" i="839"/>
  <c r="V112" i="839" s="1"/>
  <c r="N112" i="839"/>
  <c r="AX111" i="839"/>
  <c r="AW111" i="839"/>
  <c r="AN111" i="839"/>
  <c r="AO111" i="839" s="1"/>
  <c r="U111" i="839"/>
  <c r="V111" i="839" s="1"/>
  <c r="N111" i="839"/>
  <c r="AX110" i="839"/>
  <c r="AW110" i="839"/>
  <c r="AO110" i="839"/>
  <c r="AN110" i="839"/>
  <c r="U110" i="839"/>
  <c r="V110" i="839" s="1"/>
  <c r="N110" i="839"/>
  <c r="AX109" i="839"/>
  <c r="AW109" i="839"/>
  <c r="AN109" i="839"/>
  <c r="AO109" i="839" s="1"/>
  <c r="U109" i="839"/>
  <c r="V109" i="839" s="1"/>
  <c r="N109" i="839"/>
  <c r="AX108" i="839"/>
  <c r="AW108" i="839"/>
  <c r="AN108" i="839"/>
  <c r="AO108" i="839" s="1"/>
  <c r="V108" i="839"/>
  <c r="U108" i="839"/>
  <c r="N108" i="839"/>
  <c r="AX107" i="839"/>
  <c r="AW107" i="839"/>
  <c r="AO107" i="839"/>
  <c r="AN107" i="839"/>
  <c r="U107" i="839"/>
  <c r="V107" i="839" s="1"/>
  <c r="N107" i="839"/>
  <c r="AX106" i="839"/>
  <c r="AW106" i="839"/>
  <c r="AN106" i="839"/>
  <c r="AO106" i="839" s="1"/>
  <c r="U106" i="839"/>
  <c r="V106" i="839" s="1"/>
  <c r="N106" i="839"/>
  <c r="AX105" i="839"/>
  <c r="AW105" i="839"/>
  <c r="AN105" i="839"/>
  <c r="AO105" i="839" s="1"/>
  <c r="V105" i="839"/>
  <c r="U105" i="839"/>
  <c r="N105" i="839"/>
  <c r="AX104" i="839"/>
  <c r="AW104" i="839"/>
  <c r="AN104" i="839"/>
  <c r="AO104" i="839" s="1"/>
  <c r="U104" i="839"/>
  <c r="V104" i="839" s="1"/>
  <c r="N104" i="839"/>
  <c r="AX103" i="839"/>
  <c r="AW103" i="839"/>
  <c r="AN103" i="839"/>
  <c r="AO103" i="839" s="1"/>
  <c r="U103" i="839"/>
  <c r="V103" i="839" s="1"/>
  <c r="N103" i="839"/>
  <c r="AX102" i="839"/>
  <c r="AW102" i="839"/>
  <c r="AO102" i="839"/>
  <c r="AN102" i="839"/>
  <c r="U102" i="839"/>
  <c r="V102" i="839" s="1"/>
  <c r="N102" i="839"/>
  <c r="AX101" i="839"/>
  <c r="AW101" i="839"/>
  <c r="AO101" i="839"/>
  <c r="AN101" i="839"/>
  <c r="V101" i="839"/>
  <c r="U101" i="839"/>
  <c r="N101" i="839"/>
  <c r="AX100" i="839"/>
  <c r="AW100" i="839"/>
  <c r="AO100" i="839"/>
  <c r="AN100" i="839"/>
  <c r="U100" i="839"/>
  <c r="V100" i="839" s="1"/>
  <c r="N100" i="839"/>
  <c r="AX99" i="839"/>
  <c r="AW99" i="839"/>
  <c r="AO99" i="839"/>
  <c r="AN99" i="839"/>
  <c r="U99" i="839"/>
  <c r="V99" i="839" s="1"/>
  <c r="N99" i="839"/>
  <c r="AX98" i="839"/>
  <c r="AW98" i="839"/>
  <c r="AO98" i="839"/>
  <c r="AN98" i="839"/>
  <c r="V98" i="839"/>
  <c r="U98" i="839"/>
  <c r="N98" i="839"/>
  <c r="AX97" i="839"/>
  <c r="AW97" i="839"/>
  <c r="AO97" i="839"/>
  <c r="AN97" i="839"/>
  <c r="V97" i="839"/>
  <c r="U97" i="839"/>
  <c r="N97" i="839"/>
  <c r="AX96" i="839"/>
  <c r="AW96" i="839"/>
  <c r="AN96" i="839"/>
  <c r="AO96" i="839" s="1"/>
  <c r="V96" i="839"/>
  <c r="U96" i="839"/>
  <c r="N96" i="839"/>
  <c r="AX95" i="839"/>
  <c r="AW95" i="839"/>
  <c r="AN95" i="839"/>
  <c r="AO95" i="839" s="1"/>
  <c r="U95" i="839"/>
  <c r="V95" i="839" s="1"/>
  <c r="N95" i="839"/>
  <c r="AX94" i="839"/>
  <c r="AW94" i="839"/>
  <c r="AN94" i="839"/>
  <c r="AO94" i="839" s="1"/>
  <c r="V94" i="839"/>
  <c r="U94" i="839"/>
  <c r="N94" i="839"/>
  <c r="AX93" i="839"/>
  <c r="AW93" i="839"/>
  <c r="AN93" i="839"/>
  <c r="AO93" i="839" s="1"/>
  <c r="U93" i="839"/>
  <c r="V93" i="839" s="1"/>
  <c r="N93" i="839"/>
  <c r="AX92" i="839"/>
  <c r="AW92" i="839"/>
  <c r="AN92" i="839"/>
  <c r="AO92" i="839" s="1"/>
  <c r="U92" i="839"/>
  <c r="V92" i="839" s="1"/>
  <c r="N92" i="839"/>
  <c r="AX91" i="839"/>
  <c r="AW91" i="839"/>
  <c r="AO91" i="839"/>
  <c r="AN91" i="839"/>
  <c r="U91" i="839"/>
  <c r="V91" i="839" s="1"/>
  <c r="N91" i="839"/>
  <c r="AX90" i="839"/>
  <c r="AW90" i="839"/>
  <c r="AO90" i="839"/>
  <c r="AN90" i="839"/>
  <c r="U90" i="839"/>
  <c r="V90" i="839" s="1"/>
  <c r="N90" i="839"/>
  <c r="AX89" i="839"/>
  <c r="AW89" i="839"/>
  <c r="AO89" i="839"/>
  <c r="AN89" i="839"/>
  <c r="U89" i="839"/>
  <c r="V89" i="839" s="1"/>
  <c r="N89" i="839"/>
  <c r="AX88" i="839"/>
  <c r="AW88" i="839"/>
  <c r="AN88" i="839"/>
  <c r="AO88" i="839" s="1"/>
  <c r="V88" i="839"/>
  <c r="U88" i="839"/>
  <c r="N88" i="839"/>
  <c r="AX87" i="839"/>
  <c r="AW87" i="839"/>
  <c r="AO87" i="839"/>
  <c r="AN87" i="839"/>
  <c r="V87" i="839"/>
  <c r="U87" i="839"/>
  <c r="N87" i="839"/>
  <c r="AX86" i="839"/>
  <c r="AW86" i="839"/>
  <c r="AN86" i="839"/>
  <c r="AO86" i="839" s="1"/>
  <c r="V86" i="839"/>
  <c r="U86" i="839"/>
  <c r="N86" i="839"/>
  <c r="AX85" i="839"/>
  <c r="AW85" i="839"/>
  <c r="AO85" i="839"/>
  <c r="AN85" i="839"/>
  <c r="U85" i="839"/>
  <c r="V85" i="839" s="1"/>
  <c r="N85" i="839"/>
  <c r="AX84" i="839"/>
  <c r="AW84" i="839"/>
  <c r="AN84" i="839"/>
  <c r="AO84" i="839" s="1"/>
  <c r="U84" i="839"/>
  <c r="V84" i="839" s="1"/>
  <c r="N84" i="839"/>
  <c r="AX83" i="839"/>
  <c r="AW83" i="839"/>
  <c r="AO83" i="839"/>
  <c r="AN83" i="839"/>
  <c r="V83" i="839"/>
  <c r="U83" i="839"/>
  <c r="N83" i="839"/>
  <c r="AX82" i="839"/>
  <c r="AW82" i="839"/>
  <c r="AN82" i="839"/>
  <c r="AO82" i="839" s="1"/>
  <c r="U82" i="839"/>
  <c r="V82" i="839" s="1"/>
  <c r="N82" i="839"/>
  <c r="AX81" i="839"/>
  <c r="AW81" i="839"/>
  <c r="AN81" i="839"/>
  <c r="AO81" i="839" s="1"/>
  <c r="V81" i="839"/>
  <c r="U81" i="839"/>
  <c r="N81" i="839"/>
  <c r="AX80" i="839"/>
  <c r="AW80" i="839"/>
  <c r="AO80" i="839"/>
  <c r="AN80" i="839"/>
  <c r="V80" i="839"/>
  <c r="U80" i="839"/>
  <c r="N80" i="839"/>
  <c r="AX79" i="839"/>
  <c r="AW79" i="839"/>
  <c r="AN79" i="839"/>
  <c r="AO79" i="839" s="1"/>
  <c r="U79" i="839"/>
  <c r="V79" i="839" s="1"/>
  <c r="N79" i="839"/>
  <c r="AX78" i="839"/>
  <c r="AW78" i="839"/>
  <c r="AO78" i="839"/>
  <c r="AN78" i="839"/>
  <c r="U78" i="839"/>
  <c r="V78" i="839" s="1"/>
  <c r="N78" i="839"/>
  <c r="AX77" i="839"/>
  <c r="AW77" i="839"/>
  <c r="AO77" i="839"/>
  <c r="AN77" i="839"/>
  <c r="U77" i="839"/>
  <c r="V77" i="839" s="1"/>
  <c r="N77" i="839"/>
  <c r="AX76" i="839"/>
  <c r="AW76" i="839"/>
  <c r="AN76" i="839"/>
  <c r="AO76" i="839" s="1"/>
  <c r="U76" i="839"/>
  <c r="V76" i="839" s="1"/>
  <c r="N76" i="839"/>
  <c r="AX75" i="839"/>
  <c r="AW75" i="839"/>
  <c r="AN75" i="839"/>
  <c r="AO75" i="839" s="1"/>
  <c r="U75" i="839"/>
  <c r="V75" i="839" s="1"/>
  <c r="N75" i="839"/>
  <c r="AX74" i="839"/>
  <c r="AW74" i="839"/>
  <c r="AN74" i="839"/>
  <c r="AO74" i="839" s="1"/>
  <c r="V74" i="839"/>
  <c r="U74" i="839"/>
  <c r="N74" i="839"/>
  <c r="AX73" i="839"/>
  <c r="AW73" i="839"/>
  <c r="AO73" i="839"/>
  <c r="AN73" i="839"/>
  <c r="U73" i="839"/>
  <c r="V73" i="839" s="1"/>
  <c r="N73" i="839"/>
  <c r="AX72" i="839"/>
  <c r="AW72" i="839"/>
  <c r="AN72" i="839"/>
  <c r="AO72" i="839" s="1"/>
  <c r="U72" i="839"/>
  <c r="V72" i="839" s="1"/>
  <c r="N72" i="839"/>
  <c r="AX71" i="839"/>
  <c r="AW71" i="839"/>
  <c r="AN71" i="839"/>
  <c r="AO71" i="839" s="1"/>
  <c r="V71" i="839"/>
  <c r="U71" i="839"/>
  <c r="N71" i="839"/>
  <c r="AX70" i="839"/>
  <c r="AW70" i="839"/>
  <c r="AO70" i="839"/>
  <c r="AN70" i="839"/>
  <c r="V70" i="839"/>
  <c r="U70" i="839"/>
  <c r="N70" i="839"/>
  <c r="AX69" i="839"/>
  <c r="AW69" i="839"/>
  <c r="AO69" i="839"/>
  <c r="AN69" i="839"/>
  <c r="U69" i="839"/>
  <c r="V69" i="839" s="1"/>
  <c r="N69" i="839"/>
  <c r="AX68" i="839"/>
  <c r="AW68" i="839"/>
  <c r="AN68" i="839"/>
  <c r="AO68" i="839" s="1"/>
  <c r="U68" i="839"/>
  <c r="V68" i="839" s="1"/>
  <c r="N68" i="839"/>
  <c r="AX67" i="839"/>
  <c r="AW67" i="839"/>
  <c r="AO67" i="839"/>
  <c r="AN67" i="839"/>
  <c r="U67" i="839"/>
  <c r="V67" i="839" s="1"/>
  <c r="N67" i="839"/>
  <c r="AX66" i="839"/>
  <c r="AW66" i="839"/>
  <c r="AO66" i="839"/>
  <c r="AN66" i="839"/>
  <c r="U66" i="839"/>
  <c r="V66" i="839" s="1"/>
  <c r="N66" i="839"/>
  <c r="AX65" i="839"/>
  <c r="AW65" i="839"/>
  <c r="AO65" i="839"/>
  <c r="AN65" i="839"/>
  <c r="U65" i="839"/>
  <c r="V65" i="839" s="1"/>
  <c r="N65" i="839"/>
  <c r="AX64" i="839"/>
  <c r="AW64" i="839"/>
  <c r="AO64" i="839"/>
  <c r="AN64" i="839"/>
  <c r="U64" i="839"/>
  <c r="V64" i="839" s="1"/>
  <c r="N64" i="839"/>
  <c r="AX63" i="839"/>
  <c r="AW63" i="839"/>
  <c r="AN63" i="839"/>
  <c r="AO63" i="839" s="1"/>
  <c r="U63" i="839"/>
  <c r="V63" i="839" s="1"/>
  <c r="N63" i="839"/>
  <c r="AX62" i="839"/>
  <c r="AW62" i="839"/>
  <c r="AN62" i="839"/>
  <c r="AO62" i="839" s="1"/>
  <c r="U62" i="839"/>
  <c r="V62" i="839" s="1"/>
  <c r="N62" i="839"/>
  <c r="AX61" i="839"/>
  <c r="AW61" i="839"/>
  <c r="AN61" i="839"/>
  <c r="AO61" i="839" s="1"/>
  <c r="U61" i="839"/>
  <c r="V61" i="839" s="1"/>
  <c r="N61" i="839"/>
  <c r="AX60" i="839"/>
  <c r="AW60" i="839"/>
  <c r="AO60" i="839"/>
  <c r="AN60" i="839"/>
  <c r="U60" i="839"/>
  <c r="V60" i="839" s="1"/>
  <c r="N60" i="839"/>
  <c r="AX59" i="839"/>
  <c r="AW59" i="839"/>
  <c r="AO59" i="839"/>
  <c r="AN59" i="839"/>
  <c r="U59" i="839"/>
  <c r="V59" i="839" s="1"/>
  <c r="N59" i="839"/>
  <c r="AX58" i="839"/>
  <c r="AW58" i="839"/>
  <c r="AO58" i="839"/>
  <c r="AN58" i="839"/>
  <c r="V58" i="839"/>
  <c r="U58" i="839"/>
  <c r="N58" i="839"/>
  <c r="AX57" i="839"/>
  <c r="AW57" i="839"/>
  <c r="AO57" i="839"/>
  <c r="AN57" i="839"/>
  <c r="U57" i="839"/>
  <c r="V57" i="839" s="1"/>
  <c r="N57" i="839"/>
  <c r="AX56" i="839"/>
  <c r="AW56" i="839"/>
  <c r="AO56" i="839"/>
  <c r="AN56" i="839"/>
  <c r="V56" i="839"/>
  <c r="U56" i="839"/>
  <c r="N56" i="839"/>
  <c r="AX55" i="839"/>
  <c r="AW55" i="839"/>
  <c r="AN55" i="839"/>
  <c r="AO55" i="839" s="1"/>
  <c r="V55" i="839"/>
  <c r="U55" i="839"/>
  <c r="N55" i="839"/>
  <c r="AX54" i="839"/>
  <c r="AW54" i="839"/>
  <c r="AN54" i="839"/>
  <c r="AO54" i="839" s="1"/>
  <c r="V54" i="839"/>
  <c r="U54" i="839"/>
  <c r="N54" i="839"/>
  <c r="AX53" i="839"/>
  <c r="AW53" i="839"/>
  <c r="AN53" i="839"/>
  <c r="AO53" i="839" s="1"/>
  <c r="U53" i="839"/>
  <c r="V53" i="839" s="1"/>
  <c r="N53" i="839"/>
  <c r="AX52" i="839"/>
  <c r="AW52" i="839"/>
  <c r="AO52" i="839"/>
  <c r="AN52" i="839"/>
  <c r="U52" i="839"/>
  <c r="V52" i="839" s="1"/>
  <c r="N52" i="839"/>
  <c r="AX51" i="839"/>
  <c r="AW51" i="839"/>
  <c r="AO51" i="839"/>
  <c r="AN51" i="839"/>
  <c r="V51" i="839"/>
  <c r="U51" i="839"/>
  <c r="N51" i="839"/>
  <c r="AX50" i="839"/>
  <c r="AW50" i="839"/>
  <c r="AO50" i="839"/>
  <c r="AN50" i="839"/>
  <c r="U50" i="839"/>
  <c r="V50" i="839" s="1"/>
  <c r="N50" i="839"/>
  <c r="AX49" i="839"/>
  <c r="AW49" i="839"/>
  <c r="AN49" i="839"/>
  <c r="AO49" i="839" s="1"/>
  <c r="U49" i="839"/>
  <c r="V49" i="839" s="1"/>
  <c r="N49" i="839"/>
  <c r="AX48" i="839"/>
  <c r="AW48" i="839"/>
  <c r="AO48" i="839"/>
  <c r="AN48" i="839"/>
  <c r="U48" i="839"/>
  <c r="V48" i="839" s="1"/>
  <c r="N48" i="839"/>
  <c r="AX47" i="839"/>
  <c r="AW47" i="839"/>
  <c r="AO47" i="839"/>
  <c r="AN47" i="839"/>
  <c r="V47" i="839"/>
  <c r="U47" i="839"/>
  <c r="N47" i="839"/>
  <c r="AX46" i="839"/>
  <c r="AW46" i="839"/>
  <c r="AO46" i="839"/>
  <c r="AN46" i="839"/>
  <c r="U46" i="839"/>
  <c r="V46" i="839" s="1"/>
  <c r="N46" i="839"/>
  <c r="AX45" i="839"/>
  <c r="AW45" i="839"/>
  <c r="AO45" i="839"/>
  <c r="AN45" i="839"/>
  <c r="V45" i="839"/>
  <c r="U45" i="839"/>
  <c r="N45" i="839"/>
  <c r="AX44" i="839"/>
  <c r="AW44" i="839"/>
  <c r="AN44" i="839"/>
  <c r="AO44" i="839" s="1"/>
  <c r="U44" i="839"/>
  <c r="V44" i="839" s="1"/>
  <c r="N44" i="839"/>
  <c r="AX43" i="839"/>
  <c r="AW43" i="839"/>
  <c r="AN43" i="839"/>
  <c r="AO43" i="839" s="1"/>
  <c r="U43" i="839"/>
  <c r="V43" i="839" s="1"/>
  <c r="N43" i="839"/>
  <c r="AX42" i="839"/>
  <c r="AW42" i="839"/>
  <c r="AO42" i="839"/>
  <c r="AN42" i="839"/>
  <c r="U42" i="839"/>
  <c r="V42" i="839" s="1"/>
  <c r="N42" i="839"/>
  <c r="AX41" i="839"/>
  <c r="AW41" i="839"/>
  <c r="AN41" i="839"/>
  <c r="AO41" i="839" s="1"/>
  <c r="V41" i="839"/>
  <c r="U41" i="839"/>
  <c r="N41" i="839"/>
  <c r="AX40" i="839"/>
  <c r="AW40" i="839"/>
  <c r="AO40" i="839"/>
  <c r="AN40" i="839"/>
  <c r="U40" i="839"/>
  <c r="V40" i="839" s="1"/>
  <c r="N40" i="839"/>
  <c r="AX39" i="839"/>
  <c r="AW39" i="839"/>
  <c r="AN39" i="839"/>
  <c r="AO39" i="839" s="1"/>
  <c r="U39" i="839"/>
  <c r="V39" i="839" s="1"/>
  <c r="N39" i="839"/>
  <c r="AX38" i="839"/>
  <c r="AW38" i="839"/>
  <c r="AO38" i="839"/>
  <c r="AN38" i="839"/>
  <c r="U38" i="839"/>
  <c r="V38" i="839" s="1"/>
  <c r="N38" i="839"/>
  <c r="AX37" i="839"/>
  <c r="AW37" i="839"/>
  <c r="AO37" i="839"/>
  <c r="AN37" i="839"/>
  <c r="U37" i="839"/>
  <c r="V37" i="839" s="1"/>
  <c r="N37" i="839"/>
  <c r="AX36" i="839"/>
  <c r="AW36" i="839"/>
  <c r="AN36" i="839"/>
  <c r="AO36" i="839" s="1"/>
  <c r="U36" i="839"/>
  <c r="V36" i="839" s="1"/>
  <c r="N36" i="839"/>
  <c r="AX35" i="839"/>
  <c r="AW35" i="839"/>
  <c r="AN35" i="839"/>
  <c r="AO35" i="839" s="1"/>
  <c r="U35" i="839"/>
  <c r="V35" i="839" s="1"/>
  <c r="N35" i="839"/>
  <c r="AX34" i="839"/>
  <c r="AW34" i="839"/>
  <c r="AO34" i="839"/>
  <c r="AN34" i="839"/>
  <c r="U34" i="839"/>
  <c r="V34" i="839" s="1"/>
  <c r="N34" i="839"/>
  <c r="AX33" i="839"/>
  <c r="AW33" i="839"/>
  <c r="AN33" i="839"/>
  <c r="AO33" i="839" s="1"/>
  <c r="V33" i="839"/>
  <c r="U33" i="839"/>
  <c r="N33" i="839"/>
  <c r="AX32" i="839"/>
  <c r="AW32" i="839"/>
  <c r="AO32" i="839"/>
  <c r="AN32" i="839"/>
  <c r="U32" i="839"/>
  <c r="V32" i="839" s="1"/>
  <c r="N32" i="839"/>
  <c r="AX31" i="839"/>
  <c r="AW31" i="839"/>
  <c r="AN31" i="839"/>
  <c r="AO31" i="839" s="1"/>
  <c r="V31" i="839"/>
  <c r="U31" i="839"/>
  <c r="N31" i="839"/>
  <c r="AX30" i="839"/>
  <c r="AW30" i="839"/>
  <c r="AO30" i="839"/>
  <c r="AN30" i="839"/>
  <c r="V30" i="839"/>
  <c r="U30" i="839"/>
  <c r="N30" i="839"/>
  <c r="AX29" i="839"/>
  <c r="AW29" i="839"/>
  <c r="AN29" i="839"/>
  <c r="AO29" i="839" s="1"/>
  <c r="U29" i="839"/>
  <c r="V29" i="839" s="1"/>
  <c r="N29" i="839"/>
  <c r="AX28" i="839"/>
  <c r="AW28" i="839"/>
  <c r="AO28" i="839"/>
  <c r="AN28" i="839"/>
  <c r="U28" i="839"/>
  <c r="V28" i="839" s="1"/>
  <c r="N28" i="839"/>
  <c r="AX27" i="839"/>
  <c r="AW27" i="839"/>
  <c r="AO27" i="839"/>
  <c r="AN27" i="839"/>
  <c r="V27" i="839"/>
  <c r="U27" i="839"/>
  <c r="N27" i="839"/>
  <c r="AX26" i="839"/>
  <c r="AW26" i="839"/>
  <c r="AN26" i="839"/>
  <c r="AO26" i="839" s="1"/>
  <c r="U26" i="839"/>
  <c r="V26" i="839" s="1"/>
  <c r="N26" i="839"/>
  <c r="AX25" i="839"/>
  <c r="AW25" i="839"/>
  <c r="AN25" i="839"/>
  <c r="AO25" i="839" s="1"/>
  <c r="U25" i="839"/>
  <c r="V25" i="839" s="1"/>
  <c r="N25" i="839"/>
  <c r="AX24" i="839"/>
  <c r="AW24" i="839"/>
  <c r="AN24" i="839"/>
  <c r="AO24" i="839" s="1"/>
  <c r="U24" i="839"/>
  <c r="V24" i="839" s="1"/>
  <c r="N24" i="839"/>
  <c r="AX23" i="839"/>
  <c r="AW23" i="839"/>
  <c r="AO23" i="839"/>
  <c r="AN23" i="839"/>
  <c r="U23" i="839"/>
  <c r="V23" i="839" s="1"/>
  <c r="N23" i="839"/>
  <c r="AX22" i="839"/>
  <c r="AW22" i="839"/>
  <c r="AN22" i="839"/>
  <c r="AO22" i="839" s="1"/>
  <c r="U22" i="839"/>
  <c r="V22" i="839" s="1"/>
  <c r="N22" i="839"/>
  <c r="AX21" i="839"/>
  <c r="AW21" i="839"/>
  <c r="AN21" i="839"/>
  <c r="AO21" i="839" s="1"/>
  <c r="V21" i="839"/>
  <c r="U21" i="839"/>
  <c r="N21" i="839"/>
  <c r="AX20" i="839"/>
  <c r="AW20" i="839"/>
  <c r="AO20" i="839"/>
  <c r="AN20" i="839"/>
  <c r="V20" i="839"/>
  <c r="U20" i="839"/>
  <c r="N20" i="839"/>
  <c r="AX19" i="839"/>
  <c r="AW19" i="839"/>
  <c r="AN19" i="839"/>
  <c r="AO19" i="839" s="1"/>
  <c r="U19" i="839"/>
  <c r="V19" i="839" s="1"/>
  <c r="N19" i="839"/>
  <c r="AX18" i="839"/>
  <c r="AW18" i="839"/>
  <c r="AN18" i="839"/>
  <c r="AO18" i="839" s="1"/>
  <c r="U18" i="839"/>
  <c r="V18" i="839" s="1"/>
  <c r="N18" i="839"/>
  <c r="AX17" i="839"/>
  <c r="AW17" i="839"/>
  <c r="AO17" i="839"/>
  <c r="AN17" i="839"/>
  <c r="U17" i="839"/>
  <c r="V17" i="839" s="1"/>
  <c r="N17" i="839"/>
  <c r="AX16" i="839"/>
  <c r="AW16" i="839"/>
  <c r="AN16" i="839"/>
  <c r="AO16" i="839" s="1"/>
  <c r="U16" i="839"/>
  <c r="V16" i="839" s="1"/>
  <c r="N16" i="839"/>
  <c r="AX15" i="839"/>
  <c r="AW15" i="839"/>
  <c r="AO15" i="839"/>
  <c r="AN15" i="839"/>
  <c r="U15" i="839"/>
  <c r="V15" i="839" s="1"/>
  <c r="N15" i="839"/>
  <c r="AX13" i="839"/>
  <c r="AW13" i="839"/>
  <c r="AN13" i="839"/>
  <c r="AO13" i="839" s="1"/>
  <c r="U13" i="839"/>
  <c r="V13" i="839" s="1"/>
  <c r="N13" i="839"/>
  <c r="AX11" i="839"/>
  <c r="AW11" i="839"/>
  <c r="AN11" i="839"/>
  <c r="AO11" i="839" s="1"/>
  <c r="U11" i="839"/>
  <c r="V11" i="839" s="1"/>
  <c r="N11" i="839"/>
  <c r="N10" i="839"/>
  <c r="AX9" i="839"/>
  <c r="AW9" i="839"/>
  <c r="AN9" i="839"/>
  <c r="AO9" i="839" s="1"/>
  <c r="U9" i="839"/>
  <c r="V9" i="839" s="1"/>
  <c r="N9" i="839"/>
  <c r="N8" i="839"/>
  <c r="AX7" i="839"/>
  <c r="AW7" i="839"/>
  <c r="AO7" i="839"/>
  <c r="AN7" i="839"/>
  <c r="U7" i="839"/>
  <c r="V7" i="839" s="1"/>
  <c r="N7" i="839"/>
  <c r="N6" i="839"/>
  <c r="AX5" i="839"/>
  <c r="AW5" i="839"/>
  <c r="AN5" i="839"/>
  <c r="AO5" i="839" s="1"/>
  <c r="U5" i="839"/>
  <c r="V5" i="839" s="1"/>
  <c r="N5" i="839"/>
  <c r="AS2" i="839"/>
  <c r="AA2" i="839"/>
  <c r="AD2" i="839" s="1"/>
  <c r="I2" i="839"/>
  <c r="AB111" i="839" s="1"/>
  <c r="AC111" i="839" s="1"/>
  <c r="AE111" i="839" s="1"/>
  <c r="AB100" i="839" l="1"/>
  <c r="AC100" i="839" s="1"/>
  <c r="AE100" i="839" s="1"/>
  <c r="AB31" i="839"/>
  <c r="AC31" i="839" s="1"/>
  <c r="AE31" i="839" s="1"/>
  <c r="AB127" i="839"/>
  <c r="AC127" i="839" s="1"/>
  <c r="AE127" i="839" s="1"/>
  <c r="AB33" i="839"/>
  <c r="AC33" i="839" s="1"/>
  <c r="AE33" i="839" s="1"/>
  <c r="AB63" i="839"/>
  <c r="AC63" i="839" s="1"/>
  <c r="AE63" i="839" s="1"/>
  <c r="AB52" i="839"/>
  <c r="AC52" i="839" s="1"/>
  <c r="AE52" i="839" s="1"/>
  <c r="AB98" i="839"/>
  <c r="AC98" i="839" s="1"/>
  <c r="AE98" i="839" s="1"/>
  <c r="AB7" i="839"/>
  <c r="AC7" i="839" s="1"/>
  <c r="AE7" i="839" s="1"/>
  <c r="AB74" i="839"/>
  <c r="AC74" i="839" s="1"/>
  <c r="AE74" i="839" s="1"/>
  <c r="AJ74" i="839" s="1"/>
  <c r="AJ27" i="839"/>
  <c r="AB27" i="839"/>
  <c r="AC27" i="839" s="1"/>
  <c r="AE27" i="839" s="1"/>
  <c r="AB18" i="839"/>
  <c r="AC18" i="839" s="1"/>
  <c r="AE18" i="839" s="1"/>
  <c r="AH18" i="839" s="1"/>
  <c r="AB35" i="839"/>
  <c r="AC35" i="839" s="1"/>
  <c r="AE35" i="839" s="1"/>
  <c r="AJ35" i="839" s="1"/>
  <c r="AB57" i="839"/>
  <c r="AC57" i="839" s="1"/>
  <c r="AE57" i="839" s="1"/>
  <c r="AJ57" i="839" s="1"/>
  <c r="AB70" i="839"/>
  <c r="AC70" i="839" s="1"/>
  <c r="AE70" i="839" s="1"/>
  <c r="AJ70" i="839" s="1"/>
  <c r="AB80" i="839"/>
  <c r="AC80" i="839" s="1"/>
  <c r="AE80" i="839" s="1"/>
  <c r="AH80" i="839" s="1"/>
  <c r="AB38" i="839"/>
  <c r="AC38" i="839" s="1"/>
  <c r="AE38" i="839" s="1"/>
  <c r="AJ38" i="839" s="1"/>
  <c r="AB54" i="839"/>
  <c r="AC54" i="839" s="1"/>
  <c r="AE54" i="839" s="1"/>
  <c r="AH54" i="839" s="1"/>
  <c r="AB67" i="839"/>
  <c r="AC67" i="839" s="1"/>
  <c r="AE67" i="839" s="1"/>
  <c r="AH67" i="839" s="1"/>
  <c r="AB20" i="839"/>
  <c r="AC20" i="839" s="1"/>
  <c r="AE20" i="839" s="1"/>
  <c r="AB9" i="839"/>
  <c r="AC9" i="839" s="1"/>
  <c r="AE9" i="839" s="1"/>
  <c r="AB46" i="839"/>
  <c r="AC46" i="839" s="1"/>
  <c r="AE46" i="839" s="1"/>
  <c r="AB71" i="839"/>
  <c r="AC71" i="839" s="1"/>
  <c r="AE71" i="839" s="1"/>
  <c r="AB114" i="839"/>
  <c r="AC114" i="839" s="1"/>
  <c r="AE114" i="839" s="1"/>
  <c r="AH114" i="839" s="1"/>
  <c r="AB37" i="839"/>
  <c r="AC37" i="839" s="1"/>
  <c r="AE37" i="839" s="1"/>
  <c r="AB88" i="839"/>
  <c r="AC88" i="839" s="1"/>
  <c r="AE88" i="839" s="1"/>
  <c r="AB121" i="839"/>
  <c r="AC121" i="839" s="1"/>
  <c r="AE121" i="839" s="1"/>
  <c r="AB131" i="839"/>
  <c r="AC131" i="839" s="1"/>
  <c r="AE131" i="839" s="1"/>
  <c r="AB108" i="839"/>
  <c r="AC108" i="839" s="1"/>
  <c r="AE108" i="839" s="1"/>
  <c r="AJ108" i="839" s="1"/>
  <c r="AB48" i="839"/>
  <c r="AC48" i="839" s="1"/>
  <c r="AE48" i="839" s="1"/>
  <c r="AB16" i="839"/>
  <c r="AC16" i="839" s="1"/>
  <c r="AE16" i="839" s="1"/>
  <c r="AB90" i="839"/>
  <c r="AC90" i="839" s="1"/>
  <c r="AE90" i="839" s="1"/>
  <c r="AB123" i="839"/>
  <c r="AC123" i="839" s="1"/>
  <c r="AE123" i="839" s="1"/>
  <c r="AH123" i="839" s="1"/>
  <c r="AB13" i="839"/>
  <c r="AC13" i="839" s="1"/>
  <c r="AE13" i="839" s="1"/>
  <c r="AH13" i="839" s="1"/>
  <c r="AH9" i="839"/>
  <c r="AK9" i="839" s="1"/>
  <c r="AB65" i="839"/>
  <c r="AC65" i="839" s="1"/>
  <c r="AE65" i="839" s="1"/>
  <c r="AJ65" i="839" s="1"/>
  <c r="AB24" i="839"/>
  <c r="AC24" i="839" s="1"/>
  <c r="AE24" i="839" s="1"/>
  <c r="AJ24" i="839" s="1"/>
  <c r="AB40" i="839"/>
  <c r="AC40" i="839" s="1"/>
  <c r="AE40" i="839" s="1"/>
  <c r="AH40" i="839" s="1"/>
  <c r="AH82" i="839"/>
  <c r="AK82" i="839" s="1"/>
  <c r="AB82" i="839"/>
  <c r="AC82" i="839" s="1"/>
  <c r="AE82" i="839" s="1"/>
  <c r="AB92" i="839"/>
  <c r="AC92" i="839" s="1"/>
  <c r="AE92" i="839" s="1"/>
  <c r="AB42" i="839"/>
  <c r="AC42" i="839" s="1"/>
  <c r="AE42" i="839" s="1"/>
  <c r="AH42" i="839" s="1"/>
  <c r="AB110" i="839"/>
  <c r="AC110" i="839" s="1"/>
  <c r="AE110" i="839" s="1"/>
  <c r="AJ63" i="839"/>
  <c r="AH63" i="839"/>
  <c r="AH74" i="839"/>
  <c r="AJ127" i="839"/>
  <c r="AH127" i="839"/>
  <c r="AH46" i="839"/>
  <c r="AJ46" i="839"/>
  <c r="AH104" i="839"/>
  <c r="AJ37" i="839"/>
  <c r="AH37" i="839"/>
  <c r="AH131" i="839"/>
  <c r="AJ131" i="839"/>
  <c r="AJ121" i="839"/>
  <c r="AH121" i="839"/>
  <c r="AH16" i="839"/>
  <c r="AJ16" i="839"/>
  <c r="AJ90" i="839"/>
  <c r="AH90" i="839"/>
  <c r="AJ100" i="839"/>
  <c r="AH100" i="839"/>
  <c r="AH27" i="839"/>
  <c r="AJ88" i="839"/>
  <c r="AH88" i="839"/>
  <c r="AJ91" i="839"/>
  <c r="AJ111" i="839"/>
  <c r="AH111" i="839"/>
  <c r="AJ9" i="839"/>
  <c r="AJ42" i="839"/>
  <c r="AH66" i="839"/>
  <c r="AJ66" i="839"/>
  <c r="AJ110" i="839"/>
  <c r="AH110" i="839"/>
  <c r="AH7" i="839"/>
  <c r="AJ7" i="839"/>
  <c r="AJ62" i="839"/>
  <c r="AJ103" i="839"/>
  <c r="AH57" i="839"/>
  <c r="AJ82" i="839"/>
  <c r="AJ52" i="839"/>
  <c r="AH52" i="839"/>
  <c r="AJ98" i="839"/>
  <c r="AH50" i="839"/>
  <c r="AJ31" i="839"/>
  <c r="AH31" i="839"/>
  <c r="AH116" i="839"/>
  <c r="AJ20" i="839"/>
  <c r="AH20" i="839"/>
  <c r="AH98" i="839"/>
  <c r="AH48" i="839"/>
  <c r="AJ48" i="839"/>
  <c r="AH93" i="839"/>
  <c r="AH119" i="839"/>
  <c r="AH29" i="839"/>
  <c r="AH71" i="839"/>
  <c r="AJ71" i="839"/>
  <c r="AJ92" i="839"/>
  <c r="AH92" i="839"/>
  <c r="AB102" i="839"/>
  <c r="AC102" i="839" s="1"/>
  <c r="AE102" i="839" s="1"/>
  <c r="AJ102" i="839" s="1"/>
  <c r="AB5" i="839"/>
  <c r="AC5" i="839" s="1"/>
  <c r="AE5" i="839" s="1"/>
  <c r="AH5" i="839" s="1"/>
  <c r="AB59" i="839"/>
  <c r="AC59" i="839" s="1"/>
  <c r="AE59" i="839" s="1"/>
  <c r="AH59" i="839" s="1"/>
  <c r="AB49" i="839"/>
  <c r="AC49" i="839" s="1"/>
  <c r="AE49" i="839" s="1"/>
  <c r="AH49" i="839" s="1"/>
  <c r="AB29" i="839"/>
  <c r="AC29" i="839" s="1"/>
  <c r="AE29" i="839" s="1"/>
  <c r="AJ29" i="839" s="1"/>
  <c r="AB19" i="839"/>
  <c r="AC19" i="839" s="1"/>
  <c r="AE19" i="839" s="1"/>
  <c r="AH19" i="839" s="1"/>
  <c r="AB136" i="839"/>
  <c r="AC136" i="839" s="1"/>
  <c r="AE136" i="839" s="1"/>
  <c r="AJ136" i="839" s="1"/>
  <c r="AB126" i="839"/>
  <c r="AC126" i="839" s="1"/>
  <c r="AE126" i="839" s="1"/>
  <c r="AH126" i="839" s="1"/>
  <c r="AB116" i="839"/>
  <c r="AC116" i="839" s="1"/>
  <c r="AE116" i="839" s="1"/>
  <c r="AJ116" i="839" s="1"/>
  <c r="AB106" i="839"/>
  <c r="AC106" i="839" s="1"/>
  <c r="AE106" i="839" s="1"/>
  <c r="AJ106" i="839" s="1"/>
  <c r="AB96" i="839"/>
  <c r="AC96" i="839" s="1"/>
  <c r="AE96" i="839" s="1"/>
  <c r="AJ96" i="839" s="1"/>
  <c r="AB86" i="839"/>
  <c r="AC86" i="839" s="1"/>
  <c r="AE86" i="839" s="1"/>
  <c r="AH86" i="839" s="1"/>
  <c r="AB129" i="839"/>
  <c r="AC129" i="839" s="1"/>
  <c r="AE129" i="839" s="1"/>
  <c r="AH129" i="839" s="1"/>
  <c r="AB119" i="839"/>
  <c r="AC119" i="839" s="1"/>
  <c r="AE119" i="839" s="1"/>
  <c r="AJ119" i="839" s="1"/>
  <c r="AB109" i="839"/>
  <c r="AC109" i="839" s="1"/>
  <c r="AE109" i="839" s="1"/>
  <c r="AB99" i="839"/>
  <c r="AC99" i="839" s="1"/>
  <c r="AE99" i="839" s="1"/>
  <c r="AH99" i="839" s="1"/>
  <c r="AB89" i="839"/>
  <c r="AC89" i="839" s="1"/>
  <c r="AE89" i="839" s="1"/>
  <c r="AH89" i="839" s="1"/>
  <c r="AB79" i="839"/>
  <c r="AC79" i="839" s="1"/>
  <c r="AE79" i="839" s="1"/>
  <c r="AH79" i="839" s="1"/>
  <c r="AB69" i="839"/>
  <c r="AC69" i="839" s="1"/>
  <c r="AE69" i="839" s="1"/>
  <c r="AJ69" i="839" s="1"/>
  <c r="AB39" i="839"/>
  <c r="AC39" i="839" s="1"/>
  <c r="AE39" i="839" s="1"/>
  <c r="AH39" i="839" s="1"/>
  <c r="AB135" i="839"/>
  <c r="AC135" i="839" s="1"/>
  <c r="AE135" i="839" s="1"/>
  <c r="AJ135" i="839" s="1"/>
  <c r="AB122" i="839"/>
  <c r="AC122" i="839" s="1"/>
  <c r="AE122" i="839" s="1"/>
  <c r="AB44" i="839"/>
  <c r="AC44" i="839" s="1"/>
  <c r="AE44" i="839" s="1"/>
  <c r="AH44" i="839" s="1"/>
  <c r="AB36" i="839"/>
  <c r="AC36" i="839" s="1"/>
  <c r="AE36" i="839" s="1"/>
  <c r="AH36" i="839" s="1"/>
  <c r="AB61" i="839"/>
  <c r="AC61" i="839" s="1"/>
  <c r="AE61" i="839" s="1"/>
  <c r="AJ61" i="839" s="1"/>
  <c r="AB50" i="839"/>
  <c r="AC50" i="839" s="1"/>
  <c r="AE50" i="839" s="1"/>
  <c r="AJ50" i="839" s="1"/>
  <c r="AB11" i="839"/>
  <c r="AC11" i="839" s="1"/>
  <c r="AE11" i="839" s="1"/>
  <c r="AB130" i="839"/>
  <c r="AC130" i="839" s="1"/>
  <c r="AE130" i="839" s="1"/>
  <c r="AH130" i="839" s="1"/>
  <c r="AB72" i="839"/>
  <c r="AC72" i="839" s="1"/>
  <c r="AE72" i="839" s="1"/>
  <c r="AB47" i="839"/>
  <c r="AC47" i="839" s="1"/>
  <c r="AE47" i="839" s="1"/>
  <c r="AB22" i="839"/>
  <c r="AC22" i="839" s="1"/>
  <c r="AE22" i="839" s="1"/>
  <c r="AB117" i="839"/>
  <c r="AC117" i="839" s="1"/>
  <c r="AE117" i="839" s="1"/>
  <c r="AH117" i="839" s="1"/>
  <c r="AB104" i="839"/>
  <c r="AC104" i="839" s="1"/>
  <c r="AE104" i="839" s="1"/>
  <c r="AJ104" i="839" s="1"/>
  <c r="AB91" i="839"/>
  <c r="AC91" i="839" s="1"/>
  <c r="AE91" i="839" s="1"/>
  <c r="AH91" i="839" s="1"/>
  <c r="AB25" i="839"/>
  <c r="AC25" i="839" s="1"/>
  <c r="AE25" i="839" s="1"/>
  <c r="AB94" i="839"/>
  <c r="AC94" i="839" s="1"/>
  <c r="AE94" i="839" s="1"/>
  <c r="AJ94" i="839" s="1"/>
  <c r="AB75" i="839"/>
  <c r="AC75" i="839" s="1"/>
  <c r="AE75" i="839" s="1"/>
  <c r="AH75" i="839" s="1"/>
  <c r="AB133" i="839"/>
  <c r="AC133" i="839" s="1"/>
  <c r="AE133" i="839" s="1"/>
  <c r="AJ133" i="839" s="1"/>
  <c r="AB125" i="839"/>
  <c r="AC125" i="839" s="1"/>
  <c r="AE125" i="839" s="1"/>
  <c r="AH125" i="839" s="1"/>
  <c r="AB112" i="839"/>
  <c r="AC112" i="839" s="1"/>
  <c r="AE112" i="839" s="1"/>
  <c r="AJ112" i="839" s="1"/>
  <c r="AB78" i="839"/>
  <c r="AC78" i="839" s="1"/>
  <c r="AE78" i="839" s="1"/>
  <c r="AJ78" i="839" s="1"/>
  <c r="AB53" i="839"/>
  <c r="AC53" i="839" s="1"/>
  <c r="AE53" i="839" s="1"/>
  <c r="AJ53" i="839" s="1"/>
  <c r="AB28" i="839"/>
  <c r="AC28" i="839" s="1"/>
  <c r="AE28" i="839" s="1"/>
  <c r="AJ28" i="839" s="1"/>
  <c r="AB120" i="839"/>
  <c r="AC120" i="839" s="1"/>
  <c r="AE120" i="839" s="1"/>
  <c r="AJ120" i="839" s="1"/>
  <c r="AB64" i="839"/>
  <c r="AC64" i="839" s="1"/>
  <c r="AE64" i="839" s="1"/>
  <c r="AH64" i="839" s="1"/>
  <c r="AB56" i="839"/>
  <c r="AC56" i="839" s="1"/>
  <c r="AE56" i="839" s="1"/>
  <c r="AH56" i="839" s="1"/>
  <c r="AB107" i="839"/>
  <c r="AC107" i="839" s="1"/>
  <c r="AE107" i="839" s="1"/>
  <c r="AJ107" i="839" s="1"/>
  <c r="AB97" i="839"/>
  <c r="AC97" i="839" s="1"/>
  <c r="AE97" i="839" s="1"/>
  <c r="AH97" i="839" s="1"/>
  <c r="AB84" i="839"/>
  <c r="AC84" i="839" s="1"/>
  <c r="AE84" i="839" s="1"/>
  <c r="AH84" i="839" s="1"/>
  <c r="AB76" i="839"/>
  <c r="AC76" i="839" s="1"/>
  <c r="AE76" i="839" s="1"/>
  <c r="AJ76" i="839" s="1"/>
  <c r="AB34" i="839"/>
  <c r="AC34" i="839" s="1"/>
  <c r="AE34" i="839" s="1"/>
  <c r="AJ34" i="839" s="1"/>
  <c r="AB26" i="839"/>
  <c r="AC26" i="839" s="1"/>
  <c r="AE26" i="839" s="1"/>
  <c r="AH26" i="839" s="1"/>
  <c r="AB118" i="839"/>
  <c r="AC118" i="839" s="1"/>
  <c r="AE118" i="839" s="1"/>
  <c r="AH118" i="839" s="1"/>
  <c r="AB113" i="839"/>
  <c r="AC113" i="839" s="1"/>
  <c r="AE113" i="839" s="1"/>
  <c r="AB105" i="839"/>
  <c r="AC105" i="839" s="1"/>
  <c r="AE105" i="839" s="1"/>
  <c r="AJ105" i="839" s="1"/>
  <c r="AB15" i="839"/>
  <c r="AC15" i="839" s="1"/>
  <c r="AE15" i="839" s="1"/>
  <c r="AJ15" i="839" s="1"/>
  <c r="AJ113" i="839"/>
  <c r="AH113" i="839"/>
  <c r="AB30" i="839"/>
  <c r="AC30" i="839" s="1"/>
  <c r="AE30" i="839" s="1"/>
  <c r="AH30" i="839" s="1"/>
  <c r="AB32" i="839"/>
  <c r="AC32" i="839" s="1"/>
  <c r="AE32" i="839" s="1"/>
  <c r="AJ32" i="839" s="1"/>
  <c r="AB41" i="839"/>
  <c r="AC41" i="839" s="1"/>
  <c r="AE41" i="839" s="1"/>
  <c r="AJ41" i="839" s="1"/>
  <c r="AB58" i="839"/>
  <c r="AC58" i="839" s="1"/>
  <c r="AE58" i="839" s="1"/>
  <c r="AB115" i="839"/>
  <c r="AC115" i="839" s="1"/>
  <c r="AE115" i="839" s="1"/>
  <c r="AB132" i="839"/>
  <c r="AC132" i="839" s="1"/>
  <c r="AE132" i="839" s="1"/>
  <c r="AH132" i="839" s="1"/>
  <c r="AB85" i="839"/>
  <c r="AC85" i="839" s="1"/>
  <c r="AE85" i="839" s="1"/>
  <c r="AJ85" i="839" s="1"/>
  <c r="AB95" i="839"/>
  <c r="AC95" i="839" s="1"/>
  <c r="AE95" i="839" s="1"/>
  <c r="AJ95" i="839" s="1"/>
  <c r="AH136" i="839"/>
  <c r="AJ115" i="839"/>
  <c r="AH115" i="839"/>
  <c r="AB60" i="839"/>
  <c r="AC60" i="839" s="1"/>
  <c r="AE60" i="839" s="1"/>
  <c r="AJ60" i="839" s="1"/>
  <c r="AB83" i="839"/>
  <c r="AC83" i="839" s="1"/>
  <c r="AE83" i="839" s="1"/>
  <c r="AJ83" i="839" s="1"/>
  <c r="AB124" i="839"/>
  <c r="AC124" i="839" s="1"/>
  <c r="AE124" i="839" s="1"/>
  <c r="AJ124" i="839" s="1"/>
  <c r="AB21" i="839"/>
  <c r="AC21" i="839" s="1"/>
  <c r="AE21" i="839" s="1"/>
  <c r="AJ21" i="839" s="1"/>
  <c r="AB62" i="839"/>
  <c r="AC62" i="839" s="1"/>
  <c r="AE62" i="839" s="1"/>
  <c r="AH62" i="839" s="1"/>
  <c r="AB81" i="839"/>
  <c r="AC81" i="839" s="1"/>
  <c r="AE81" i="839" s="1"/>
  <c r="AB87" i="839"/>
  <c r="AC87" i="839" s="1"/>
  <c r="AE87" i="839" s="1"/>
  <c r="AB45" i="839"/>
  <c r="AC45" i="839" s="1"/>
  <c r="AE45" i="839" s="1"/>
  <c r="AB93" i="839"/>
  <c r="AC93" i="839" s="1"/>
  <c r="AE93" i="839" s="1"/>
  <c r="AJ93" i="839" s="1"/>
  <c r="AJ99" i="839"/>
  <c r="AB101" i="839"/>
  <c r="AC101" i="839" s="1"/>
  <c r="AE101" i="839" s="1"/>
  <c r="AH105" i="839"/>
  <c r="AB128" i="839"/>
  <c r="AC128" i="839" s="1"/>
  <c r="AE128" i="839" s="1"/>
  <c r="AH128" i="839" s="1"/>
  <c r="AJ132" i="839"/>
  <c r="AB77" i="839"/>
  <c r="AC77" i="839" s="1"/>
  <c r="AE77" i="839" s="1"/>
  <c r="AH77" i="839" s="1"/>
  <c r="AB17" i="839"/>
  <c r="AC17" i="839" s="1"/>
  <c r="AE17" i="839" s="1"/>
  <c r="AH17" i="839" s="1"/>
  <c r="AB66" i="839"/>
  <c r="AC66" i="839" s="1"/>
  <c r="AE66" i="839" s="1"/>
  <c r="AB68" i="839"/>
  <c r="AC68" i="839" s="1"/>
  <c r="AE68" i="839" s="1"/>
  <c r="AJ68" i="839" s="1"/>
  <c r="AB103" i="839"/>
  <c r="AC103" i="839" s="1"/>
  <c r="AE103" i="839" s="1"/>
  <c r="AH103" i="839" s="1"/>
  <c r="AB73" i="839"/>
  <c r="AC73" i="839" s="1"/>
  <c r="AE73" i="839" s="1"/>
  <c r="AJ73" i="839" s="1"/>
  <c r="AB134" i="839"/>
  <c r="AC134" i="839" s="1"/>
  <c r="AE134" i="839" s="1"/>
  <c r="AJ134" i="839" s="1"/>
  <c r="AB43" i="839"/>
  <c r="AC43" i="839" s="1"/>
  <c r="AE43" i="839" s="1"/>
  <c r="AJ43" i="839" s="1"/>
  <c r="AJ81" i="839"/>
  <c r="AH81" i="839"/>
  <c r="AH87" i="839"/>
  <c r="AJ45" i="839"/>
  <c r="AH45" i="839"/>
  <c r="AB51" i="839"/>
  <c r="AC51" i="839" s="1"/>
  <c r="AE51" i="839" s="1"/>
  <c r="AH51" i="839" s="1"/>
  <c r="AB23" i="839"/>
  <c r="AC23" i="839" s="1"/>
  <c r="AE23" i="839" s="1"/>
  <c r="AJ23" i="839" s="1"/>
  <c r="AB55" i="839"/>
  <c r="AC55" i="839" s="1"/>
  <c r="AE55" i="839" s="1"/>
  <c r="AJ87" i="839"/>
  <c r="AJ130" i="839"/>
  <c r="AJ33" i="839"/>
  <c r="AH33" i="839"/>
  <c r="AX147" i="838"/>
  <c r="AW147" i="838"/>
  <c r="AN147" i="838"/>
  <c r="AO147" i="838" s="1"/>
  <c r="U147" i="838"/>
  <c r="V147" i="838" s="1"/>
  <c r="N147" i="838"/>
  <c r="AX146" i="838"/>
  <c r="AW146" i="838"/>
  <c r="AN146" i="838"/>
  <c r="AO146" i="838" s="1"/>
  <c r="U146" i="838"/>
  <c r="V146" i="838" s="1"/>
  <c r="N146" i="838"/>
  <c r="AX145" i="838"/>
  <c r="AW145" i="838"/>
  <c r="AN145" i="838"/>
  <c r="AO145" i="838" s="1"/>
  <c r="U145" i="838"/>
  <c r="V145" i="838" s="1"/>
  <c r="N145" i="838"/>
  <c r="AX144" i="838"/>
  <c r="AW144" i="838"/>
  <c r="AN144" i="838"/>
  <c r="AO144" i="838" s="1"/>
  <c r="U144" i="838"/>
  <c r="V144" i="838" s="1"/>
  <c r="N144" i="838"/>
  <c r="AX143" i="838"/>
  <c r="AW143" i="838"/>
  <c r="AN143" i="838"/>
  <c r="AO143" i="838" s="1"/>
  <c r="U143" i="838"/>
  <c r="V143" i="838" s="1"/>
  <c r="N143" i="838"/>
  <c r="AX142" i="838"/>
  <c r="AW142" i="838"/>
  <c r="AN142" i="838"/>
  <c r="AO142" i="838" s="1"/>
  <c r="U142" i="838"/>
  <c r="V142" i="838" s="1"/>
  <c r="N142" i="838"/>
  <c r="AX141" i="838"/>
  <c r="AW141" i="838"/>
  <c r="AN141" i="838"/>
  <c r="AO141" i="838" s="1"/>
  <c r="U141" i="838"/>
  <c r="V141" i="838" s="1"/>
  <c r="N141" i="838"/>
  <c r="AX140" i="838"/>
  <c r="AW140" i="838"/>
  <c r="AN140" i="838"/>
  <c r="AO140" i="838" s="1"/>
  <c r="U140" i="838"/>
  <c r="V140" i="838" s="1"/>
  <c r="N140" i="838"/>
  <c r="AX139" i="838"/>
  <c r="AW139" i="838"/>
  <c r="AN139" i="838"/>
  <c r="AO139" i="838" s="1"/>
  <c r="U139" i="838"/>
  <c r="V139" i="838" s="1"/>
  <c r="N139" i="838"/>
  <c r="AX138" i="838"/>
  <c r="AW138" i="838"/>
  <c r="AN138" i="838"/>
  <c r="AO138" i="838" s="1"/>
  <c r="U138" i="838"/>
  <c r="V138" i="838" s="1"/>
  <c r="N138" i="838"/>
  <c r="AX137" i="838"/>
  <c r="AW137" i="838"/>
  <c r="AN137" i="838"/>
  <c r="AO137" i="838" s="1"/>
  <c r="U137" i="838"/>
  <c r="V137" i="838" s="1"/>
  <c r="N137" i="838"/>
  <c r="AX136" i="838"/>
  <c r="AW136" i="838"/>
  <c r="AN136" i="838"/>
  <c r="AO136" i="838" s="1"/>
  <c r="U136" i="838"/>
  <c r="V136" i="838" s="1"/>
  <c r="N136" i="838"/>
  <c r="AX135" i="838"/>
  <c r="AW135" i="838"/>
  <c r="AN135" i="838"/>
  <c r="AO135" i="838" s="1"/>
  <c r="U135" i="838"/>
  <c r="V135" i="838" s="1"/>
  <c r="N135" i="838"/>
  <c r="AX134" i="838"/>
  <c r="AW134" i="838"/>
  <c r="AN134" i="838"/>
  <c r="AO134" i="838" s="1"/>
  <c r="U134" i="838"/>
  <c r="V134" i="838" s="1"/>
  <c r="N134" i="838"/>
  <c r="AX133" i="838"/>
  <c r="AW133" i="838"/>
  <c r="AN133" i="838"/>
  <c r="AO133" i="838" s="1"/>
  <c r="U133" i="838"/>
  <c r="V133" i="838" s="1"/>
  <c r="N133" i="838"/>
  <c r="AX132" i="838"/>
  <c r="AW132" i="838"/>
  <c r="AN132" i="838"/>
  <c r="AO132" i="838" s="1"/>
  <c r="U132" i="838"/>
  <c r="V132" i="838" s="1"/>
  <c r="N132" i="838"/>
  <c r="AX131" i="838"/>
  <c r="AW131" i="838"/>
  <c r="AN131" i="838"/>
  <c r="AO131" i="838" s="1"/>
  <c r="U131" i="838"/>
  <c r="V131" i="838" s="1"/>
  <c r="N131" i="838"/>
  <c r="AX130" i="838"/>
  <c r="AW130" i="838"/>
  <c r="AN130" i="838"/>
  <c r="AO130" i="838" s="1"/>
  <c r="U130" i="838"/>
  <c r="V130" i="838" s="1"/>
  <c r="N130" i="838"/>
  <c r="AX129" i="838"/>
  <c r="AW129" i="838"/>
  <c r="AN129" i="838"/>
  <c r="AO129" i="838" s="1"/>
  <c r="U129" i="838"/>
  <c r="V129" i="838" s="1"/>
  <c r="N129" i="838"/>
  <c r="AX128" i="838"/>
  <c r="AW128" i="838"/>
  <c r="AN128" i="838"/>
  <c r="AO128" i="838" s="1"/>
  <c r="U128" i="838"/>
  <c r="V128" i="838" s="1"/>
  <c r="N128" i="838"/>
  <c r="AX127" i="838"/>
  <c r="AW127" i="838"/>
  <c r="AN127" i="838"/>
  <c r="AO127" i="838" s="1"/>
  <c r="U127" i="838"/>
  <c r="V127" i="838" s="1"/>
  <c r="N127" i="838"/>
  <c r="AX126" i="838"/>
  <c r="AW126" i="838"/>
  <c r="AN126" i="838"/>
  <c r="AO126" i="838" s="1"/>
  <c r="U126" i="838"/>
  <c r="V126" i="838" s="1"/>
  <c r="N126" i="838"/>
  <c r="AX125" i="838"/>
  <c r="AW125" i="838"/>
  <c r="AN125" i="838"/>
  <c r="AO125" i="838" s="1"/>
  <c r="U125" i="838"/>
  <c r="V125" i="838" s="1"/>
  <c r="N125" i="838"/>
  <c r="AX124" i="838"/>
  <c r="AW124" i="838"/>
  <c r="AN124" i="838"/>
  <c r="AO124" i="838" s="1"/>
  <c r="U124" i="838"/>
  <c r="V124" i="838" s="1"/>
  <c r="N124" i="838"/>
  <c r="AX123" i="838"/>
  <c r="AW123" i="838"/>
  <c r="AN123" i="838"/>
  <c r="AO123" i="838" s="1"/>
  <c r="U123" i="838"/>
  <c r="V123" i="838" s="1"/>
  <c r="N123" i="838"/>
  <c r="AX122" i="838"/>
  <c r="AW122" i="838"/>
  <c r="AN122" i="838"/>
  <c r="AO122" i="838" s="1"/>
  <c r="U122" i="838"/>
  <c r="V122" i="838" s="1"/>
  <c r="N122" i="838"/>
  <c r="AX121" i="838"/>
  <c r="AW121" i="838"/>
  <c r="AN121" i="838"/>
  <c r="AO121" i="838" s="1"/>
  <c r="U121" i="838"/>
  <c r="V121" i="838" s="1"/>
  <c r="N121" i="838"/>
  <c r="AX120" i="838"/>
  <c r="AW120" i="838"/>
  <c r="AN120" i="838"/>
  <c r="AO120" i="838" s="1"/>
  <c r="U120" i="838"/>
  <c r="V120" i="838" s="1"/>
  <c r="N120" i="838"/>
  <c r="AX119" i="838"/>
  <c r="AW119" i="838"/>
  <c r="AN119" i="838"/>
  <c r="AO119" i="838" s="1"/>
  <c r="U119" i="838"/>
  <c r="V119" i="838" s="1"/>
  <c r="N119" i="838"/>
  <c r="AX118" i="838"/>
  <c r="AW118" i="838"/>
  <c r="AN118" i="838"/>
  <c r="AO118" i="838" s="1"/>
  <c r="U118" i="838"/>
  <c r="V118" i="838" s="1"/>
  <c r="N118" i="838"/>
  <c r="AX117" i="838"/>
  <c r="AW117" i="838"/>
  <c r="AN117" i="838"/>
  <c r="AO117" i="838" s="1"/>
  <c r="U117" i="838"/>
  <c r="V117" i="838" s="1"/>
  <c r="N117" i="838"/>
  <c r="AX116" i="838"/>
  <c r="AW116" i="838"/>
  <c r="AN116" i="838"/>
  <c r="AO116" i="838" s="1"/>
  <c r="U116" i="838"/>
  <c r="V116" i="838" s="1"/>
  <c r="N116" i="838"/>
  <c r="AX115" i="838"/>
  <c r="AW115" i="838"/>
  <c r="AN115" i="838"/>
  <c r="AO115" i="838" s="1"/>
  <c r="U115" i="838"/>
  <c r="V115" i="838" s="1"/>
  <c r="N115" i="838"/>
  <c r="AX114" i="838"/>
  <c r="AW114" i="838"/>
  <c r="AN114" i="838"/>
  <c r="AO114" i="838" s="1"/>
  <c r="U114" i="838"/>
  <c r="V114" i="838" s="1"/>
  <c r="N114" i="838"/>
  <c r="AX113" i="838"/>
  <c r="AW113" i="838"/>
  <c r="AN113" i="838"/>
  <c r="AO113" i="838" s="1"/>
  <c r="U113" i="838"/>
  <c r="V113" i="838" s="1"/>
  <c r="N113" i="838"/>
  <c r="AX112" i="838"/>
  <c r="AW112" i="838"/>
  <c r="AN112" i="838"/>
  <c r="AO112" i="838" s="1"/>
  <c r="U112" i="838"/>
  <c r="V112" i="838" s="1"/>
  <c r="N112" i="838"/>
  <c r="AX111" i="838"/>
  <c r="AW111" i="838"/>
  <c r="AN111" i="838"/>
  <c r="AO111" i="838" s="1"/>
  <c r="U111" i="838"/>
  <c r="V111" i="838" s="1"/>
  <c r="N111" i="838"/>
  <c r="AX110" i="838"/>
  <c r="AW110" i="838"/>
  <c r="AN110" i="838"/>
  <c r="AO110" i="838" s="1"/>
  <c r="U110" i="838"/>
  <c r="V110" i="838" s="1"/>
  <c r="N110" i="838"/>
  <c r="AX109" i="838"/>
  <c r="AW109" i="838"/>
  <c r="AN109" i="838"/>
  <c r="AO109" i="838" s="1"/>
  <c r="U109" i="838"/>
  <c r="V109" i="838" s="1"/>
  <c r="N109" i="838"/>
  <c r="AX108" i="838"/>
  <c r="AW108" i="838"/>
  <c r="AN108" i="838"/>
  <c r="AO108" i="838" s="1"/>
  <c r="U108" i="838"/>
  <c r="V108" i="838" s="1"/>
  <c r="N108" i="838"/>
  <c r="AX107" i="838"/>
  <c r="AW107" i="838"/>
  <c r="AN107" i="838"/>
  <c r="AO107" i="838" s="1"/>
  <c r="U107" i="838"/>
  <c r="V107" i="838" s="1"/>
  <c r="N107" i="838"/>
  <c r="AX106" i="838"/>
  <c r="AW106" i="838"/>
  <c r="AN106" i="838"/>
  <c r="AO106" i="838" s="1"/>
  <c r="U106" i="838"/>
  <c r="V106" i="838" s="1"/>
  <c r="N106" i="838"/>
  <c r="AX105" i="838"/>
  <c r="AW105" i="838"/>
  <c r="AN105" i="838"/>
  <c r="AO105" i="838" s="1"/>
  <c r="U105" i="838"/>
  <c r="V105" i="838" s="1"/>
  <c r="N105" i="838"/>
  <c r="AX104" i="838"/>
  <c r="AW104" i="838"/>
  <c r="AN104" i="838"/>
  <c r="AO104" i="838" s="1"/>
  <c r="U104" i="838"/>
  <c r="V104" i="838" s="1"/>
  <c r="N104" i="838"/>
  <c r="AX103" i="838"/>
  <c r="AW103" i="838"/>
  <c r="AN103" i="838"/>
  <c r="AO103" i="838" s="1"/>
  <c r="U103" i="838"/>
  <c r="V103" i="838" s="1"/>
  <c r="N103" i="838"/>
  <c r="AX102" i="838"/>
  <c r="AW102" i="838"/>
  <c r="AN102" i="838"/>
  <c r="AO102" i="838" s="1"/>
  <c r="U102" i="838"/>
  <c r="V102" i="838" s="1"/>
  <c r="N102" i="838"/>
  <c r="AX101" i="838"/>
  <c r="AW101" i="838"/>
  <c r="AN101" i="838"/>
  <c r="AO101" i="838" s="1"/>
  <c r="U101" i="838"/>
  <c r="V101" i="838" s="1"/>
  <c r="N101" i="838"/>
  <c r="AX100" i="838"/>
  <c r="AW100" i="838"/>
  <c r="AN100" i="838"/>
  <c r="AO100" i="838" s="1"/>
  <c r="U100" i="838"/>
  <c r="V100" i="838" s="1"/>
  <c r="N100" i="838"/>
  <c r="AX99" i="838"/>
  <c r="AW99" i="838"/>
  <c r="AN99" i="838"/>
  <c r="AO99" i="838" s="1"/>
  <c r="U99" i="838"/>
  <c r="V99" i="838" s="1"/>
  <c r="N99" i="838"/>
  <c r="AX98" i="838"/>
  <c r="AW98" i="838"/>
  <c r="AN98" i="838"/>
  <c r="AO98" i="838" s="1"/>
  <c r="U98" i="838"/>
  <c r="V98" i="838" s="1"/>
  <c r="N98" i="838"/>
  <c r="AX97" i="838"/>
  <c r="AW97" i="838"/>
  <c r="AN97" i="838"/>
  <c r="AO97" i="838" s="1"/>
  <c r="U97" i="838"/>
  <c r="V97" i="838" s="1"/>
  <c r="N97" i="838"/>
  <c r="AX96" i="838"/>
  <c r="AW96" i="838"/>
  <c r="AN96" i="838"/>
  <c r="AO96" i="838" s="1"/>
  <c r="U96" i="838"/>
  <c r="V96" i="838" s="1"/>
  <c r="N96" i="838"/>
  <c r="AX95" i="838"/>
  <c r="AW95" i="838"/>
  <c r="AN95" i="838"/>
  <c r="AO95" i="838" s="1"/>
  <c r="U95" i="838"/>
  <c r="V95" i="838" s="1"/>
  <c r="N95" i="838"/>
  <c r="AX94" i="838"/>
  <c r="AW94" i="838"/>
  <c r="AN94" i="838"/>
  <c r="AO94" i="838" s="1"/>
  <c r="U94" i="838"/>
  <c r="V94" i="838" s="1"/>
  <c r="N94" i="838"/>
  <c r="AX93" i="838"/>
  <c r="AW93" i="838"/>
  <c r="AN93" i="838"/>
  <c r="AO93" i="838" s="1"/>
  <c r="U93" i="838"/>
  <c r="V93" i="838" s="1"/>
  <c r="N93" i="838"/>
  <c r="AX92" i="838"/>
  <c r="AW92" i="838"/>
  <c r="AN92" i="838"/>
  <c r="AO92" i="838" s="1"/>
  <c r="U92" i="838"/>
  <c r="V92" i="838" s="1"/>
  <c r="N92" i="838"/>
  <c r="AX91" i="838"/>
  <c r="AW91" i="838"/>
  <c r="AN91" i="838"/>
  <c r="AO91" i="838" s="1"/>
  <c r="U91" i="838"/>
  <c r="V91" i="838" s="1"/>
  <c r="N91" i="838"/>
  <c r="AX90" i="838"/>
  <c r="AW90" i="838"/>
  <c r="AN90" i="838"/>
  <c r="AO90" i="838" s="1"/>
  <c r="U90" i="838"/>
  <c r="V90" i="838" s="1"/>
  <c r="N90" i="838"/>
  <c r="AX89" i="838"/>
  <c r="AW89" i="838"/>
  <c r="AN89" i="838"/>
  <c r="AO89" i="838" s="1"/>
  <c r="U89" i="838"/>
  <c r="V89" i="838" s="1"/>
  <c r="N89" i="838"/>
  <c r="AX88" i="838"/>
  <c r="AW88" i="838"/>
  <c r="AN88" i="838"/>
  <c r="AO88" i="838" s="1"/>
  <c r="U88" i="838"/>
  <c r="V88" i="838" s="1"/>
  <c r="N88" i="838"/>
  <c r="AX87" i="838"/>
  <c r="AW87" i="838"/>
  <c r="AN87" i="838"/>
  <c r="AO87" i="838" s="1"/>
  <c r="U87" i="838"/>
  <c r="V87" i="838" s="1"/>
  <c r="N87" i="838"/>
  <c r="AX86" i="838"/>
  <c r="AW86" i="838"/>
  <c r="AN86" i="838"/>
  <c r="AO86" i="838" s="1"/>
  <c r="U86" i="838"/>
  <c r="V86" i="838" s="1"/>
  <c r="N86" i="838"/>
  <c r="AX85" i="838"/>
  <c r="AW85" i="838"/>
  <c r="AN85" i="838"/>
  <c r="AO85" i="838" s="1"/>
  <c r="U85" i="838"/>
  <c r="V85" i="838" s="1"/>
  <c r="N85" i="838"/>
  <c r="AX84" i="838"/>
  <c r="AW84" i="838"/>
  <c r="AN84" i="838"/>
  <c r="AO84" i="838" s="1"/>
  <c r="U84" i="838"/>
  <c r="V84" i="838" s="1"/>
  <c r="N84" i="838"/>
  <c r="AX83" i="838"/>
  <c r="AW83" i="838"/>
  <c r="AN83" i="838"/>
  <c r="AO83" i="838" s="1"/>
  <c r="U83" i="838"/>
  <c r="V83" i="838" s="1"/>
  <c r="N83" i="838"/>
  <c r="AX82" i="838"/>
  <c r="AW82" i="838"/>
  <c r="AN82" i="838"/>
  <c r="AO82" i="838" s="1"/>
  <c r="U82" i="838"/>
  <c r="V82" i="838" s="1"/>
  <c r="N82" i="838"/>
  <c r="AX81" i="838"/>
  <c r="AW81" i="838"/>
  <c r="AN81" i="838"/>
  <c r="AO81" i="838" s="1"/>
  <c r="U81" i="838"/>
  <c r="V81" i="838" s="1"/>
  <c r="N81" i="838"/>
  <c r="AX80" i="838"/>
  <c r="AW80" i="838"/>
  <c r="AN80" i="838"/>
  <c r="AO80" i="838" s="1"/>
  <c r="U80" i="838"/>
  <c r="V80" i="838" s="1"/>
  <c r="N80" i="838"/>
  <c r="AX79" i="838"/>
  <c r="AW79" i="838"/>
  <c r="AN79" i="838"/>
  <c r="AO79" i="838" s="1"/>
  <c r="U79" i="838"/>
  <c r="V79" i="838" s="1"/>
  <c r="N79" i="838"/>
  <c r="AX78" i="838"/>
  <c r="AW78" i="838"/>
  <c r="AN78" i="838"/>
  <c r="AO78" i="838" s="1"/>
  <c r="U78" i="838"/>
  <c r="V78" i="838" s="1"/>
  <c r="N78" i="838"/>
  <c r="AX77" i="838"/>
  <c r="AW77" i="838"/>
  <c r="AN77" i="838"/>
  <c r="AO77" i="838" s="1"/>
  <c r="U77" i="838"/>
  <c r="V77" i="838" s="1"/>
  <c r="N77" i="838"/>
  <c r="AX76" i="838"/>
  <c r="AW76" i="838"/>
  <c r="AN76" i="838"/>
  <c r="AO76" i="838" s="1"/>
  <c r="U76" i="838"/>
  <c r="V76" i="838" s="1"/>
  <c r="N76" i="838"/>
  <c r="AX75" i="838"/>
  <c r="AW75" i="838"/>
  <c r="AN75" i="838"/>
  <c r="AO75" i="838" s="1"/>
  <c r="U75" i="838"/>
  <c r="V75" i="838" s="1"/>
  <c r="N75" i="838"/>
  <c r="AX74" i="838"/>
  <c r="AW74" i="838"/>
  <c r="AN74" i="838"/>
  <c r="AO74" i="838" s="1"/>
  <c r="U74" i="838"/>
  <c r="V74" i="838" s="1"/>
  <c r="N74" i="838"/>
  <c r="AX73" i="838"/>
  <c r="AW73" i="838"/>
  <c r="AN73" i="838"/>
  <c r="AO73" i="838" s="1"/>
  <c r="U73" i="838"/>
  <c r="V73" i="838" s="1"/>
  <c r="N73" i="838"/>
  <c r="AX72" i="838"/>
  <c r="AW72" i="838"/>
  <c r="AN72" i="838"/>
  <c r="AO72" i="838" s="1"/>
  <c r="U72" i="838"/>
  <c r="V72" i="838" s="1"/>
  <c r="N72" i="838"/>
  <c r="AX71" i="838"/>
  <c r="AW71" i="838"/>
  <c r="AN71" i="838"/>
  <c r="AO71" i="838" s="1"/>
  <c r="U71" i="838"/>
  <c r="V71" i="838" s="1"/>
  <c r="N71" i="838"/>
  <c r="AX70" i="838"/>
  <c r="AW70" i="838"/>
  <c r="AN70" i="838"/>
  <c r="AO70" i="838" s="1"/>
  <c r="U70" i="838"/>
  <c r="V70" i="838" s="1"/>
  <c r="N70" i="838"/>
  <c r="AX69" i="838"/>
  <c r="AW69" i="838"/>
  <c r="AN69" i="838"/>
  <c r="AO69" i="838" s="1"/>
  <c r="U69" i="838"/>
  <c r="V69" i="838" s="1"/>
  <c r="N69" i="838"/>
  <c r="AX68" i="838"/>
  <c r="AW68" i="838"/>
  <c r="AN68" i="838"/>
  <c r="AO68" i="838" s="1"/>
  <c r="U68" i="838"/>
  <c r="V68" i="838" s="1"/>
  <c r="N68" i="838"/>
  <c r="AX67" i="838"/>
  <c r="AW67" i="838"/>
  <c r="AN67" i="838"/>
  <c r="AO67" i="838" s="1"/>
  <c r="U67" i="838"/>
  <c r="V67" i="838" s="1"/>
  <c r="N67" i="838"/>
  <c r="AX66" i="838"/>
  <c r="AW66" i="838"/>
  <c r="AN66" i="838"/>
  <c r="AO66" i="838" s="1"/>
  <c r="U66" i="838"/>
  <c r="V66" i="838" s="1"/>
  <c r="N66" i="838"/>
  <c r="AX65" i="838"/>
  <c r="AW65" i="838"/>
  <c r="AN65" i="838"/>
  <c r="AO65" i="838" s="1"/>
  <c r="U65" i="838"/>
  <c r="V65" i="838" s="1"/>
  <c r="N65" i="838"/>
  <c r="AX64" i="838"/>
  <c r="AW64" i="838"/>
  <c r="AN64" i="838"/>
  <c r="AO64" i="838" s="1"/>
  <c r="U64" i="838"/>
  <c r="V64" i="838" s="1"/>
  <c r="N64" i="838"/>
  <c r="AX63" i="838"/>
  <c r="AW63" i="838"/>
  <c r="AN63" i="838"/>
  <c r="AO63" i="838" s="1"/>
  <c r="U63" i="838"/>
  <c r="V63" i="838" s="1"/>
  <c r="N63" i="838"/>
  <c r="AX62" i="838"/>
  <c r="AW62" i="838"/>
  <c r="AN62" i="838"/>
  <c r="AO62" i="838" s="1"/>
  <c r="U62" i="838"/>
  <c r="V62" i="838" s="1"/>
  <c r="N62" i="838"/>
  <c r="AX61" i="838"/>
  <c r="AW61" i="838"/>
  <c r="AN61" i="838"/>
  <c r="AO61" i="838" s="1"/>
  <c r="U61" i="838"/>
  <c r="V61" i="838" s="1"/>
  <c r="N61" i="838"/>
  <c r="AX60" i="838"/>
  <c r="AW60" i="838"/>
  <c r="AN60" i="838"/>
  <c r="AO60" i="838" s="1"/>
  <c r="U60" i="838"/>
  <c r="V60" i="838" s="1"/>
  <c r="N60" i="838"/>
  <c r="AX59" i="838"/>
  <c r="AW59" i="838"/>
  <c r="AN59" i="838"/>
  <c r="AO59" i="838" s="1"/>
  <c r="U59" i="838"/>
  <c r="V59" i="838" s="1"/>
  <c r="N59" i="838"/>
  <c r="AX58" i="838"/>
  <c r="AW58" i="838"/>
  <c r="AN58" i="838"/>
  <c r="AO58" i="838" s="1"/>
  <c r="U58" i="838"/>
  <c r="V58" i="838" s="1"/>
  <c r="N58" i="838"/>
  <c r="AX57" i="838"/>
  <c r="AW57" i="838"/>
  <c r="AN57" i="838"/>
  <c r="AO57" i="838" s="1"/>
  <c r="U57" i="838"/>
  <c r="V57" i="838" s="1"/>
  <c r="N57" i="838"/>
  <c r="AX56" i="838"/>
  <c r="AW56" i="838"/>
  <c r="AN56" i="838"/>
  <c r="AO56" i="838" s="1"/>
  <c r="U56" i="838"/>
  <c r="V56" i="838" s="1"/>
  <c r="N56" i="838"/>
  <c r="AX55" i="838"/>
  <c r="AW55" i="838"/>
  <c r="AN55" i="838"/>
  <c r="AO55" i="838" s="1"/>
  <c r="U55" i="838"/>
  <c r="V55" i="838" s="1"/>
  <c r="N55" i="838"/>
  <c r="AX54" i="838"/>
  <c r="AW54" i="838"/>
  <c r="AN54" i="838"/>
  <c r="AO54" i="838" s="1"/>
  <c r="U54" i="838"/>
  <c r="V54" i="838" s="1"/>
  <c r="N54" i="838"/>
  <c r="AX53" i="838"/>
  <c r="AW53" i="838"/>
  <c r="AN53" i="838"/>
  <c r="AO53" i="838" s="1"/>
  <c r="U53" i="838"/>
  <c r="V53" i="838" s="1"/>
  <c r="N53" i="838"/>
  <c r="AX52" i="838"/>
  <c r="AW52" i="838"/>
  <c r="AN52" i="838"/>
  <c r="AO52" i="838" s="1"/>
  <c r="U52" i="838"/>
  <c r="V52" i="838" s="1"/>
  <c r="N52" i="838"/>
  <c r="AX51" i="838"/>
  <c r="AW51" i="838"/>
  <c r="AN51" i="838"/>
  <c r="AO51" i="838" s="1"/>
  <c r="U51" i="838"/>
  <c r="V51" i="838" s="1"/>
  <c r="N51" i="838"/>
  <c r="AX50" i="838"/>
  <c r="AW50" i="838"/>
  <c r="AN50" i="838"/>
  <c r="AO50" i="838" s="1"/>
  <c r="U50" i="838"/>
  <c r="V50" i="838" s="1"/>
  <c r="N50" i="838"/>
  <c r="AX49" i="838"/>
  <c r="AW49" i="838"/>
  <c r="AN49" i="838"/>
  <c r="AO49" i="838" s="1"/>
  <c r="U49" i="838"/>
  <c r="V49" i="838" s="1"/>
  <c r="N49" i="838"/>
  <c r="AX48" i="838"/>
  <c r="AW48" i="838"/>
  <c r="AN48" i="838"/>
  <c r="AO48" i="838" s="1"/>
  <c r="U48" i="838"/>
  <c r="V48" i="838" s="1"/>
  <c r="N48" i="838"/>
  <c r="AX47" i="838"/>
  <c r="AW47" i="838"/>
  <c r="AN47" i="838"/>
  <c r="AO47" i="838" s="1"/>
  <c r="U47" i="838"/>
  <c r="V47" i="838" s="1"/>
  <c r="N47" i="838"/>
  <c r="AX46" i="838"/>
  <c r="AW46" i="838"/>
  <c r="AN46" i="838"/>
  <c r="AO46" i="838" s="1"/>
  <c r="U46" i="838"/>
  <c r="V46" i="838" s="1"/>
  <c r="N46" i="838"/>
  <c r="AX45" i="838"/>
  <c r="AW45" i="838"/>
  <c r="AN45" i="838"/>
  <c r="AO45" i="838" s="1"/>
  <c r="U45" i="838"/>
  <c r="V45" i="838" s="1"/>
  <c r="N45" i="838"/>
  <c r="AX44" i="838"/>
  <c r="AW44" i="838"/>
  <c r="AN44" i="838"/>
  <c r="AO44" i="838" s="1"/>
  <c r="U44" i="838"/>
  <c r="V44" i="838" s="1"/>
  <c r="N44" i="838"/>
  <c r="AX43" i="838"/>
  <c r="AW43" i="838"/>
  <c r="AN43" i="838"/>
  <c r="AO43" i="838" s="1"/>
  <c r="U43" i="838"/>
  <c r="V43" i="838" s="1"/>
  <c r="N43" i="838"/>
  <c r="N42" i="838"/>
  <c r="AX41" i="838"/>
  <c r="AW41" i="838"/>
  <c r="AN41" i="838"/>
  <c r="AO41" i="838" s="1"/>
  <c r="U41" i="838"/>
  <c r="V41" i="838" s="1"/>
  <c r="N41" i="838"/>
  <c r="N40" i="838"/>
  <c r="AX39" i="838"/>
  <c r="AW39" i="838"/>
  <c r="AN39" i="838"/>
  <c r="AO39" i="838" s="1"/>
  <c r="U39" i="838"/>
  <c r="V39" i="838" s="1"/>
  <c r="N39" i="838"/>
  <c r="N38" i="838"/>
  <c r="AX37" i="838"/>
  <c r="AW37" i="838"/>
  <c r="AN37" i="838"/>
  <c r="AO37" i="838" s="1"/>
  <c r="U37" i="838"/>
  <c r="V37" i="838" s="1"/>
  <c r="N37" i="838"/>
  <c r="AX36" i="838"/>
  <c r="AW36" i="838"/>
  <c r="AN36" i="838"/>
  <c r="AO36" i="838" s="1"/>
  <c r="U36" i="838"/>
  <c r="V36" i="838" s="1"/>
  <c r="N36" i="838"/>
  <c r="N35" i="838"/>
  <c r="AX34" i="838"/>
  <c r="AW34" i="838"/>
  <c r="AN34" i="838"/>
  <c r="AO34" i="838" s="1"/>
  <c r="U34" i="838"/>
  <c r="V34" i="838" s="1"/>
  <c r="N34" i="838"/>
  <c r="N33" i="838"/>
  <c r="AX32" i="838"/>
  <c r="AW32" i="838"/>
  <c r="AN32" i="838"/>
  <c r="AO32" i="838" s="1"/>
  <c r="U32" i="838"/>
  <c r="V32" i="838" s="1"/>
  <c r="N32" i="838"/>
  <c r="AX31" i="838"/>
  <c r="AW31" i="838"/>
  <c r="AN31" i="838"/>
  <c r="AO31" i="838" s="1"/>
  <c r="U31" i="838"/>
  <c r="V31" i="838" s="1"/>
  <c r="N31" i="838"/>
  <c r="N30" i="838"/>
  <c r="AX29" i="838"/>
  <c r="AW29" i="838"/>
  <c r="AN29" i="838"/>
  <c r="AO29" i="838" s="1"/>
  <c r="U29" i="838"/>
  <c r="V29" i="838" s="1"/>
  <c r="N29" i="838"/>
  <c r="N28" i="838"/>
  <c r="AX27" i="838"/>
  <c r="AW27" i="838"/>
  <c r="AN27" i="838"/>
  <c r="AO27" i="838" s="1"/>
  <c r="U27" i="838"/>
  <c r="V27" i="838" s="1"/>
  <c r="N27" i="838"/>
  <c r="N26" i="838"/>
  <c r="AX25" i="838"/>
  <c r="AW25" i="838"/>
  <c r="AN25" i="838"/>
  <c r="AO25" i="838" s="1"/>
  <c r="U25" i="838"/>
  <c r="V25" i="838" s="1"/>
  <c r="N25" i="838"/>
  <c r="N24" i="838"/>
  <c r="AX23" i="838"/>
  <c r="AW23" i="838"/>
  <c r="AN23" i="838"/>
  <c r="AO23" i="838" s="1"/>
  <c r="U23" i="838"/>
  <c r="V23" i="838" s="1"/>
  <c r="N23" i="838"/>
  <c r="N22" i="838"/>
  <c r="AX21" i="838"/>
  <c r="AW21" i="838"/>
  <c r="AN21" i="838"/>
  <c r="AO21" i="838" s="1"/>
  <c r="U21" i="838"/>
  <c r="V21" i="838" s="1"/>
  <c r="N21" i="838"/>
  <c r="N20" i="838"/>
  <c r="AX19" i="838"/>
  <c r="AW19" i="838"/>
  <c r="AN19" i="838"/>
  <c r="AO19" i="838" s="1"/>
  <c r="U19" i="838"/>
  <c r="V19" i="838" s="1"/>
  <c r="N19" i="838"/>
  <c r="N18" i="838"/>
  <c r="AX17" i="838"/>
  <c r="AW17" i="838"/>
  <c r="AN17" i="838"/>
  <c r="AO17" i="838" s="1"/>
  <c r="U17" i="838"/>
  <c r="V17" i="838" s="1"/>
  <c r="N17" i="838"/>
  <c r="N16" i="838"/>
  <c r="AX15" i="838"/>
  <c r="AW15" i="838"/>
  <c r="AN15" i="838"/>
  <c r="AO15" i="838" s="1"/>
  <c r="U15" i="838"/>
  <c r="V15" i="838" s="1"/>
  <c r="N15" i="838"/>
  <c r="N14" i="838"/>
  <c r="AX13" i="838"/>
  <c r="AW13" i="838"/>
  <c r="AN13" i="838"/>
  <c r="AO13" i="838" s="1"/>
  <c r="U13" i="838"/>
  <c r="V13" i="838" s="1"/>
  <c r="N13" i="838"/>
  <c r="N12" i="838"/>
  <c r="AX11" i="838"/>
  <c r="AW11" i="838"/>
  <c r="AN11" i="838"/>
  <c r="AO11" i="838" s="1"/>
  <c r="U11" i="838"/>
  <c r="V11" i="838" s="1"/>
  <c r="N11" i="838"/>
  <c r="N10" i="838"/>
  <c r="AX9" i="838"/>
  <c r="AW9" i="838"/>
  <c r="AN9" i="838"/>
  <c r="AO9" i="838" s="1"/>
  <c r="U9" i="838"/>
  <c r="V9" i="838" s="1"/>
  <c r="N9" i="838"/>
  <c r="N8" i="838"/>
  <c r="AX7" i="838"/>
  <c r="AW7" i="838"/>
  <c r="AN7" i="838"/>
  <c r="AO7" i="838" s="1"/>
  <c r="U7" i="838"/>
  <c r="V7" i="838" s="1"/>
  <c r="N7" i="838"/>
  <c r="N6" i="838"/>
  <c r="AX5" i="838"/>
  <c r="AW5" i="838"/>
  <c r="AN5" i="838"/>
  <c r="AO5" i="838" s="1"/>
  <c r="U5" i="838"/>
  <c r="V5" i="838" s="1"/>
  <c r="N5" i="838"/>
  <c r="AS2" i="838"/>
  <c r="AA2" i="838"/>
  <c r="AD2" i="838" s="1"/>
  <c r="I2" i="838"/>
  <c r="AB64" i="838" s="1"/>
  <c r="AC64" i="838" s="1"/>
  <c r="AE64" i="838" s="1"/>
  <c r="AH120" i="839" l="1"/>
  <c r="AJ64" i="839"/>
  <c r="AJ67" i="839"/>
  <c r="AH65" i="839"/>
  <c r="AJ54" i="839"/>
  <c r="AH106" i="839"/>
  <c r="AL106" i="839" s="1"/>
  <c r="AJ80" i="839"/>
  <c r="AH73" i="839"/>
  <c r="AJ13" i="839"/>
  <c r="AJ18" i="839"/>
  <c r="AL9" i="839"/>
  <c r="AH61" i="839"/>
  <c r="AH107" i="839"/>
  <c r="AK107" i="839" s="1"/>
  <c r="AH76" i="839"/>
  <c r="AL76" i="839" s="1"/>
  <c r="AJ117" i="839"/>
  <c r="AJ123" i="839"/>
  <c r="AJ129" i="839"/>
  <c r="AJ84" i="839"/>
  <c r="AH41" i="839"/>
  <c r="AL41" i="839" s="1"/>
  <c r="AJ56" i="839"/>
  <c r="AH85" i="839"/>
  <c r="AJ51" i="839"/>
  <c r="AJ40" i="839"/>
  <c r="AJ19" i="839"/>
  <c r="AH108" i="839"/>
  <c r="AH38" i="839"/>
  <c r="AJ17" i="839"/>
  <c r="AJ126" i="839"/>
  <c r="AH95" i="839"/>
  <c r="AL95" i="839" s="1"/>
  <c r="AJ5" i="839"/>
  <c r="AH24" i="839"/>
  <c r="AL82" i="839"/>
  <c r="AH35" i="839"/>
  <c r="AL35" i="839" s="1"/>
  <c r="AH23" i="839"/>
  <c r="AL23" i="839" s="1"/>
  <c r="AH70" i="839"/>
  <c r="AL70" i="839" s="1"/>
  <c r="AH21" i="839"/>
  <c r="AL21" i="839" s="1"/>
  <c r="AJ114" i="839"/>
  <c r="AJ26" i="839"/>
  <c r="AJ86" i="839"/>
  <c r="AH96" i="839"/>
  <c r="AJ125" i="839"/>
  <c r="AL36" i="839"/>
  <c r="AK36" i="839"/>
  <c r="AL49" i="839"/>
  <c r="AK49" i="839"/>
  <c r="AK44" i="839"/>
  <c r="AL44" i="839"/>
  <c r="AK103" i="839"/>
  <c r="AL103" i="839"/>
  <c r="AL125" i="839"/>
  <c r="AK125" i="839"/>
  <c r="AL39" i="839"/>
  <c r="AK39" i="839"/>
  <c r="AL89" i="839"/>
  <c r="AK89" i="839"/>
  <c r="AL91" i="839"/>
  <c r="AK91" i="839"/>
  <c r="AL118" i="839"/>
  <c r="AK118" i="839"/>
  <c r="AL129" i="839"/>
  <c r="AK129" i="839"/>
  <c r="AL77" i="839"/>
  <c r="AK77" i="839"/>
  <c r="AK86" i="839"/>
  <c r="AL86" i="839"/>
  <c r="AL128" i="839"/>
  <c r="AK128" i="839"/>
  <c r="AL84" i="839"/>
  <c r="AK84" i="839"/>
  <c r="AL97" i="839"/>
  <c r="AK97" i="839"/>
  <c r="AK126" i="839"/>
  <c r="AL126" i="839"/>
  <c r="AL5" i="839"/>
  <c r="AK5" i="839"/>
  <c r="AL30" i="839"/>
  <c r="AK30" i="839"/>
  <c r="AL75" i="839"/>
  <c r="AK75" i="839"/>
  <c r="AK119" i="839"/>
  <c r="AL119" i="839"/>
  <c r="AL115" i="839"/>
  <c r="AK115" i="839"/>
  <c r="AJ39" i="839"/>
  <c r="AK42" i="839"/>
  <c r="AL42" i="839"/>
  <c r="AK136" i="839"/>
  <c r="AL136" i="839"/>
  <c r="AH69" i="839"/>
  <c r="AL98" i="839"/>
  <c r="AK98" i="839"/>
  <c r="AH32" i="839"/>
  <c r="AL24" i="839"/>
  <c r="AK24" i="839"/>
  <c r="AL74" i="839"/>
  <c r="AK74" i="839"/>
  <c r="AL120" i="839"/>
  <c r="AK120" i="839"/>
  <c r="AH43" i="839"/>
  <c r="AL50" i="839"/>
  <c r="AK50" i="839"/>
  <c r="AJ49" i="839"/>
  <c r="AL27" i="839"/>
  <c r="AK27" i="839"/>
  <c r="AL38" i="839"/>
  <c r="AK38" i="839"/>
  <c r="AL87" i="839"/>
  <c r="AK87" i="839"/>
  <c r="AH28" i="839"/>
  <c r="AK37" i="839"/>
  <c r="AL37" i="839"/>
  <c r="AH83" i="839"/>
  <c r="AL105" i="839"/>
  <c r="AK105" i="839"/>
  <c r="AK73" i="839"/>
  <c r="AL73" i="839"/>
  <c r="AH101" i="839"/>
  <c r="AJ101" i="839"/>
  <c r="AL132" i="839"/>
  <c r="AK132" i="839"/>
  <c r="AJ44" i="839"/>
  <c r="AL108" i="839"/>
  <c r="AK108" i="839"/>
  <c r="AL127" i="839"/>
  <c r="AK127" i="839"/>
  <c r="AH102" i="839"/>
  <c r="AL92" i="839"/>
  <c r="AK92" i="839"/>
  <c r="AJ75" i="839"/>
  <c r="AJ128" i="839"/>
  <c r="AL62" i="839"/>
  <c r="AK62" i="839"/>
  <c r="AH34" i="839"/>
  <c r="AH55" i="839"/>
  <c r="AJ55" i="839"/>
  <c r="AL51" i="839"/>
  <c r="AK51" i="839"/>
  <c r="AJ47" i="839"/>
  <c r="AH47" i="839"/>
  <c r="AJ30" i="839"/>
  <c r="AH134" i="839"/>
  <c r="AL26" i="839"/>
  <c r="AK26" i="839"/>
  <c r="AK114" i="839"/>
  <c r="AL114" i="839"/>
  <c r="AL61" i="839"/>
  <c r="AK61" i="839"/>
  <c r="AH53" i="839"/>
  <c r="AJ72" i="839"/>
  <c r="AH72" i="839"/>
  <c r="AK17" i="839"/>
  <c r="AL17" i="839"/>
  <c r="AH60" i="839"/>
  <c r="AL100" i="839"/>
  <c r="AK100" i="839"/>
  <c r="AK131" i="839"/>
  <c r="AL131" i="839"/>
  <c r="AL81" i="839"/>
  <c r="AK81" i="839"/>
  <c r="AK113" i="839"/>
  <c r="AL113" i="839"/>
  <c r="AH135" i="839"/>
  <c r="AK121" i="839"/>
  <c r="AL121" i="839"/>
  <c r="AL117" i="839"/>
  <c r="AK117" i="839"/>
  <c r="AL65" i="839"/>
  <c r="AK65" i="839"/>
  <c r="AL56" i="839"/>
  <c r="AK56" i="839"/>
  <c r="AL88" i="839"/>
  <c r="AK88" i="839"/>
  <c r="AH25" i="839"/>
  <c r="AJ25" i="839"/>
  <c r="AL116" i="839"/>
  <c r="AK116" i="839"/>
  <c r="AL31" i="839"/>
  <c r="AK31" i="839"/>
  <c r="AL40" i="839"/>
  <c r="AK40" i="839"/>
  <c r="AJ22" i="839"/>
  <c r="AH22" i="839"/>
  <c r="AL130" i="839"/>
  <c r="AK130" i="839"/>
  <c r="AH133" i="839"/>
  <c r="AH124" i="839"/>
  <c r="AJ97" i="839"/>
  <c r="AH11" i="839"/>
  <c r="AJ11" i="839"/>
  <c r="AJ118" i="839"/>
  <c r="AJ77" i="839"/>
  <c r="AL45" i="839"/>
  <c r="AK45" i="839"/>
  <c r="AL64" i="839"/>
  <c r="AK64" i="839"/>
  <c r="AL59" i="839"/>
  <c r="AK59" i="839"/>
  <c r="AK29" i="839"/>
  <c r="AL29" i="839"/>
  <c r="AL20" i="839"/>
  <c r="AK20" i="839"/>
  <c r="AK123" i="839"/>
  <c r="AL123" i="839"/>
  <c r="AL7" i="839"/>
  <c r="AK7" i="839"/>
  <c r="AK52" i="839"/>
  <c r="AL52" i="839"/>
  <c r="AL110" i="839"/>
  <c r="AK110" i="839"/>
  <c r="AL104" i="839"/>
  <c r="AK104" i="839"/>
  <c r="AK93" i="839"/>
  <c r="AL93" i="839"/>
  <c r="AH112" i="839"/>
  <c r="AL79" i="839"/>
  <c r="AK79" i="839"/>
  <c r="AK85" i="839"/>
  <c r="AL85" i="839"/>
  <c r="AK46" i="839"/>
  <c r="AL46" i="839"/>
  <c r="AK66" i="839"/>
  <c r="AL66" i="839"/>
  <c r="AL48" i="839"/>
  <c r="AK48" i="839"/>
  <c r="AJ59" i="839"/>
  <c r="AK23" i="839"/>
  <c r="AH78" i="839"/>
  <c r="AJ36" i="839"/>
  <c r="AJ79" i="839"/>
  <c r="AH68" i="839"/>
  <c r="AJ58" i="839"/>
  <c r="AH58" i="839"/>
  <c r="AL19" i="839"/>
  <c r="AK19" i="839"/>
  <c r="AH94" i="839"/>
  <c r="AK13" i="839"/>
  <c r="AL13" i="839"/>
  <c r="AJ89" i="839"/>
  <c r="AK57" i="839"/>
  <c r="AL57" i="839"/>
  <c r="AH15" i="839"/>
  <c r="AK16" i="839"/>
  <c r="AL16" i="839"/>
  <c r="AL54" i="839"/>
  <c r="AK54" i="839"/>
  <c r="AK106" i="839"/>
  <c r="AJ122" i="839"/>
  <c r="AH122" i="839"/>
  <c r="AK67" i="839"/>
  <c r="AL67" i="839"/>
  <c r="AK33" i="839"/>
  <c r="AL33" i="839"/>
  <c r="AL99" i="839"/>
  <c r="AK99" i="839"/>
  <c r="AK96" i="839"/>
  <c r="AL96" i="839"/>
  <c r="AK18" i="839"/>
  <c r="AL18" i="839"/>
  <c r="AH109" i="839"/>
  <c r="AJ109" i="839"/>
  <c r="AL80" i="839"/>
  <c r="AK80" i="839"/>
  <c r="AL71" i="839"/>
  <c r="AK71" i="839"/>
  <c r="AL90" i="839"/>
  <c r="AK90" i="839"/>
  <c r="AK63" i="839"/>
  <c r="AL63" i="839"/>
  <c r="AL111" i="839"/>
  <c r="AK111" i="839"/>
  <c r="AB105" i="838"/>
  <c r="AC105" i="838" s="1"/>
  <c r="AE105" i="838" s="1"/>
  <c r="AB98" i="838"/>
  <c r="AC98" i="838" s="1"/>
  <c r="AE98" i="838" s="1"/>
  <c r="AB83" i="838"/>
  <c r="AC83" i="838" s="1"/>
  <c r="AE83" i="838" s="1"/>
  <c r="AB138" i="838"/>
  <c r="AC138" i="838" s="1"/>
  <c r="AE138" i="838" s="1"/>
  <c r="AJ138" i="838" s="1"/>
  <c r="AB51" i="838"/>
  <c r="AC51" i="838" s="1"/>
  <c r="AE51" i="838" s="1"/>
  <c r="AB15" i="838"/>
  <c r="AC15" i="838" s="1"/>
  <c r="AE15" i="838" s="1"/>
  <c r="AB108" i="838"/>
  <c r="AC108" i="838" s="1"/>
  <c r="AE108" i="838" s="1"/>
  <c r="AH98" i="838"/>
  <c r="AH64" i="838"/>
  <c r="AB62" i="838"/>
  <c r="AC62" i="838" s="1"/>
  <c r="AE62" i="838" s="1"/>
  <c r="AB55" i="838"/>
  <c r="AC55" i="838" s="1"/>
  <c r="AE55" i="838" s="1"/>
  <c r="AH55" i="838" s="1"/>
  <c r="AB66" i="838"/>
  <c r="AC66" i="838" s="1"/>
  <c r="AE66" i="838" s="1"/>
  <c r="AJ66" i="838" s="1"/>
  <c r="AB146" i="838"/>
  <c r="AC146" i="838" s="1"/>
  <c r="AE146" i="838" s="1"/>
  <c r="AJ146" i="838" s="1"/>
  <c r="AB96" i="838"/>
  <c r="AC96" i="838" s="1"/>
  <c r="AE96" i="838" s="1"/>
  <c r="AJ96" i="838" s="1"/>
  <c r="AJ51" i="838"/>
  <c r="AB44" i="838"/>
  <c r="AC44" i="838" s="1"/>
  <c r="AE44" i="838" s="1"/>
  <c r="AJ44" i="838" s="1"/>
  <c r="AB135" i="838"/>
  <c r="AC135" i="838" s="1"/>
  <c r="AE135" i="838" s="1"/>
  <c r="AH135" i="838" s="1"/>
  <c r="AB11" i="838"/>
  <c r="AC11" i="838" s="1"/>
  <c r="AE11" i="838" s="1"/>
  <c r="AJ11" i="838" s="1"/>
  <c r="AB106" i="838"/>
  <c r="AC106" i="838" s="1"/>
  <c r="AE106" i="838" s="1"/>
  <c r="AJ106" i="838" s="1"/>
  <c r="AB113" i="838"/>
  <c r="AC113" i="838" s="1"/>
  <c r="AE113" i="838" s="1"/>
  <c r="AB31" i="838"/>
  <c r="AC31" i="838" s="1"/>
  <c r="AE31" i="838" s="1"/>
  <c r="AB36" i="838"/>
  <c r="AC36" i="838" s="1"/>
  <c r="AE36" i="838" s="1"/>
  <c r="AJ36" i="838" s="1"/>
  <c r="AB53" i="838"/>
  <c r="AC53" i="838" s="1"/>
  <c r="AE53" i="838" s="1"/>
  <c r="AJ53" i="838" s="1"/>
  <c r="AB71" i="838"/>
  <c r="AC71" i="838" s="1"/>
  <c r="AE71" i="838" s="1"/>
  <c r="AJ71" i="838" s="1"/>
  <c r="AB104" i="838"/>
  <c r="AC104" i="838" s="1"/>
  <c r="AE104" i="838" s="1"/>
  <c r="AJ104" i="838" s="1"/>
  <c r="AB140" i="838"/>
  <c r="AC140" i="838" s="1"/>
  <c r="AE140" i="838" s="1"/>
  <c r="AJ140" i="838" s="1"/>
  <c r="AB19" i="838"/>
  <c r="AC19" i="838" s="1"/>
  <c r="AE19" i="838" s="1"/>
  <c r="AJ19" i="838" s="1"/>
  <c r="AH83" i="838"/>
  <c r="AJ83" i="838"/>
  <c r="AJ108" i="838"/>
  <c r="AH108" i="838"/>
  <c r="AJ58" i="838"/>
  <c r="AL98" i="838"/>
  <c r="AK98" i="838"/>
  <c r="AJ62" i="838"/>
  <c r="AH62" i="838"/>
  <c r="AJ131" i="838"/>
  <c r="AH31" i="838"/>
  <c r="AJ31" i="838"/>
  <c r="AK64" i="838"/>
  <c r="AL64" i="838"/>
  <c r="AH15" i="838"/>
  <c r="AJ15" i="838"/>
  <c r="AJ113" i="838"/>
  <c r="AH113" i="838"/>
  <c r="AJ98" i="838"/>
  <c r="AH81" i="838"/>
  <c r="AB142" i="838"/>
  <c r="AC142" i="838" s="1"/>
  <c r="AE142" i="838" s="1"/>
  <c r="AB132" i="838"/>
  <c r="AC132" i="838" s="1"/>
  <c r="AE132" i="838" s="1"/>
  <c r="AJ132" i="838" s="1"/>
  <c r="AB122" i="838"/>
  <c r="AC122" i="838" s="1"/>
  <c r="AE122" i="838" s="1"/>
  <c r="AJ122" i="838" s="1"/>
  <c r="AB112" i="838"/>
  <c r="AC112" i="838" s="1"/>
  <c r="AE112" i="838" s="1"/>
  <c r="AB102" i="838"/>
  <c r="AC102" i="838" s="1"/>
  <c r="AE102" i="838" s="1"/>
  <c r="AJ102" i="838" s="1"/>
  <c r="AB92" i="838"/>
  <c r="AC92" i="838" s="1"/>
  <c r="AE92" i="838" s="1"/>
  <c r="AJ92" i="838" s="1"/>
  <c r="AB82" i="838"/>
  <c r="AC82" i="838" s="1"/>
  <c r="AE82" i="838" s="1"/>
  <c r="AJ82" i="838" s="1"/>
  <c r="AB41" i="838"/>
  <c r="AC41" i="838" s="1"/>
  <c r="AE41" i="838" s="1"/>
  <c r="AH41" i="838" s="1"/>
  <c r="AB139" i="838"/>
  <c r="AC139" i="838" s="1"/>
  <c r="AE139" i="838" s="1"/>
  <c r="AH139" i="838" s="1"/>
  <c r="AB129" i="838"/>
  <c r="AC129" i="838" s="1"/>
  <c r="AE129" i="838" s="1"/>
  <c r="AH129" i="838" s="1"/>
  <c r="AB119" i="838"/>
  <c r="AC119" i="838" s="1"/>
  <c r="AE119" i="838" s="1"/>
  <c r="AJ119" i="838" s="1"/>
  <c r="AB109" i="838"/>
  <c r="AC109" i="838" s="1"/>
  <c r="AE109" i="838" s="1"/>
  <c r="AJ109" i="838" s="1"/>
  <c r="AB99" i="838"/>
  <c r="AC99" i="838" s="1"/>
  <c r="AE99" i="838" s="1"/>
  <c r="AJ99" i="838" s="1"/>
  <c r="AB89" i="838"/>
  <c r="AC89" i="838" s="1"/>
  <c r="AE89" i="838" s="1"/>
  <c r="AH89" i="838" s="1"/>
  <c r="AB79" i="838"/>
  <c r="AC79" i="838" s="1"/>
  <c r="AE79" i="838" s="1"/>
  <c r="AJ79" i="838" s="1"/>
  <c r="AB69" i="838"/>
  <c r="AC69" i="838" s="1"/>
  <c r="AE69" i="838" s="1"/>
  <c r="AJ69" i="838" s="1"/>
  <c r="AB59" i="838"/>
  <c r="AC59" i="838" s="1"/>
  <c r="AE59" i="838" s="1"/>
  <c r="AJ59" i="838" s="1"/>
  <c r="AB49" i="838"/>
  <c r="AC49" i="838" s="1"/>
  <c r="AE49" i="838" s="1"/>
  <c r="AJ49" i="838" s="1"/>
  <c r="AB133" i="838"/>
  <c r="AC133" i="838" s="1"/>
  <c r="AE133" i="838" s="1"/>
  <c r="AJ133" i="838" s="1"/>
  <c r="AB76" i="838"/>
  <c r="AC76" i="838" s="1"/>
  <c r="AE76" i="838" s="1"/>
  <c r="AJ76" i="838" s="1"/>
  <c r="AB65" i="838"/>
  <c r="AC65" i="838" s="1"/>
  <c r="AE65" i="838" s="1"/>
  <c r="AJ65" i="838" s="1"/>
  <c r="AB46" i="838"/>
  <c r="AC46" i="838" s="1"/>
  <c r="AE46" i="838" s="1"/>
  <c r="AJ46" i="838" s="1"/>
  <c r="AB9" i="838"/>
  <c r="AC9" i="838" s="1"/>
  <c r="AE9" i="838" s="1"/>
  <c r="AH9" i="838" s="1"/>
  <c r="AB110" i="838"/>
  <c r="AC110" i="838" s="1"/>
  <c r="AE110" i="838" s="1"/>
  <c r="AJ110" i="838" s="1"/>
  <c r="AB126" i="838"/>
  <c r="AC126" i="838" s="1"/>
  <c r="AE126" i="838" s="1"/>
  <c r="AB120" i="838"/>
  <c r="AC120" i="838" s="1"/>
  <c r="AE120" i="838" s="1"/>
  <c r="AH120" i="838" s="1"/>
  <c r="AB107" i="838"/>
  <c r="AC107" i="838" s="1"/>
  <c r="AE107" i="838" s="1"/>
  <c r="AJ107" i="838" s="1"/>
  <c r="AB81" i="838"/>
  <c r="AC81" i="838" s="1"/>
  <c r="AE81" i="838" s="1"/>
  <c r="AJ81" i="838" s="1"/>
  <c r="AB54" i="838"/>
  <c r="AC54" i="838" s="1"/>
  <c r="AE54" i="838" s="1"/>
  <c r="AJ54" i="838" s="1"/>
  <c r="AB37" i="838"/>
  <c r="AC37" i="838" s="1"/>
  <c r="AE37" i="838" s="1"/>
  <c r="AH37" i="838" s="1"/>
  <c r="AB29" i="838"/>
  <c r="AC29" i="838" s="1"/>
  <c r="AE29" i="838" s="1"/>
  <c r="AB136" i="838"/>
  <c r="AC136" i="838" s="1"/>
  <c r="AE136" i="838" s="1"/>
  <c r="AB128" i="838"/>
  <c r="AC128" i="838" s="1"/>
  <c r="AE128" i="838" s="1"/>
  <c r="AJ128" i="838" s="1"/>
  <c r="AB115" i="838"/>
  <c r="AC115" i="838" s="1"/>
  <c r="AE115" i="838" s="1"/>
  <c r="AB94" i="838"/>
  <c r="AC94" i="838" s="1"/>
  <c r="AE94" i="838" s="1"/>
  <c r="AJ94" i="838" s="1"/>
  <c r="AB68" i="838"/>
  <c r="AC68" i="838" s="1"/>
  <c r="AE68" i="838" s="1"/>
  <c r="AH68" i="838" s="1"/>
  <c r="AB57" i="838"/>
  <c r="AC57" i="838" s="1"/>
  <c r="AE57" i="838" s="1"/>
  <c r="AH57" i="838" s="1"/>
  <c r="AB23" i="838"/>
  <c r="AC23" i="838" s="1"/>
  <c r="AE23" i="838" s="1"/>
  <c r="AH23" i="838" s="1"/>
  <c r="AB141" i="838"/>
  <c r="AC141" i="838" s="1"/>
  <c r="AE141" i="838" s="1"/>
  <c r="AJ141" i="838" s="1"/>
  <c r="AB123" i="838"/>
  <c r="AC123" i="838" s="1"/>
  <c r="AE123" i="838" s="1"/>
  <c r="AH123" i="838" s="1"/>
  <c r="AB97" i="838"/>
  <c r="AC97" i="838" s="1"/>
  <c r="AE97" i="838" s="1"/>
  <c r="AH97" i="838" s="1"/>
  <c r="AB60" i="838"/>
  <c r="AC60" i="838" s="1"/>
  <c r="AE60" i="838" s="1"/>
  <c r="AJ60" i="838" s="1"/>
  <c r="AB86" i="838"/>
  <c r="AC86" i="838" s="1"/>
  <c r="AE86" i="838" s="1"/>
  <c r="AJ86" i="838" s="1"/>
  <c r="AB58" i="838"/>
  <c r="AC58" i="838" s="1"/>
  <c r="AE58" i="838" s="1"/>
  <c r="AB56" i="838"/>
  <c r="AC56" i="838" s="1"/>
  <c r="AE56" i="838" s="1"/>
  <c r="AH56" i="838" s="1"/>
  <c r="AB45" i="838"/>
  <c r="AC45" i="838" s="1"/>
  <c r="AE45" i="838" s="1"/>
  <c r="AB7" i="838"/>
  <c r="AC7" i="838" s="1"/>
  <c r="AE7" i="838" s="1"/>
  <c r="AH7" i="838" s="1"/>
  <c r="AB50" i="838"/>
  <c r="AC50" i="838" s="1"/>
  <c r="AE50" i="838" s="1"/>
  <c r="AJ50" i="838" s="1"/>
  <c r="AB32" i="838"/>
  <c r="AC32" i="838" s="1"/>
  <c r="AE32" i="838" s="1"/>
  <c r="AH32" i="838" s="1"/>
  <c r="AB39" i="838"/>
  <c r="AC39" i="838" s="1"/>
  <c r="AE39" i="838" s="1"/>
  <c r="AJ39" i="838" s="1"/>
  <c r="AB134" i="838"/>
  <c r="AC134" i="838" s="1"/>
  <c r="AE134" i="838" s="1"/>
  <c r="AJ134" i="838" s="1"/>
  <c r="AB130" i="838"/>
  <c r="AC130" i="838" s="1"/>
  <c r="AE130" i="838" s="1"/>
  <c r="AB88" i="838"/>
  <c r="AC88" i="838" s="1"/>
  <c r="AE88" i="838" s="1"/>
  <c r="AJ88" i="838" s="1"/>
  <c r="AB52" i="838"/>
  <c r="AC52" i="838" s="1"/>
  <c r="AE52" i="838" s="1"/>
  <c r="AH52" i="838" s="1"/>
  <c r="AB34" i="838"/>
  <c r="AC34" i="838" s="1"/>
  <c r="AE34" i="838" s="1"/>
  <c r="AH34" i="838" s="1"/>
  <c r="AB27" i="838"/>
  <c r="AC27" i="838" s="1"/>
  <c r="AE27" i="838" s="1"/>
  <c r="AH27" i="838" s="1"/>
  <c r="AB78" i="838"/>
  <c r="AC78" i="838" s="1"/>
  <c r="AE78" i="838" s="1"/>
  <c r="AJ78" i="838" s="1"/>
  <c r="AB93" i="838"/>
  <c r="AC93" i="838" s="1"/>
  <c r="AE93" i="838" s="1"/>
  <c r="AH93" i="838" s="1"/>
  <c r="AB48" i="838"/>
  <c r="AC48" i="838" s="1"/>
  <c r="AE48" i="838" s="1"/>
  <c r="AJ48" i="838" s="1"/>
  <c r="AB91" i="838"/>
  <c r="AC91" i="838" s="1"/>
  <c r="AE91" i="838" s="1"/>
  <c r="AJ91" i="838" s="1"/>
  <c r="AB74" i="838"/>
  <c r="AC74" i="838" s="1"/>
  <c r="AE74" i="838" s="1"/>
  <c r="AJ74" i="838" s="1"/>
  <c r="AB103" i="838"/>
  <c r="AC103" i="838" s="1"/>
  <c r="AE103" i="838" s="1"/>
  <c r="AJ103" i="838" s="1"/>
  <c r="AB84" i="838"/>
  <c r="AC84" i="838" s="1"/>
  <c r="AE84" i="838" s="1"/>
  <c r="AB43" i="838"/>
  <c r="AC43" i="838" s="1"/>
  <c r="AE43" i="838" s="1"/>
  <c r="AB118" i="838"/>
  <c r="AC118" i="838" s="1"/>
  <c r="AE118" i="838" s="1"/>
  <c r="AJ118" i="838" s="1"/>
  <c r="AB111" i="838"/>
  <c r="AC111" i="838" s="1"/>
  <c r="AE111" i="838" s="1"/>
  <c r="AJ111" i="838" s="1"/>
  <c r="AB80" i="838"/>
  <c r="AC80" i="838" s="1"/>
  <c r="AE80" i="838" s="1"/>
  <c r="AJ80" i="838" s="1"/>
  <c r="AB67" i="838"/>
  <c r="AC67" i="838" s="1"/>
  <c r="AE67" i="838" s="1"/>
  <c r="AB116" i="838"/>
  <c r="AC116" i="838" s="1"/>
  <c r="AE116" i="838" s="1"/>
  <c r="AH116" i="838" s="1"/>
  <c r="AB101" i="838"/>
  <c r="AC101" i="838" s="1"/>
  <c r="AE101" i="838" s="1"/>
  <c r="AH101" i="838" s="1"/>
  <c r="AB63" i="838"/>
  <c r="AC63" i="838" s="1"/>
  <c r="AE63" i="838" s="1"/>
  <c r="AH63" i="838" s="1"/>
  <c r="AB13" i="838"/>
  <c r="AC13" i="838" s="1"/>
  <c r="AE13" i="838" s="1"/>
  <c r="AH13" i="838" s="1"/>
  <c r="AB147" i="838"/>
  <c r="AC147" i="838" s="1"/>
  <c r="AE147" i="838" s="1"/>
  <c r="AJ147" i="838" s="1"/>
  <c r="AB124" i="838"/>
  <c r="AC124" i="838" s="1"/>
  <c r="AE124" i="838" s="1"/>
  <c r="AH124" i="838" s="1"/>
  <c r="AB95" i="838"/>
  <c r="AC95" i="838" s="1"/>
  <c r="AE95" i="838" s="1"/>
  <c r="AH95" i="838" s="1"/>
  <c r="AB143" i="838"/>
  <c r="AC143" i="838" s="1"/>
  <c r="AE143" i="838" s="1"/>
  <c r="AJ143" i="838" s="1"/>
  <c r="AB145" i="838"/>
  <c r="AC145" i="838" s="1"/>
  <c r="AE145" i="838" s="1"/>
  <c r="AH145" i="838" s="1"/>
  <c r="AB131" i="838"/>
  <c r="AC131" i="838" s="1"/>
  <c r="AE131" i="838" s="1"/>
  <c r="AH131" i="838" s="1"/>
  <c r="AB47" i="838"/>
  <c r="AC47" i="838" s="1"/>
  <c r="AE47" i="838" s="1"/>
  <c r="AH47" i="838" s="1"/>
  <c r="AH110" i="838"/>
  <c r="AJ120" i="838"/>
  <c r="AJ64" i="838"/>
  <c r="AH51" i="838"/>
  <c r="AJ84" i="838"/>
  <c r="AH84" i="838"/>
  <c r="AH58" i="838"/>
  <c r="AJ56" i="838"/>
  <c r="AB114" i="838"/>
  <c r="AC114" i="838" s="1"/>
  <c r="AE114" i="838" s="1"/>
  <c r="AH114" i="838" s="1"/>
  <c r="AB70" i="838"/>
  <c r="AC70" i="838" s="1"/>
  <c r="AE70" i="838" s="1"/>
  <c r="AJ70" i="838" s="1"/>
  <c r="AB77" i="838"/>
  <c r="AC77" i="838" s="1"/>
  <c r="AE77" i="838" s="1"/>
  <c r="AJ77" i="838" s="1"/>
  <c r="AH82" i="838"/>
  <c r="AB17" i="838"/>
  <c r="AC17" i="838" s="1"/>
  <c r="AE17" i="838" s="1"/>
  <c r="AJ17" i="838" s="1"/>
  <c r="AB25" i="838"/>
  <c r="AC25" i="838" s="1"/>
  <c r="AE25" i="838" s="1"/>
  <c r="AJ25" i="838" s="1"/>
  <c r="AB117" i="838"/>
  <c r="AC117" i="838" s="1"/>
  <c r="AE117" i="838" s="1"/>
  <c r="AJ117" i="838" s="1"/>
  <c r="AB5" i="838"/>
  <c r="AC5" i="838" s="1"/>
  <c r="AE5" i="838" s="1"/>
  <c r="AH5" i="838" s="1"/>
  <c r="AB85" i="838"/>
  <c r="AC85" i="838" s="1"/>
  <c r="AE85" i="838" s="1"/>
  <c r="AB125" i="838"/>
  <c r="AC125" i="838" s="1"/>
  <c r="AE125" i="838" s="1"/>
  <c r="AJ93" i="838"/>
  <c r="AJ126" i="838"/>
  <c r="AH126" i="838"/>
  <c r="AJ7" i="838"/>
  <c r="AJ67" i="838"/>
  <c r="AH67" i="838"/>
  <c r="AJ136" i="838"/>
  <c r="AH136" i="838"/>
  <c r="AJ116" i="838"/>
  <c r="AB72" i="838"/>
  <c r="AC72" i="838" s="1"/>
  <c r="AE72" i="838" s="1"/>
  <c r="AH72" i="838" s="1"/>
  <c r="AB121" i="838"/>
  <c r="AC121" i="838" s="1"/>
  <c r="AE121" i="838" s="1"/>
  <c r="AJ121" i="838" s="1"/>
  <c r="AB21" i="838"/>
  <c r="AC21" i="838" s="1"/>
  <c r="AE21" i="838" s="1"/>
  <c r="AJ21" i="838" s="1"/>
  <c r="AB61" i="838"/>
  <c r="AC61" i="838" s="1"/>
  <c r="AE61" i="838" s="1"/>
  <c r="AJ61" i="838" s="1"/>
  <c r="AB127" i="838"/>
  <c r="AC127" i="838" s="1"/>
  <c r="AE127" i="838" s="1"/>
  <c r="AH127" i="838" s="1"/>
  <c r="AB144" i="838"/>
  <c r="AC144" i="838" s="1"/>
  <c r="AE144" i="838" s="1"/>
  <c r="AJ144" i="838" s="1"/>
  <c r="AB75" i="838"/>
  <c r="AC75" i="838" s="1"/>
  <c r="AE75" i="838" s="1"/>
  <c r="AJ75" i="838" s="1"/>
  <c r="AB87" i="838"/>
  <c r="AC87" i="838" s="1"/>
  <c r="AE87" i="838" s="1"/>
  <c r="AH87" i="838" s="1"/>
  <c r="AB137" i="838"/>
  <c r="AC137" i="838" s="1"/>
  <c r="AE137" i="838" s="1"/>
  <c r="AJ137" i="838" s="1"/>
  <c r="AB73" i="838"/>
  <c r="AC73" i="838" s="1"/>
  <c r="AE73" i="838" s="1"/>
  <c r="AJ73" i="838" s="1"/>
  <c r="AB90" i="838"/>
  <c r="AC90" i="838" s="1"/>
  <c r="AE90" i="838" s="1"/>
  <c r="AB100" i="838"/>
  <c r="AC100" i="838" s="1"/>
  <c r="AE100" i="838" s="1"/>
  <c r="AJ100" i="838" s="1"/>
  <c r="AH141" i="838"/>
  <c r="AJ105" i="838"/>
  <c r="AH105" i="838"/>
  <c r="AJ43" i="838"/>
  <c r="AH43" i="838"/>
  <c r="AK70" i="839" l="1"/>
  <c r="AK41" i="839"/>
  <c r="AK21" i="839"/>
  <c r="AK95" i="839"/>
  <c r="AL107" i="839"/>
  <c r="AK35" i="839"/>
  <c r="AK76" i="839"/>
  <c r="AL47" i="839"/>
  <c r="AK47" i="839"/>
  <c r="AK101" i="839"/>
  <c r="AL101" i="839"/>
  <c r="AL55" i="839"/>
  <c r="AK55" i="839"/>
  <c r="AL34" i="839"/>
  <c r="AK34" i="839"/>
  <c r="AL78" i="839"/>
  <c r="AK78" i="839"/>
  <c r="AK53" i="839"/>
  <c r="AL53" i="839"/>
  <c r="AK83" i="839"/>
  <c r="AL83" i="839"/>
  <c r="AK133" i="839"/>
  <c r="AL133" i="839"/>
  <c r="AK28" i="839"/>
  <c r="AL28" i="839"/>
  <c r="AL68" i="839"/>
  <c r="AK68" i="839"/>
  <c r="AL109" i="839"/>
  <c r="AK109" i="839"/>
  <c r="AK32" i="839"/>
  <c r="AL32" i="839"/>
  <c r="AK112" i="839"/>
  <c r="AL112" i="839"/>
  <c r="AL25" i="839"/>
  <c r="AK25" i="839"/>
  <c r="AL11" i="839"/>
  <c r="AK11" i="839"/>
  <c r="AK72" i="839"/>
  <c r="AL72" i="839"/>
  <c r="AL124" i="839"/>
  <c r="AK124" i="839"/>
  <c r="AK94" i="839"/>
  <c r="AL94" i="839"/>
  <c r="AL69" i="839"/>
  <c r="AK69" i="839"/>
  <c r="AL135" i="839"/>
  <c r="AK135" i="839"/>
  <c r="AL122" i="839"/>
  <c r="AK122" i="839"/>
  <c r="AK134" i="839"/>
  <c r="AL134" i="839"/>
  <c r="AK43" i="839"/>
  <c r="AL43" i="839"/>
  <c r="AL60" i="839"/>
  <c r="AK60" i="839"/>
  <c r="AL15" i="839"/>
  <c r="AK15" i="839"/>
  <c r="AL58" i="839"/>
  <c r="AK58" i="839"/>
  <c r="AL22" i="839"/>
  <c r="AK22" i="839"/>
  <c r="AL102" i="839"/>
  <c r="AK102" i="839"/>
  <c r="AH111" i="838"/>
  <c r="AH11" i="838"/>
  <c r="AJ135" i="838"/>
  <c r="AH92" i="838"/>
  <c r="AH66" i="838"/>
  <c r="AH50" i="838"/>
  <c r="AH106" i="838"/>
  <c r="AH75" i="838"/>
  <c r="AL75" i="838" s="1"/>
  <c r="AJ55" i="838"/>
  <c r="AH138" i="838"/>
  <c r="AK138" i="838" s="1"/>
  <c r="AJ127" i="838"/>
  <c r="AH107" i="838"/>
  <c r="AL107" i="838" s="1"/>
  <c r="AH86" i="838"/>
  <c r="AH19" i="838"/>
  <c r="AK19" i="838" s="1"/>
  <c r="AH146" i="838"/>
  <c r="AH104" i="838"/>
  <c r="AJ68" i="838"/>
  <c r="AH119" i="838"/>
  <c r="AK119" i="838" s="1"/>
  <c r="AH61" i="838"/>
  <c r="AL61" i="838" s="1"/>
  <c r="AJ114" i="838"/>
  <c r="AH109" i="838"/>
  <c r="AJ129" i="838"/>
  <c r="AJ41" i="838"/>
  <c r="AH36" i="838"/>
  <c r="AH137" i="838"/>
  <c r="AK137" i="838" s="1"/>
  <c r="AH134" i="838"/>
  <c r="AL134" i="838" s="1"/>
  <c r="AJ32" i="838"/>
  <c r="AH69" i="838"/>
  <c r="AL69" i="838" s="1"/>
  <c r="AH71" i="838"/>
  <c r="AK71" i="838" s="1"/>
  <c r="AH118" i="838"/>
  <c r="AK118" i="838" s="1"/>
  <c r="AH117" i="838"/>
  <c r="AK117" i="838" s="1"/>
  <c r="AJ5" i="838"/>
  <c r="AJ101" i="838"/>
  <c r="AJ63" i="838"/>
  <c r="AH128" i="838"/>
  <c r="AK128" i="838" s="1"/>
  <c r="AH88" i="838"/>
  <c r="AL88" i="838" s="1"/>
  <c r="AH102" i="838"/>
  <c r="AL102" i="838" s="1"/>
  <c r="AJ89" i="838"/>
  <c r="AH54" i="838"/>
  <c r="AK54" i="838" s="1"/>
  <c r="AH53" i="838"/>
  <c r="AK53" i="838" s="1"/>
  <c r="AJ139" i="838"/>
  <c r="AJ124" i="838"/>
  <c r="AH143" i="838"/>
  <c r="AH44" i="838"/>
  <c r="AH99" i="838"/>
  <c r="AL99" i="838" s="1"/>
  <c r="AH80" i="838"/>
  <c r="AH140" i="838"/>
  <c r="AL140" i="838" s="1"/>
  <c r="AH96" i="838"/>
  <c r="AH70" i="838"/>
  <c r="AL70" i="838" s="1"/>
  <c r="AJ95" i="838"/>
  <c r="AJ27" i="838"/>
  <c r="AJ37" i="838"/>
  <c r="AH39" i="838"/>
  <c r="AL39" i="838" s="1"/>
  <c r="AJ34" i="838"/>
  <c r="AL124" i="838"/>
  <c r="AK124" i="838"/>
  <c r="AK47" i="838"/>
  <c r="AL47" i="838"/>
  <c r="AK101" i="838"/>
  <c r="AL101" i="838"/>
  <c r="AL120" i="838"/>
  <c r="AK120" i="838"/>
  <c r="AL9" i="838"/>
  <c r="AK9" i="838"/>
  <c r="AL52" i="838"/>
  <c r="AK52" i="838"/>
  <c r="AK89" i="838"/>
  <c r="AL89" i="838"/>
  <c r="AK13" i="838"/>
  <c r="AL13" i="838"/>
  <c r="AL87" i="838"/>
  <c r="AK87" i="838"/>
  <c r="AK32" i="838"/>
  <c r="AL32" i="838"/>
  <c r="AL41" i="838"/>
  <c r="AK41" i="838"/>
  <c r="AK97" i="838"/>
  <c r="AL97" i="838"/>
  <c r="AK72" i="838"/>
  <c r="AL72" i="838"/>
  <c r="AL123" i="838"/>
  <c r="AK123" i="838"/>
  <c r="AK23" i="838"/>
  <c r="AL23" i="838"/>
  <c r="AK145" i="838"/>
  <c r="AL145" i="838"/>
  <c r="AL57" i="838"/>
  <c r="AK57" i="838"/>
  <c r="AK139" i="838"/>
  <c r="AL139" i="838"/>
  <c r="AL93" i="838"/>
  <c r="AK93" i="838"/>
  <c r="AL95" i="838"/>
  <c r="AK95" i="838"/>
  <c r="AL7" i="838"/>
  <c r="AK7" i="838"/>
  <c r="AK56" i="838"/>
  <c r="AL56" i="838"/>
  <c r="AK66" i="838"/>
  <c r="AL66" i="838"/>
  <c r="AJ97" i="838"/>
  <c r="AL27" i="838"/>
  <c r="AK27" i="838"/>
  <c r="AJ90" i="838"/>
  <c r="AH90" i="838"/>
  <c r="AL82" i="838"/>
  <c r="AK82" i="838"/>
  <c r="AJ9" i="838"/>
  <c r="AH46" i="838"/>
  <c r="AK55" i="838"/>
  <c r="AL55" i="838"/>
  <c r="AH91" i="838"/>
  <c r="AL127" i="838"/>
  <c r="AK127" i="838"/>
  <c r="AH100" i="838"/>
  <c r="AK86" i="838"/>
  <c r="AL86" i="838"/>
  <c r="AJ47" i="838"/>
  <c r="AH125" i="838"/>
  <c r="AJ125" i="838"/>
  <c r="AH133" i="838"/>
  <c r="AH121" i="838"/>
  <c r="AH49" i="838"/>
  <c r="AL131" i="838"/>
  <c r="AK131" i="838"/>
  <c r="AL67" i="838"/>
  <c r="AK67" i="838"/>
  <c r="AH103" i="838"/>
  <c r="AH94" i="838"/>
  <c r="AL96" i="838"/>
  <c r="AK96" i="838"/>
  <c r="AH77" i="838"/>
  <c r="AH122" i="838"/>
  <c r="AK146" i="838"/>
  <c r="AL146" i="838"/>
  <c r="AH78" i="838"/>
  <c r="AH144" i="838"/>
  <c r="AJ72" i="838"/>
  <c r="AH45" i="838"/>
  <c r="AJ45" i="838"/>
  <c r="AJ87" i="838"/>
  <c r="AH21" i="838"/>
  <c r="AL68" i="838"/>
  <c r="AK68" i="838"/>
  <c r="AL83" i="838"/>
  <c r="AK83" i="838"/>
  <c r="AK114" i="838"/>
  <c r="AL114" i="838"/>
  <c r="AJ23" i="838"/>
  <c r="AL15" i="838"/>
  <c r="AK15" i="838"/>
  <c r="AK50" i="838"/>
  <c r="AL50" i="838"/>
  <c r="AH17" i="838"/>
  <c r="AK37" i="838"/>
  <c r="AL37" i="838"/>
  <c r="AK34" i="838"/>
  <c r="AL34" i="838"/>
  <c r="AL116" i="838"/>
  <c r="AK116" i="838"/>
  <c r="AL36" i="838"/>
  <c r="AK36" i="838"/>
  <c r="AH76" i="838"/>
  <c r="AK80" i="838"/>
  <c r="AL80" i="838"/>
  <c r="AJ145" i="838"/>
  <c r="AJ115" i="838"/>
  <c r="AH115" i="838"/>
  <c r="AK81" i="838"/>
  <c r="AL81" i="838"/>
  <c r="AL136" i="838"/>
  <c r="AK136" i="838"/>
  <c r="AK63" i="838"/>
  <c r="AL63" i="838"/>
  <c r="AL129" i="838"/>
  <c r="AK129" i="838"/>
  <c r="AH59" i="838"/>
  <c r="AJ13" i="838"/>
  <c r="AH73" i="838"/>
  <c r="AJ123" i="838"/>
  <c r="AL117" i="838"/>
  <c r="AJ52" i="838"/>
  <c r="AK84" i="838"/>
  <c r="AL84" i="838"/>
  <c r="AL5" i="838"/>
  <c r="AK5" i="838"/>
  <c r="AH25" i="838"/>
  <c r="AL44" i="838"/>
  <c r="AK44" i="838"/>
  <c r="AL135" i="838"/>
  <c r="AK135" i="838"/>
  <c r="AH79" i="838"/>
  <c r="AK105" i="838"/>
  <c r="AL105" i="838"/>
  <c r="AK126" i="838"/>
  <c r="AL126" i="838"/>
  <c r="AH65" i="838"/>
  <c r="AL51" i="838"/>
  <c r="AK51" i="838"/>
  <c r="AL110" i="838"/>
  <c r="AK110" i="838"/>
  <c r="AL113" i="838"/>
  <c r="AK113" i="838"/>
  <c r="AL31" i="838"/>
  <c r="AK31" i="838"/>
  <c r="AK11" i="838"/>
  <c r="AL11" i="838"/>
  <c r="AL108" i="838"/>
  <c r="AK108" i="838"/>
  <c r="AL109" i="838"/>
  <c r="AK109" i="838"/>
  <c r="AL141" i="838"/>
  <c r="AK141" i="838"/>
  <c r="AK111" i="838"/>
  <c r="AL111" i="838"/>
  <c r="AL137" i="838"/>
  <c r="AH142" i="838"/>
  <c r="AJ142" i="838"/>
  <c r="AH74" i="838"/>
  <c r="AH60" i="838"/>
  <c r="AL143" i="838"/>
  <c r="AK143" i="838"/>
  <c r="AH48" i="838"/>
  <c r="AH132" i="838"/>
  <c r="AL92" i="838"/>
  <c r="AK92" i="838"/>
  <c r="AH130" i="838"/>
  <c r="AJ130" i="838"/>
  <c r="AK58" i="838"/>
  <c r="AL58" i="838"/>
  <c r="AJ29" i="838"/>
  <c r="AH29" i="838"/>
  <c r="AK43" i="838"/>
  <c r="AL43" i="838"/>
  <c r="AL62" i="838"/>
  <c r="AK62" i="838"/>
  <c r="AH85" i="838"/>
  <c r="AJ85" i="838"/>
  <c r="AJ57" i="838"/>
  <c r="AH147" i="838"/>
  <c r="AJ112" i="838"/>
  <c r="AH112" i="838"/>
  <c r="AL106" i="838"/>
  <c r="AK106" i="838"/>
  <c r="AL19" i="838" l="1"/>
  <c r="AK88" i="838"/>
  <c r="AL119" i="838"/>
  <c r="AK61" i="838"/>
  <c r="AL54" i="838"/>
  <c r="AK107" i="838"/>
  <c r="AK102" i="838"/>
  <c r="AL138" i="838"/>
  <c r="AK69" i="838"/>
  <c r="AK99" i="838"/>
  <c r="AK75" i="838"/>
  <c r="AL71" i="838"/>
  <c r="AL53" i="838"/>
  <c r="AL118" i="838"/>
  <c r="AK134" i="838"/>
  <c r="AL128" i="838"/>
  <c r="AK39" i="838"/>
  <c r="AK70" i="838"/>
  <c r="AK140" i="838"/>
  <c r="AL104" i="838"/>
  <c r="AK104" i="838"/>
  <c r="AL76" i="838"/>
  <c r="AK76" i="838"/>
  <c r="AL94" i="838"/>
  <c r="AK94" i="838"/>
  <c r="AL132" i="838"/>
  <c r="AK132" i="838"/>
  <c r="AL73" i="838"/>
  <c r="AK73" i="838"/>
  <c r="AL48" i="838"/>
  <c r="AK48" i="838"/>
  <c r="AL46" i="838"/>
  <c r="AK46" i="838"/>
  <c r="AK49" i="838"/>
  <c r="AL49" i="838"/>
  <c r="AK90" i="838"/>
  <c r="AL90" i="838"/>
  <c r="AK112" i="838"/>
  <c r="AL112" i="838"/>
  <c r="AL133" i="838"/>
  <c r="AK133" i="838"/>
  <c r="AL17" i="838"/>
  <c r="AK17" i="838"/>
  <c r="AL125" i="838"/>
  <c r="AK125" i="838"/>
  <c r="AL78" i="838"/>
  <c r="AK78" i="838"/>
  <c r="AL115" i="838"/>
  <c r="AK115" i="838"/>
  <c r="AL122" i="838"/>
  <c r="AK122" i="838"/>
  <c r="AL91" i="838"/>
  <c r="AK91" i="838"/>
  <c r="AK21" i="838"/>
  <c r="AL21" i="838"/>
  <c r="AL130" i="838"/>
  <c r="AK130" i="838"/>
  <c r="AK60" i="838"/>
  <c r="AL60" i="838"/>
  <c r="AK45" i="838"/>
  <c r="AL45" i="838"/>
  <c r="AL147" i="838"/>
  <c r="AK147" i="838"/>
  <c r="AK74" i="838"/>
  <c r="AL74" i="838"/>
  <c r="AL85" i="838"/>
  <c r="AK85" i="838"/>
  <c r="AL77" i="838"/>
  <c r="AK77" i="838"/>
  <c r="AL29" i="838"/>
  <c r="AK29" i="838"/>
  <c r="AL103" i="838"/>
  <c r="AK103" i="838"/>
  <c r="AL79" i="838"/>
  <c r="AK79" i="838"/>
  <c r="AK59" i="838"/>
  <c r="AL59" i="838"/>
  <c r="AL25" i="838"/>
  <c r="AK25" i="838"/>
  <c r="AL121" i="838"/>
  <c r="AK121" i="838"/>
  <c r="AL144" i="838"/>
  <c r="AK144" i="838"/>
  <c r="AL142" i="838"/>
  <c r="AK142" i="838"/>
  <c r="AL65" i="838"/>
  <c r="AK65" i="838"/>
  <c r="AL100" i="838"/>
  <c r="AK100" i="838"/>
  <c r="AF5" i="837" l="1"/>
  <c r="AX138" i="837"/>
  <c r="AW138" i="837"/>
  <c r="AN138" i="837"/>
  <c r="AO138" i="837" s="1"/>
  <c r="U138" i="837"/>
  <c r="V138" i="837" s="1"/>
  <c r="N138" i="837"/>
  <c r="AX137" i="837"/>
  <c r="AW137" i="837"/>
  <c r="AN137" i="837"/>
  <c r="AO137" i="837" s="1"/>
  <c r="U137" i="837"/>
  <c r="V137" i="837" s="1"/>
  <c r="N137" i="837"/>
  <c r="AX136" i="837"/>
  <c r="AW136" i="837"/>
  <c r="AN136" i="837"/>
  <c r="AO136" i="837" s="1"/>
  <c r="V136" i="837"/>
  <c r="U136" i="837"/>
  <c r="N136" i="837"/>
  <c r="AX135" i="837"/>
  <c r="AW135" i="837"/>
  <c r="AO135" i="837"/>
  <c r="AN135" i="837"/>
  <c r="U135" i="837"/>
  <c r="V135" i="837" s="1"/>
  <c r="N135" i="837"/>
  <c r="AX134" i="837"/>
  <c r="AW134" i="837"/>
  <c r="AN134" i="837"/>
  <c r="AO134" i="837" s="1"/>
  <c r="U134" i="837"/>
  <c r="V134" i="837" s="1"/>
  <c r="N134" i="837"/>
  <c r="AX133" i="837"/>
  <c r="AW133" i="837"/>
  <c r="AO133" i="837"/>
  <c r="AN133" i="837"/>
  <c r="U133" i="837"/>
  <c r="V133" i="837" s="1"/>
  <c r="N133" i="837"/>
  <c r="AX132" i="837"/>
  <c r="AW132" i="837"/>
  <c r="AN132" i="837"/>
  <c r="AO132" i="837" s="1"/>
  <c r="U132" i="837"/>
  <c r="V132" i="837" s="1"/>
  <c r="N132" i="837"/>
  <c r="AX131" i="837"/>
  <c r="AW131" i="837"/>
  <c r="AO131" i="837"/>
  <c r="AN131" i="837"/>
  <c r="U131" i="837"/>
  <c r="V131" i="837" s="1"/>
  <c r="N131" i="837"/>
  <c r="AX130" i="837"/>
  <c r="AW130" i="837"/>
  <c r="AN130" i="837"/>
  <c r="AO130" i="837" s="1"/>
  <c r="U130" i="837"/>
  <c r="V130" i="837" s="1"/>
  <c r="N130" i="837"/>
  <c r="AX129" i="837"/>
  <c r="AW129" i="837"/>
  <c r="AN129" i="837"/>
  <c r="AO129" i="837" s="1"/>
  <c r="U129" i="837"/>
  <c r="V129" i="837" s="1"/>
  <c r="N129" i="837"/>
  <c r="AX128" i="837"/>
  <c r="AW128" i="837"/>
  <c r="AN128" i="837"/>
  <c r="AO128" i="837" s="1"/>
  <c r="U128" i="837"/>
  <c r="V128" i="837" s="1"/>
  <c r="N128" i="837"/>
  <c r="AX127" i="837"/>
  <c r="AW127" i="837"/>
  <c r="AO127" i="837"/>
  <c r="AN127" i="837"/>
  <c r="V127" i="837"/>
  <c r="U127" i="837"/>
  <c r="N127" i="837"/>
  <c r="AX126" i="837"/>
  <c r="AW126" i="837"/>
  <c r="AO126" i="837"/>
  <c r="AN126" i="837"/>
  <c r="V126" i="837"/>
  <c r="U126" i="837"/>
  <c r="N126" i="837"/>
  <c r="AX125" i="837"/>
  <c r="AW125" i="837"/>
  <c r="AN125" i="837"/>
  <c r="AO125" i="837" s="1"/>
  <c r="U125" i="837"/>
  <c r="V125" i="837" s="1"/>
  <c r="N125" i="837"/>
  <c r="AX124" i="837"/>
  <c r="AW124" i="837"/>
  <c r="AO124" i="837"/>
  <c r="AN124" i="837"/>
  <c r="U124" i="837"/>
  <c r="V124" i="837" s="1"/>
  <c r="N124" i="837"/>
  <c r="AX123" i="837"/>
  <c r="AW123" i="837"/>
  <c r="AN123" i="837"/>
  <c r="AO123" i="837" s="1"/>
  <c r="U123" i="837"/>
  <c r="V123" i="837" s="1"/>
  <c r="N123" i="837"/>
  <c r="AX122" i="837"/>
  <c r="AW122" i="837"/>
  <c r="AN122" i="837"/>
  <c r="AO122" i="837" s="1"/>
  <c r="U122" i="837"/>
  <c r="V122" i="837" s="1"/>
  <c r="N122" i="837"/>
  <c r="AX121" i="837"/>
  <c r="AW121" i="837"/>
  <c r="AO121" i="837"/>
  <c r="AN121" i="837"/>
  <c r="V121" i="837"/>
  <c r="U121" i="837"/>
  <c r="N121" i="837"/>
  <c r="AX120" i="837"/>
  <c r="AW120" i="837"/>
  <c r="AN120" i="837"/>
  <c r="AO120" i="837" s="1"/>
  <c r="U120" i="837"/>
  <c r="V120" i="837" s="1"/>
  <c r="N120" i="837"/>
  <c r="AX119" i="837"/>
  <c r="AW119" i="837"/>
  <c r="AN119" i="837"/>
  <c r="AO119" i="837" s="1"/>
  <c r="V119" i="837"/>
  <c r="U119" i="837"/>
  <c r="N119" i="837"/>
  <c r="AX118" i="837"/>
  <c r="AW118" i="837"/>
  <c r="AN118" i="837"/>
  <c r="AO118" i="837" s="1"/>
  <c r="U118" i="837"/>
  <c r="V118" i="837" s="1"/>
  <c r="N118" i="837"/>
  <c r="AX117" i="837"/>
  <c r="AW117" i="837"/>
  <c r="AN117" i="837"/>
  <c r="AO117" i="837" s="1"/>
  <c r="U117" i="837"/>
  <c r="V117" i="837" s="1"/>
  <c r="N117" i="837"/>
  <c r="AX116" i="837"/>
  <c r="AW116" i="837"/>
  <c r="AN116" i="837"/>
  <c r="AO116" i="837" s="1"/>
  <c r="V116" i="837"/>
  <c r="U116" i="837"/>
  <c r="N116" i="837"/>
  <c r="AX115" i="837"/>
  <c r="AW115" i="837"/>
  <c r="AN115" i="837"/>
  <c r="AO115" i="837" s="1"/>
  <c r="U115" i="837"/>
  <c r="V115" i="837" s="1"/>
  <c r="N115" i="837"/>
  <c r="AX114" i="837"/>
  <c r="AW114" i="837"/>
  <c r="AO114" i="837"/>
  <c r="AN114" i="837"/>
  <c r="U114" i="837"/>
  <c r="V114" i="837" s="1"/>
  <c r="N114" i="837"/>
  <c r="AX113" i="837"/>
  <c r="AW113" i="837"/>
  <c r="AN113" i="837"/>
  <c r="AO113" i="837" s="1"/>
  <c r="U113" i="837"/>
  <c r="V113" i="837" s="1"/>
  <c r="N113" i="837"/>
  <c r="AX112" i="837"/>
  <c r="AW112" i="837"/>
  <c r="AN112" i="837"/>
  <c r="AO112" i="837" s="1"/>
  <c r="U112" i="837"/>
  <c r="V112" i="837" s="1"/>
  <c r="N112" i="837"/>
  <c r="AX111" i="837"/>
  <c r="AW111" i="837"/>
  <c r="AO111" i="837"/>
  <c r="AN111" i="837"/>
  <c r="U111" i="837"/>
  <c r="V111" i="837" s="1"/>
  <c r="N111" i="837"/>
  <c r="AX110" i="837"/>
  <c r="AW110" i="837"/>
  <c r="AN110" i="837"/>
  <c r="AO110" i="837" s="1"/>
  <c r="U110" i="837"/>
  <c r="V110" i="837" s="1"/>
  <c r="N110" i="837"/>
  <c r="AX109" i="837"/>
  <c r="AW109" i="837"/>
  <c r="AN109" i="837"/>
  <c r="AO109" i="837" s="1"/>
  <c r="U109" i="837"/>
  <c r="V109" i="837" s="1"/>
  <c r="N109" i="837"/>
  <c r="AX108" i="837"/>
  <c r="AW108" i="837"/>
  <c r="AN108" i="837"/>
  <c r="AO108" i="837" s="1"/>
  <c r="V108" i="837"/>
  <c r="U108" i="837"/>
  <c r="N108" i="837"/>
  <c r="AX107" i="837"/>
  <c r="AW107" i="837"/>
  <c r="AN107" i="837"/>
  <c r="AO107" i="837" s="1"/>
  <c r="AB107" i="837"/>
  <c r="AC107" i="837" s="1"/>
  <c r="AE107" i="837" s="1"/>
  <c r="V107" i="837"/>
  <c r="U107" i="837"/>
  <c r="N107" i="837"/>
  <c r="AX106" i="837"/>
  <c r="AW106" i="837"/>
  <c r="AO106" i="837"/>
  <c r="AN106" i="837"/>
  <c r="V106" i="837"/>
  <c r="U106" i="837"/>
  <c r="N106" i="837"/>
  <c r="AX105" i="837"/>
  <c r="AW105" i="837"/>
  <c r="AN105" i="837"/>
  <c r="AO105" i="837" s="1"/>
  <c r="V105" i="837"/>
  <c r="U105" i="837"/>
  <c r="N105" i="837"/>
  <c r="AX104" i="837"/>
  <c r="AW104" i="837"/>
  <c r="AN104" i="837"/>
  <c r="AO104" i="837" s="1"/>
  <c r="U104" i="837"/>
  <c r="V104" i="837" s="1"/>
  <c r="N104" i="837"/>
  <c r="AX103" i="837"/>
  <c r="AW103" i="837"/>
  <c r="AN103" i="837"/>
  <c r="AO103" i="837" s="1"/>
  <c r="U103" i="837"/>
  <c r="V103" i="837" s="1"/>
  <c r="N103" i="837"/>
  <c r="AX102" i="837"/>
  <c r="AW102" i="837"/>
  <c r="AN102" i="837"/>
  <c r="AO102" i="837" s="1"/>
  <c r="U102" i="837"/>
  <c r="V102" i="837" s="1"/>
  <c r="N102" i="837"/>
  <c r="AX101" i="837"/>
  <c r="AW101" i="837"/>
  <c r="AO101" i="837"/>
  <c r="AN101" i="837"/>
  <c r="U101" i="837"/>
  <c r="V101" i="837" s="1"/>
  <c r="N101" i="837"/>
  <c r="AX100" i="837"/>
  <c r="AW100" i="837"/>
  <c r="AN100" i="837"/>
  <c r="AO100" i="837" s="1"/>
  <c r="U100" i="837"/>
  <c r="V100" i="837" s="1"/>
  <c r="N100" i="837"/>
  <c r="AX99" i="837"/>
  <c r="AW99" i="837"/>
  <c r="AO99" i="837"/>
  <c r="AN99" i="837"/>
  <c r="U99" i="837"/>
  <c r="V99" i="837" s="1"/>
  <c r="N99" i="837"/>
  <c r="AX98" i="837"/>
  <c r="AW98" i="837"/>
  <c r="AN98" i="837"/>
  <c r="AO98" i="837" s="1"/>
  <c r="U98" i="837"/>
  <c r="V98" i="837" s="1"/>
  <c r="N98" i="837"/>
  <c r="AX97" i="837"/>
  <c r="AW97" i="837"/>
  <c r="AN97" i="837"/>
  <c r="AO97" i="837" s="1"/>
  <c r="AB97" i="837"/>
  <c r="AC97" i="837" s="1"/>
  <c r="AE97" i="837" s="1"/>
  <c r="U97" i="837"/>
  <c r="V97" i="837" s="1"/>
  <c r="N97" i="837"/>
  <c r="AX96" i="837"/>
  <c r="AW96" i="837"/>
  <c r="AO96" i="837"/>
  <c r="AN96" i="837"/>
  <c r="V96" i="837"/>
  <c r="U96" i="837"/>
  <c r="N96" i="837"/>
  <c r="AX95" i="837"/>
  <c r="AW95" i="837"/>
  <c r="AN95" i="837"/>
  <c r="AO95" i="837" s="1"/>
  <c r="V95" i="837"/>
  <c r="U95" i="837"/>
  <c r="N95" i="837"/>
  <c r="AX94" i="837"/>
  <c r="AW94" i="837"/>
  <c r="AN94" i="837"/>
  <c r="AO94" i="837" s="1"/>
  <c r="U94" i="837"/>
  <c r="V94" i="837" s="1"/>
  <c r="N94" i="837"/>
  <c r="AX93" i="837"/>
  <c r="AW93" i="837"/>
  <c r="AN93" i="837"/>
  <c r="AO93" i="837" s="1"/>
  <c r="U93" i="837"/>
  <c r="V93" i="837" s="1"/>
  <c r="N93" i="837"/>
  <c r="AX92" i="837"/>
  <c r="AW92" i="837"/>
  <c r="AO92" i="837"/>
  <c r="AN92" i="837"/>
  <c r="U92" i="837"/>
  <c r="V92" i="837" s="1"/>
  <c r="N92" i="837"/>
  <c r="AX91" i="837"/>
  <c r="AW91" i="837"/>
  <c r="AO91" i="837"/>
  <c r="AN91" i="837"/>
  <c r="V91" i="837"/>
  <c r="U91" i="837"/>
  <c r="N91" i="837"/>
  <c r="AX90" i="837"/>
  <c r="AW90" i="837"/>
  <c r="AN90" i="837"/>
  <c r="AO90" i="837" s="1"/>
  <c r="U90" i="837"/>
  <c r="V90" i="837" s="1"/>
  <c r="N90" i="837"/>
  <c r="AX89" i="837"/>
  <c r="AW89" i="837"/>
  <c r="AO89" i="837"/>
  <c r="AN89" i="837"/>
  <c r="U89" i="837"/>
  <c r="V89" i="837" s="1"/>
  <c r="N89" i="837"/>
  <c r="AX88" i="837"/>
  <c r="AW88" i="837"/>
  <c r="AN88" i="837"/>
  <c r="AO88" i="837" s="1"/>
  <c r="U88" i="837"/>
  <c r="V88" i="837" s="1"/>
  <c r="N88" i="837"/>
  <c r="AX87" i="837"/>
  <c r="AW87" i="837"/>
  <c r="AN87" i="837"/>
  <c r="AO87" i="837" s="1"/>
  <c r="AB87" i="837"/>
  <c r="AC87" i="837" s="1"/>
  <c r="AE87" i="837" s="1"/>
  <c r="U87" i="837"/>
  <c r="V87" i="837" s="1"/>
  <c r="N87" i="837"/>
  <c r="AX86" i="837"/>
  <c r="AW86" i="837"/>
  <c r="AO86" i="837"/>
  <c r="AN86" i="837"/>
  <c r="V86" i="837"/>
  <c r="U86" i="837"/>
  <c r="N86" i="837"/>
  <c r="AX85" i="837"/>
  <c r="AW85" i="837"/>
  <c r="AN85" i="837"/>
  <c r="AO85" i="837" s="1"/>
  <c r="V85" i="837"/>
  <c r="U85" i="837"/>
  <c r="N85" i="837"/>
  <c r="AX84" i="837"/>
  <c r="AW84" i="837"/>
  <c r="AN84" i="837"/>
  <c r="AO84" i="837" s="1"/>
  <c r="U84" i="837"/>
  <c r="V84" i="837" s="1"/>
  <c r="N84" i="837"/>
  <c r="AX83" i="837"/>
  <c r="AW83" i="837"/>
  <c r="AN83" i="837"/>
  <c r="AO83" i="837" s="1"/>
  <c r="U83" i="837"/>
  <c r="V83" i="837" s="1"/>
  <c r="N83" i="837"/>
  <c r="AX82" i="837"/>
  <c r="AW82" i="837"/>
  <c r="AN82" i="837"/>
  <c r="AO82" i="837" s="1"/>
  <c r="V82" i="837"/>
  <c r="U82" i="837"/>
  <c r="N82" i="837"/>
  <c r="AX81" i="837"/>
  <c r="AW81" i="837"/>
  <c r="AO81" i="837"/>
  <c r="AN81" i="837"/>
  <c r="V81" i="837"/>
  <c r="U81" i="837"/>
  <c r="N81" i="837"/>
  <c r="AX80" i="837"/>
  <c r="AW80" i="837"/>
  <c r="AN80" i="837"/>
  <c r="AO80" i="837" s="1"/>
  <c r="U80" i="837"/>
  <c r="V80" i="837" s="1"/>
  <c r="N80" i="837"/>
  <c r="AX79" i="837"/>
  <c r="AW79" i="837"/>
  <c r="AN79" i="837"/>
  <c r="AO79" i="837" s="1"/>
  <c r="U79" i="837"/>
  <c r="V79" i="837" s="1"/>
  <c r="N79" i="837"/>
  <c r="AX78" i="837"/>
  <c r="AW78" i="837"/>
  <c r="AN78" i="837"/>
  <c r="AO78" i="837" s="1"/>
  <c r="U78" i="837"/>
  <c r="V78" i="837" s="1"/>
  <c r="N78" i="837"/>
  <c r="AX77" i="837"/>
  <c r="AW77" i="837"/>
  <c r="AN77" i="837"/>
  <c r="AO77" i="837" s="1"/>
  <c r="U77" i="837"/>
  <c r="V77" i="837" s="1"/>
  <c r="N77" i="837"/>
  <c r="AX76" i="837"/>
  <c r="AW76" i="837"/>
  <c r="AO76" i="837"/>
  <c r="AN76" i="837"/>
  <c r="V76" i="837"/>
  <c r="U76" i="837"/>
  <c r="N76" i="837"/>
  <c r="AX75" i="837"/>
  <c r="AW75" i="837"/>
  <c r="AN75" i="837"/>
  <c r="AO75" i="837" s="1"/>
  <c r="U75" i="837"/>
  <c r="V75" i="837" s="1"/>
  <c r="N75" i="837"/>
  <c r="AX74" i="837"/>
  <c r="AW74" i="837"/>
  <c r="AN74" i="837"/>
  <c r="AO74" i="837" s="1"/>
  <c r="V74" i="837"/>
  <c r="U74" i="837"/>
  <c r="N74" i="837"/>
  <c r="AX73" i="837"/>
  <c r="AW73" i="837"/>
  <c r="AN73" i="837"/>
  <c r="AO73" i="837" s="1"/>
  <c r="U73" i="837"/>
  <c r="V73" i="837" s="1"/>
  <c r="N73" i="837"/>
  <c r="AX72" i="837"/>
  <c r="AW72" i="837"/>
  <c r="AN72" i="837"/>
  <c r="AO72" i="837" s="1"/>
  <c r="U72" i="837"/>
  <c r="V72" i="837" s="1"/>
  <c r="N72" i="837"/>
  <c r="AX71" i="837"/>
  <c r="AW71" i="837"/>
  <c r="AO71" i="837"/>
  <c r="AN71" i="837"/>
  <c r="U71" i="837"/>
  <c r="V71" i="837" s="1"/>
  <c r="N71" i="837"/>
  <c r="AX70" i="837"/>
  <c r="AW70" i="837"/>
  <c r="AO70" i="837"/>
  <c r="AN70" i="837"/>
  <c r="U70" i="837"/>
  <c r="V70" i="837" s="1"/>
  <c r="N70" i="837"/>
  <c r="AX69" i="837"/>
  <c r="AW69" i="837"/>
  <c r="AN69" i="837"/>
  <c r="AO69" i="837" s="1"/>
  <c r="AB69" i="837"/>
  <c r="AC69" i="837" s="1"/>
  <c r="AE69" i="837" s="1"/>
  <c r="U69" i="837"/>
  <c r="V69" i="837" s="1"/>
  <c r="N69" i="837"/>
  <c r="AX68" i="837"/>
  <c r="AW68" i="837"/>
  <c r="AN68" i="837"/>
  <c r="AO68" i="837" s="1"/>
  <c r="U68" i="837"/>
  <c r="V68" i="837" s="1"/>
  <c r="N68" i="837"/>
  <c r="AX67" i="837"/>
  <c r="AW67" i="837"/>
  <c r="AN67" i="837"/>
  <c r="AO67" i="837" s="1"/>
  <c r="U67" i="837"/>
  <c r="V67" i="837" s="1"/>
  <c r="N67" i="837"/>
  <c r="AX66" i="837"/>
  <c r="AW66" i="837"/>
  <c r="AN66" i="837"/>
  <c r="AO66" i="837" s="1"/>
  <c r="V66" i="837"/>
  <c r="U66" i="837"/>
  <c r="N66" i="837"/>
  <c r="AX65" i="837"/>
  <c r="AW65" i="837"/>
  <c r="AO65" i="837"/>
  <c r="AN65" i="837"/>
  <c r="U65" i="837"/>
  <c r="V65" i="837" s="1"/>
  <c r="N65" i="837"/>
  <c r="AX64" i="837"/>
  <c r="AW64" i="837"/>
  <c r="AO64" i="837"/>
  <c r="AN64" i="837"/>
  <c r="V64" i="837"/>
  <c r="U64" i="837"/>
  <c r="N64" i="837"/>
  <c r="AX63" i="837"/>
  <c r="AW63" i="837"/>
  <c r="AN63" i="837"/>
  <c r="AO63" i="837" s="1"/>
  <c r="U63" i="837"/>
  <c r="V63" i="837" s="1"/>
  <c r="N63" i="837"/>
  <c r="AX62" i="837"/>
  <c r="AW62" i="837"/>
  <c r="AN62" i="837"/>
  <c r="AO62" i="837" s="1"/>
  <c r="U62" i="837"/>
  <c r="V62" i="837" s="1"/>
  <c r="N62" i="837"/>
  <c r="AX61" i="837"/>
  <c r="AW61" i="837"/>
  <c r="AN61" i="837"/>
  <c r="AO61" i="837" s="1"/>
  <c r="V61" i="837"/>
  <c r="U61" i="837"/>
  <c r="N61" i="837"/>
  <c r="AX60" i="837"/>
  <c r="AW60" i="837"/>
  <c r="AN60" i="837"/>
  <c r="AO60" i="837" s="1"/>
  <c r="U60" i="837"/>
  <c r="V60" i="837" s="1"/>
  <c r="N60" i="837"/>
  <c r="AX59" i="837"/>
  <c r="AW59" i="837"/>
  <c r="AN59" i="837"/>
  <c r="AO59" i="837" s="1"/>
  <c r="AB59" i="837"/>
  <c r="AC59" i="837" s="1"/>
  <c r="AE59" i="837" s="1"/>
  <c r="V59" i="837"/>
  <c r="U59" i="837"/>
  <c r="N59" i="837"/>
  <c r="AX58" i="837"/>
  <c r="AW58" i="837"/>
  <c r="AN58" i="837"/>
  <c r="AO58" i="837" s="1"/>
  <c r="U58" i="837"/>
  <c r="V58" i="837" s="1"/>
  <c r="N58" i="837"/>
  <c r="AX57" i="837"/>
  <c r="AW57" i="837"/>
  <c r="AN57" i="837"/>
  <c r="AO57" i="837" s="1"/>
  <c r="V57" i="837"/>
  <c r="U57" i="837"/>
  <c r="N57" i="837"/>
  <c r="AX56" i="837"/>
  <c r="AW56" i="837"/>
  <c r="AO56" i="837"/>
  <c r="AN56" i="837"/>
  <c r="V56" i="837"/>
  <c r="U56" i="837"/>
  <c r="N56" i="837"/>
  <c r="AX55" i="837"/>
  <c r="AW55" i="837"/>
  <c r="AN55" i="837"/>
  <c r="AO55" i="837" s="1"/>
  <c r="V55" i="837"/>
  <c r="U55" i="837"/>
  <c r="N55" i="837"/>
  <c r="AX54" i="837"/>
  <c r="AW54" i="837"/>
  <c r="AN54" i="837"/>
  <c r="AO54" i="837" s="1"/>
  <c r="U54" i="837"/>
  <c r="V54" i="837" s="1"/>
  <c r="N54" i="837"/>
  <c r="AX53" i="837"/>
  <c r="AW53" i="837"/>
  <c r="AN53" i="837"/>
  <c r="AO53" i="837" s="1"/>
  <c r="U53" i="837"/>
  <c r="V53" i="837" s="1"/>
  <c r="N53" i="837"/>
  <c r="AX52" i="837"/>
  <c r="AW52" i="837"/>
  <c r="AN52" i="837"/>
  <c r="AO52" i="837" s="1"/>
  <c r="U52" i="837"/>
  <c r="V52" i="837" s="1"/>
  <c r="N52" i="837"/>
  <c r="AX51" i="837"/>
  <c r="AW51" i="837"/>
  <c r="AN51" i="837"/>
  <c r="AO51" i="837" s="1"/>
  <c r="U51" i="837"/>
  <c r="V51" i="837" s="1"/>
  <c r="N51" i="837"/>
  <c r="AX50" i="837"/>
  <c r="AW50" i="837"/>
  <c r="AO50" i="837"/>
  <c r="AN50" i="837"/>
  <c r="U50" i="837"/>
  <c r="V50" i="837" s="1"/>
  <c r="N50" i="837"/>
  <c r="AX49" i="837"/>
  <c r="AW49" i="837"/>
  <c r="AN49" i="837"/>
  <c r="AO49" i="837" s="1"/>
  <c r="U49" i="837"/>
  <c r="V49" i="837" s="1"/>
  <c r="N49" i="837"/>
  <c r="AX48" i="837"/>
  <c r="AW48" i="837"/>
  <c r="AN48" i="837"/>
  <c r="AO48" i="837" s="1"/>
  <c r="U48" i="837"/>
  <c r="V48" i="837" s="1"/>
  <c r="N48" i="837"/>
  <c r="AX47" i="837"/>
  <c r="AW47" i="837"/>
  <c r="AO47" i="837"/>
  <c r="AN47" i="837"/>
  <c r="U47" i="837"/>
  <c r="V47" i="837" s="1"/>
  <c r="N47" i="837"/>
  <c r="AX46" i="837"/>
  <c r="AW46" i="837"/>
  <c r="AN46" i="837"/>
  <c r="AO46" i="837" s="1"/>
  <c r="V46" i="837"/>
  <c r="U46" i="837"/>
  <c r="N46" i="837"/>
  <c r="AX45" i="837"/>
  <c r="AW45" i="837"/>
  <c r="AN45" i="837"/>
  <c r="AO45" i="837" s="1"/>
  <c r="U45" i="837"/>
  <c r="V45" i="837" s="1"/>
  <c r="N45" i="837"/>
  <c r="AX44" i="837"/>
  <c r="AW44" i="837"/>
  <c r="AN44" i="837"/>
  <c r="AO44" i="837" s="1"/>
  <c r="V44" i="837"/>
  <c r="U44" i="837"/>
  <c r="N44" i="837"/>
  <c r="AX43" i="837"/>
  <c r="AW43" i="837"/>
  <c r="AN43" i="837"/>
  <c r="AO43" i="837" s="1"/>
  <c r="U43" i="837"/>
  <c r="V43" i="837" s="1"/>
  <c r="N43" i="837"/>
  <c r="AX42" i="837"/>
  <c r="AW42" i="837"/>
  <c r="AO42" i="837"/>
  <c r="AN42" i="837"/>
  <c r="U42" i="837"/>
  <c r="V42" i="837" s="1"/>
  <c r="N42" i="837"/>
  <c r="AX41" i="837"/>
  <c r="AW41" i="837"/>
  <c r="AN41" i="837"/>
  <c r="AO41" i="837" s="1"/>
  <c r="V41" i="837"/>
  <c r="U41" i="837"/>
  <c r="N41" i="837"/>
  <c r="AX40" i="837"/>
  <c r="AW40" i="837"/>
  <c r="AN40" i="837"/>
  <c r="AO40" i="837" s="1"/>
  <c r="U40" i="837"/>
  <c r="V40" i="837" s="1"/>
  <c r="N40" i="837"/>
  <c r="AX39" i="837"/>
  <c r="AW39" i="837"/>
  <c r="AN39" i="837"/>
  <c r="AO39" i="837" s="1"/>
  <c r="U39" i="837"/>
  <c r="V39" i="837" s="1"/>
  <c r="N39" i="837"/>
  <c r="AX38" i="837"/>
  <c r="AW38" i="837"/>
  <c r="AN38" i="837"/>
  <c r="AO38" i="837" s="1"/>
  <c r="V38" i="837"/>
  <c r="U38" i="837"/>
  <c r="N38" i="837"/>
  <c r="AX37" i="837"/>
  <c r="AW37" i="837"/>
  <c r="AN37" i="837"/>
  <c r="AO37" i="837" s="1"/>
  <c r="U37" i="837"/>
  <c r="V37" i="837" s="1"/>
  <c r="N37" i="837"/>
  <c r="AX36" i="837"/>
  <c r="AW36" i="837"/>
  <c r="AN36" i="837"/>
  <c r="AO36" i="837" s="1"/>
  <c r="V36" i="837"/>
  <c r="U36" i="837"/>
  <c r="N36" i="837"/>
  <c r="AX35" i="837"/>
  <c r="AW35" i="837"/>
  <c r="AN35" i="837"/>
  <c r="AO35" i="837" s="1"/>
  <c r="U35" i="837"/>
  <c r="V35" i="837" s="1"/>
  <c r="N35" i="837"/>
  <c r="AX34" i="837"/>
  <c r="AW34" i="837"/>
  <c r="AO34" i="837"/>
  <c r="AN34" i="837"/>
  <c r="U34" i="837"/>
  <c r="V34" i="837" s="1"/>
  <c r="N34" i="837"/>
  <c r="AX33" i="837"/>
  <c r="AW33" i="837"/>
  <c r="AN33" i="837"/>
  <c r="AO33" i="837" s="1"/>
  <c r="U33" i="837"/>
  <c r="V33" i="837" s="1"/>
  <c r="N33" i="837"/>
  <c r="AX32" i="837"/>
  <c r="AW32" i="837"/>
  <c r="AN32" i="837"/>
  <c r="AO32" i="837" s="1"/>
  <c r="U32" i="837"/>
  <c r="V32" i="837" s="1"/>
  <c r="N32" i="837"/>
  <c r="AX31" i="837"/>
  <c r="AW31" i="837"/>
  <c r="AN31" i="837"/>
  <c r="AO31" i="837" s="1"/>
  <c r="U31" i="837"/>
  <c r="V31" i="837" s="1"/>
  <c r="N31" i="837"/>
  <c r="AX30" i="837"/>
  <c r="AW30" i="837"/>
  <c r="AN30" i="837"/>
  <c r="AO30" i="837" s="1"/>
  <c r="U30" i="837"/>
  <c r="V30" i="837" s="1"/>
  <c r="N30" i="837"/>
  <c r="AX29" i="837"/>
  <c r="AW29" i="837"/>
  <c r="AN29" i="837"/>
  <c r="AO29" i="837" s="1"/>
  <c r="U29" i="837"/>
  <c r="V29" i="837" s="1"/>
  <c r="N29" i="837"/>
  <c r="AX28" i="837"/>
  <c r="AW28" i="837"/>
  <c r="AN28" i="837"/>
  <c r="AO28" i="837" s="1"/>
  <c r="V28" i="837"/>
  <c r="U28" i="837"/>
  <c r="N28" i="837"/>
  <c r="AX27" i="837"/>
  <c r="AW27" i="837"/>
  <c r="AN27" i="837"/>
  <c r="AO27" i="837" s="1"/>
  <c r="U27" i="837"/>
  <c r="V27" i="837" s="1"/>
  <c r="N27" i="837"/>
  <c r="AX26" i="837"/>
  <c r="AW26" i="837"/>
  <c r="AN26" i="837"/>
  <c r="AO26" i="837" s="1"/>
  <c r="V26" i="837"/>
  <c r="U26" i="837"/>
  <c r="N26" i="837"/>
  <c r="AX25" i="837"/>
  <c r="AW25" i="837"/>
  <c r="AN25" i="837"/>
  <c r="AO25" i="837" s="1"/>
  <c r="U25" i="837"/>
  <c r="V25" i="837" s="1"/>
  <c r="N25" i="837"/>
  <c r="AX24" i="837"/>
  <c r="AW24" i="837"/>
  <c r="AN24" i="837"/>
  <c r="AO24" i="837" s="1"/>
  <c r="U24" i="837"/>
  <c r="V24" i="837" s="1"/>
  <c r="N24" i="837"/>
  <c r="AX23" i="837"/>
  <c r="AW23" i="837"/>
  <c r="AO23" i="837"/>
  <c r="AN23" i="837"/>
  <c r="U23" i="837"/>
  <c r="V23" i="837" s="1"/>
  <c r="N23" i="837"/>
  <c r="AX22" i="837"/>
  <c r="AW22" i="837"/>
  <c r="AN22" i="837"/>
  <c r="AO22" i="837" s="1"/>
  <c r="V22" i="837"/>
  <c r="U22" i="837"/>
  <c r="N22" i="837"/>
  <c r="AX21" i="837"/>
  <c r="AW21" i="837"/>
  <c r="AN21" i="837"/>
  <c r="AO21" i="837" s="1"/>
  <c r="U21" i="837"/>
  <c r="V21" i="837" s="1"/>
  <c r="N21" i="837"/>
  <c r="AX20" i="837"/>
  <c r="AW20" i="837"/>
  <c r="AN20" i="837"/>
  <c r="AO20" i="837" s="1"/>
  <c r="U20" i="837"/>
  <c r="V20" i="837" s="1"/>
  <c r="N20" i="837"/>
  <c r="AX19" i="837"/>
  <c r="AW19" i="837"/>
  <c r="AO19" i="837"/>
  <c r="AN19" i="837"/>
  <c r="U19" i="837"/>
  <c r="V19" i="837" s="1"/>
  <c r="N19" i="837"/>
  <c r="AX18" i="837"/>
  <c r="AW18" i="837"/>
  <c r="AN18" i="837"/>
  <c r="AO18" i="837" s="1"/>
  <c r="U18" i="837"/>
  <c r="V18" i="837" s="1"/>
  <c r="N18" i="837"/>
  <c r="AX17" i="837"/>
  <c r="AW17" i="837"/>
  <c r="AN17" i="837"/>
  <c r="AO17" i="837" s="1"/>
  <c r="U17" i="837"/>
  <c r="V17" i="837" s="1"/>
  <c r="N17" i="837"/>
  <c r="N16" i="837"/>
  <c r="AX15" i="837"/>
  <c r="AW15" i="837"/>
  <c r="AN15" i="837"/>
  <c r="AO15" i="837" s="1"/>
  <c r="U15" i="837"/>
  <c r="V15" i="837" s="1"/>
  <c r="N15" i="837"/>
  <c r="N14" i="837"/>
  <c r="AX13" i="837"/>
  <c r="AW13" i="837"/>
  <c r="AN13" i="837"/>
  <c r="AO13" i="837" s="1"/>
  <c r="U13" i="837"/>
  <c r="V13" i="837" s="1"/>
  <c r="N13" i="837"/>
  <c r="N12" i="837"/>
  <c r="AX11" i="837"/>
  <c r="AW11" i="837"/>
  <c r="AN11" i="837"/>
  <c r="AO11" i="837" s="1"/>
  <c r="U11" i="837"/>
  <c r="V11" i="837" s="1"/>
  <c r="N11" i="837"/>
  <c r="N10" i="837"/>
  <c r="AX9" i="837"/>
  <c r="AW9" i="837"/>
  <c r="AO9" i="837"/>
  <c r="AN9" i="837"/>
  <c r="U9" i="837"/>
  <c r="V9" i="837" s="1"/>
  <c r="N9" i="837"/>
  <c r="N8" i="837"/>
  <c r="AX7" i="837"/>
  <c r="AW7" i="837"/>
  <c r="AN7" i="837"/>
  <c r="AO7" i="837" s="1"/>
  <c r="U7" i="837"/>
  <c r="V7" i="837" s="1"/>
  <c r="N7" i="837"/>
  <c r="N6" i="837"/>
  <c r="AX5" i="837"/>
  <c r="AW5" i="837"/>
  <c r="AN5" i="837"/>
  <c r="AO5" i="837" s="1"/>
  <c r="U5" i="837"/>
  <c r="V5" i="837" s="1"/>
  <c r="N5" i="837"/>
  <c r="AS2" i="837"/>
  <c r="AA2" i="837"/>
  <c r="AD2" i="837" s="1"/>
  <c r="I2" i="837"/>
  <c r="AB135" i="837" s="1"/>
  <c r="AC135" i="837" s="1"/>
  <c r="AE135" i="837" s="1"/>
  <c r="AB105" i="837" l="1"/>
  <c r="AC105" i="837" s="1"/>
  <c r="AE105" i="837" s="1"/>
  <c r="AB46" i="837"/>
  <c r="AC46" i="837" s="1"/>
  <c r="AE46" i="837" s="1"/>
  <c r="AB95" i="837"/>
  <c r="AC95" i="837" s="1"/>
  <c r="AE95" i="837" s="1"/>
  <c r="AB89" i="837"/>
  <c r="AC89" i="837" s="1"/>
  <c r="AE89" i="837" s="1"/>
  <c r="AB61" i="837"/>
  <c r="AC61" i="837" s="1"/>
  <c r="AE61" i="837" s="1"/>
  <c r="AB129" i="837"/>
  <c r="AC129" i="837" s="1"/>
  <c r="AE129" i="837" s="1"/>
  <c r="AJ129" i="837" s="1"/>
  <c r="AB131" i="837"/>
  <c r="AC131" i="837" s="1"/>
  <c r="AE131" i="837" s="1"/>
  <c r="AH131" i="837" s="1"/>
  <c r="AB51" i="837"/>
  <c r="AC51" i="837" s="1"/>
  <c r="AE51" i="837" s="1"/>
  <c r="AB77" i="837"/>
  <c r="AC77" i="837" s="1"/>
  <c r="AE77" i="837" s="1"/>
  <c r="AJ77" i="837" s="1"/>
  <c r="AB121" i="837"/>
  <c r="AC121" i="837" s="1"/>
  <c r="AE121" i="837" s="1"/>
  <c r="AH121" i="837" s="1"/>
  <c r="AJ59" i="837"/>
  <c r="AH59" i="837"/>
  <c r="AJ71" i="837"/>
  <c r="AH71" i="837"/>
  <c r="AJ89" i="837"/>
  <c r="AH89" i="837"/>
  <c r="AH99" i="837"/>
  <c r="AH113" i="837"/>
  <c r="AJ69" i="837"/>
  <c r="AH69" i="837"/>
  <c r="AJ97" i="837"/>
  <c r="AH97" i="837"/>
  <c r="AJ105" i="837"/>
  <c r="AH105" i="837"/>
  <c r="AJ95" i="837"/>
  <c r="AH95" i="837"/>
  <c r="AH51" i="837"/>
  <c r="AJ51" i="837"/>
  <c r="AH65" i="837"/>
  <c r="AJ65" i="837"/>
  <c r="AJ87" i="837"/>
  <c r="AH87" i="837"/>
  <c r="AJ135" i="837"/>
  <c r="AH135" i="837"/>
  <c r="AJ136" i="837"/>
  <c r="AJ113" i="837"/>
  <c r="AJ121" i="837"/>
  <c r="AB137" i="837"/>
  <c r="AC137" i="837" s="1"/>
  <c r="AE137" i="837" s="1"/>
  <c r="AH137" i="837" s="1"/>
  <c r="AB42" i="837"/>
  <c r="AC42" i="837" s="1"/>
  <c r="AE42" i="837" s="1"/>
  <c r="AJ42" i="837" s="1"/>
  <c r="AH98" i="837"/>
  <c r="AJ27" i="837"/>
  <c r="AB32" i="837"/>
  <c r="AC32" i="837" s="1"/>
  <c r="AE32" i="837" s="1"/>
  <c r="AJ32" i="837" s="1"/>
  <c r="AB65" i="837"/>
  <c r="AC65" i="837" s="1"/>
  <c r="AE65" i="837" s="1"/>
  <c r="AB25" i="837"/>
  <c r="AC25" i="837" s="1"/>
  <c r="AE25" i="837" s="1"/>
  <c r="AJ25" i="837" s="1"/>
  <c r="AJ61" i="837"/>
  <c r="AH61" i="837"/>
  <c r="AJ39" i="837"/>
  <c r="AH129" i="837"/>
  <c r="AJ137" i="837"/>
  <c r="AB133" i="837"/>
  <c r="AC133" i="837" s="1"/>
  <c r="AE133" i="837" s="1"/>
  <c r="AB123" i="837"/>
  <c r="AC123" i="837" s="1"/>
  <c r="AE123" i="837" s="1"/>
  <c r="AB113" i="837"/>
  <c r="AC113" i="837" s="1"/>
  <c r="AE113" i="837" s="1"/>
  <c r="AB103" i="837"/>
  <c r="AC103" i="837" s="1"/>
  <c r="AE103" i="837" s="1"/>
  <c r="AB93" i="837"/>
  <c r="AC93" i="837" s="1"/>
  <c r="AE93" i="837" s="1"/>
  <c r="AJ93" i="837" s="1"/>
  <c r="AB83" i="837"/>
  <c r="AC83" i="837" s="1"/>
  <c r="AE83" i="837" s="1"/>
  <c r="AJ83" i="837" s="1"/>
  <c r="AB73" i="837"/>
  <c r="AC73" i="837" s="1"/>
  <c r="AE73" i="837" s="1"/>
  <c r="AH73" i="837" s="1"/>
  <c r="AB63" i="837"/>
  <c r="AC63" i="837" s="1"/>
  <c r="AE63" i="837" s="1"/>
  <c r="AJ63" i="837" s="1"/>
  <c r="AB53" i="837"/>
  <c r="AC53" i="837" s="1"/>
  <c r="AE53" i="837" s="1"/>
  <c r="AB43" i="837"/>
  <c r="AC43" i="837" s="1"/>
  <c r="AE43" i="837" s="1"/>
  <c r="AJ43" i="837" s="1"/>
  <c r="AB33" i="837"/>
  <c r="AC33" i="837" s="1"/>
  <c r="AE33" i="837" s="1"/>
  <c r="AH33" i="837" s="1"/>
  <c r="AB23" i="837"/>
  <c r="AC23" i="837" s="1"/>
  <c r="AE23" i="837" s="1"/>
  <c r="AB15" i="837"/>
  <c r="AC15" i="837" s="1"/>
  <c r="AE15" i="837" s="1"/>
  <c r="AH15" i="837" s="1"/>
  <c r="AB40" i="837"/>
  <c r="AC40" i="837" s="1"/>
  <c r="AE40" i="837" s="1"/>
  <c r="AJ40" i="837" s="1"/>
  <c r="AB30" i="837"/>
  <c r="AC30" i="837" s="1"/>
  <c r="AE30" i="837" s="1"/>
  <c r="AB130" i="837"/>
  <c r="AC130" i="837" s="1"/>
  <c r="AE130" i="837" s="1"/>
  <c r="AJ130" i="837" s="1"/>
  <c r="AB120" i="837"/>
  <c r="AC120" i="837" s="1"/>
  <c r="AE120" i="837" s="1"/>
  <c r="AH120" i="837" s="1"/>
  <c r="AB110" i="837"/>
  <c r="AC110" i="837" s="1"/>
  <c r="AE110" i="837" s="1"/>
  <c r="AH110" i="837" s="1"/>
  <c r="AB100" i="837"/>
  <c r="AC100" i="837" s="1"/>
  <c r="AE100" i="837" s="1"/>
  <c r="AJ100" i="837" s="1"/>
  <c r="AB90" i="837"/>
  <c r="AC90" i="837" s="1"/>
  <c r="AE90" i="837" s="1"/>
  <c r="AH90" i="837" s="1"/>
  <c r="AB80" i="837"/>
  <c r="AC80" i="837" s="1"/>
  <c r="AE80" i="837" s="1"/>
  <c r="AB70" i="837"/>
  <c r="AC70" i="837" s="1"/>
  <c r="AE70" i="837" s="1"/>
  <c r="AB60" i="837"/>
  <c r="AC60" i="837" s="1"/>
  <c r="AE60" i="837" s="1"/>
  <c r="AH60" i="837" s="1"/>
  <c r="AB50" i="837"/>
  <c r="AC50" i="837" s="1"/>
  <c r="AE50" i="837" s="1"/>
  <c r="AJ50" i="837" s="1"/>
  <c r="AB20" i="837"/>
  <c r="AC20" i="837" s="1"/>
  <c r="AE20" i="837" s="1"/>
  <c r="AB124" i="837"/>
  <c r="AC124" i="837" s="1"/>
  <c r="AE124" i="837" s="1"/>
  <c r="AJ124" i="837" s="1"/>
  <c r="AB67" i="837"/>
  <c r="AC67" i="837" s="1"/>
  <c r="AE67" i="837" s="1"/>
  <c r="AJ67" i="837" s="1"/>
  <c r="AB54" i="837"/>
  <c r="AC54" i="837" s="1"/>
  <c r="AE54" i="837" s="1"/>
  <c r="AJ54" i="837" s="1"/>
  <c r="AB36" i="837"/>
  <c r="AC36" i="837" s="1"/>
  <c r="AE36" i="837" s="1"/>
  <c r="AB18" i="837"/>
  <c r="AC18" i="837" s="1"/>
  <c r="AE18" i="837" s="1"/>
  <c r="AB5" i="837"/>
  <c r="AC5" i="837" s="1"/>
  <c r="AE5" i="837" s="1"/>
  <c r="AB21" i="837"/>
  <c r="AC21" i="837" s="1"/>
  <c r="AE21" i="837" s="1"/>
  <c r="AJ21" i="837" s="1"/>
  <c r="AB111" i="837"/>
  <c r="AC111" i="837" s="1"/>
  <c r="AE111" i="837" s="1"/>
  <c r="AJ111" i="837" s="1"/>
  <c r="AB98" i="837"/>
  <c r="AC98" i="837" s="1"/>
  <c r="AE98" i="837" s="1"/>
  <c r="AJ98" i="837" s="1"/>
  <c r="AB72" i="837"/>
  <c r="AC72" i="837" s="1"/>
  <c r="AE72" i="837" s="1"/>
  <c r="AJ72" i="837" s="1"/>
  <c r="AB49" i="837"/>
  <c r="AC49" i="837" s="1"/>
  <c r="AE49" i="837" s="1"/>
  <c r="AJ49" i="837" s="1"/>
  <c r="AB31" i="837"/>
  <c r="AC31" i="837" s="1"/>
  <c r="AE31" i="837" s="1"/>
  <c r="AH31" i="837" s="1"/>
  <c r="AB13" i="837"/>
  <c r="AC13" i="837" s="1"/>
  <c r="AE13" i="837" s="1"/>
  <c r="AH13" i="837" s="1"/>
  <c r="AB26" i="837"/>
  <c r="AC26" i="837" s="1"/>
  <c r="AE26" i="837" s="1"/>
  <c r="AB39" i="837"/>
  <c r="AC39" i="837" s="1"/>
  <c r="AE39" i="837" s="1"/>
  <c r="AH39" i="837" s="1"/>
  <c r="AB29" i="837"/>
  <c r="AC29" i="837" s="1"/>
  <c r="AE29" i="837" s="1"/>
  <c r="AH29" i="837" s="1"/>
  <c r="AB122" i="837"/>
  <c r="AC122" i="837" s="1"/>
  <c r="AE122" i="837" s="1"/>
  <c r="AH122" i="837" s="1"/>
  <c r="AB127" i="837"/>
  <c r="AC127" i="837" s="1"/>
  <c r="AE127" i="837" s="1"/>
  <c r="AJ127" i="837" s="1"/>
  <c r="AB119" i="837"/>
  <c r="AC119" i="837" s="1"/>
  <c r="AE119" i="837" s="1"/>
  <c r="AB106" i="837"/>
  <c r="AC106" i="837" s="1"/>
  <c r="AE106" i="837" s="1"/>
  <c r="AB85" i="837"/>
  <c r="AC85" i="837" s="1"/>
  <c r="AE85" i="837" s="1"/>
  <c r="AB57" i="837"/>
  <c r="AC57" i="837" s="1"/>
  <c r="AE57" i="837" s="1"/>
  <c r="AJ57" i="837" s="1"/>
  <c r="AB44" i="837"/>
  <c r="AC44" i="837" s="1"/>
  <c r="AE44" i="837" s="1"/>
  <c r="AJ44" i="837" s="1"/>
  <c r="AB132" i="837"/>
  <c r="AC132" i="837" s="1"/>
  <c r="AE132" i="837" s="1"/>
  <c r="AJ132" i="837" s="1"/>
  <c r="AB114" i="837"/>
  <c r="AC114" i="837" s="1"/>
  <c r="AE114" i="837" s="1"/>
  <c r="AH114" i="837" s="1"/>
  <c r="AB104" i="837"/>
  <c r="AC104" i="837" s="1"/>
  <c r="AE104" i="837" s="1"/>
  <c r="AH104" i="837" s="1"/>
  <c r="AB101" i="837"/>
  <c r="AC101" i="837" s="1"/>
  <c r="AE101" i="837" s="1"/>
  <c r="AJ101" i="837" s="1"/>
  <c r="AB88" i="837"/>
  <c r="AC88" i="837" s="1"/>
  <c r="AE88" i="837" s="1"/>
  <c r="AJ88" i="837" s="1"/>
  <c r="AB62" i="837"/>
  <c r="AC62" i="837" s="1"/>
  <c r="AE62" i="837" s="1"/>
  <c r="AB47" i="837"/>
  <c r="AC47" i="837" s="1"/>
  <c r="AE47" i="837" s="1"/>
  <c r="AJ47" i="837" s="1"/>
  <c r="AB34" i="837"/>
  <c r="AC34" i="837" s="1"/>
  <c r="AE34" i="837" s="1"/>
  <c r="AH34" i="837" s="1"/>
  <c r="AB7" i="837"/>
  <c r="AC7" i="837" s="1"/>
  <c r="AE7" i="837" s="1"/>
  <c r="AH7" i="837" s="1"/>
  <c r="AB117" i="837"/>
  <c r="AC117" i="837" s="1"/>
  <c r="AE117" i="837" s="1"/>
  <c r="AJ117" i="837" s="1"/>
  <c r="AB109" i="837"/>
  <c r="AC109" i="837" s="1"/>
  <c r="AE109" i="837" s="1"/>
  <c r="AH109" i="837" s="1"/>
  <c r="AB96" i="837"/>
  <c r="AC96" i="837" s="1"/>
  <c r="AE96" i="837" s="1"/>
  <c r="AB75" i="837"/>
  <c r="AC75" i="837" s="1"/>
  <c r="AE75" i="837" s="1"/>
  <c r="AJ75" i="837" s="1"/>
  <c r="AB9" i="837"/>
  <c r="AC9" i="837" s="1"/>
  <c r="AE9" i="837" s="1"/>
  <c r="AH9" i="837" s="1"/>
  <c r="AB78" i="837"/>
  <c r="AC78" i="837" s="1"/>
  <c r="AE78" i="837" s="1"/>
  <c r="AH78" i="837" s="1"/>
  <c r="AB76" i="837"/>
  <c r="AC76" i="837" s="1"/>
  <c r="AE76" i="837" s="1"/>
  <c r="AJ76" i="837" s="1"/>
  <c r="AB112" i="837"/>
  <c r="AC112" i="837" s="1"/>
  <c r="AE112" i="837" s="1"/>
  <c r="AH112" i="837" s="1"/>
  <c r="AB58" i="837"/>
  <c r="AC58" i="837" s="1"/>
  <c r="AE58" i="837" s="1"/>
  <c r="AJ58" i="837" s="1"/>
  <c r="AB136" i="837"/>
  <c r="AC136" i="837" s="1"/>
  <c r="AE136" i="837" s="1"/>
  <c r="AH136" i="837" s="1"/>
  <c r="AB126" i="837"/>
  <c r="AC126" i="837" s="1"/>
  <c r="AE126" i="837" s="1"/>
  <c r="AH126" i="837" s="1"/>
  <c r="AB118" i="837"/>
  <c r="AC118" i="837" s="1"/>
  <c r="AE118" i="837" s="1"/>
  <c r="AJ118" i="837" s="1"/>
  <c r="AB92" i="837"/>
  <c r="AC92" i="837" s="1"/>
  <c r="AE92" i="837" s="1"/>
  <c r="AJ92" i="837" s="1"/>
  <c r="AB56" i="837"/>
  <c r="AC56" i="837" s="1"/>
  <c r="AE56" i="837" s="1"/>
  <c r="AH56" i="837" s="1"/>
  <c r="AB37" i="837"/>
  <c r="AC37" i="837" s="1"/>
  <c r="AE37" i="837" s="1"/>
  <c r="AJ37" i="837" s="1"/>
  <c r="AB68" i="837"/>
  <c r="AC68" i="837" s="1"/>
  <c r="AE68" i="837" s="1"/>
  <c r="AH68" i="837" s="1"/>
  <c r="AB45" i="837"/>
  <c r="AC45" i="837" s="1"/>
  <c r="AE45" i="837" s="1"/>
  <c r="AH45" i="837" s="1"/>
  <c r="AB134" i="837"/>
  <c r="AC134" i="837" s="1"/>
  <c r="AE134" i="837" s="1"/>
  <c r="AH134" i="837" s="1"/>
  <c r="AB108" i="837"/>
  <c r="AC108" i="837" s="1"/>
  <c r="AE108" i="837" s="1"/>
  <c r="AH108" i="837" s="1"/>
  <c r="AB27" i="837"/>
  <c r="AC27" i="837" s="1"/>
  <c r="AE27" i="837" s="1"/>
  <c r="AH27" i="837" s="1"/>
  <c r="AB128" i="837"/>
  <c r="AC128" i="837" s="1"/>
  <c r="AE128" i="837" s="1"/>
  <c r="AH128" i="837" s="1"/>
  <c r="AB116" i="837"/>
  <c r="AC116" i="837" s="1"/>
  <c r="AE116" i="837" s="1"/>
  <c r="AB19" i="837"/>
  <c r="AC19" i="837" s="1"/>
  <c r="AE19" i="837" s="1"/>
  <c r="AJ19" i="837" s="1"/>
  <c r="AB74" i="837"/>
  <c r="AC74" i="837" s="1"/>
  <c r="AE74" i="837" s="1"/>
  <c r="AB22" i="837"/>
  <c r="AC22" i="837" s="1"/>
  <c r="AE22" i="837" s="1"/>
  <c r="AB86" i="837"/>
  <c r="AC86" i="837" s="1"/>
  <c r="AE86" i="837" s="1"/>
  <c r="AH86" i="837" s="1"/>
  <c r="AB64" i="837"/>
  <c r="AC64" i="837" s="1"/>
  <c r="AE64" i="837" s="1"/>
  <c r="AJ64" i="837" s="1"/>
  <c r="AB41" i="837"/>
  <c r="AC41" i="837" s="1"/>
  <c r="AE41" i="837" s="1"/>
  <c r="AB52" i="837"/>
  <c r="AC52" i="837" s="1"/>
  <c r="AE52" i="837" s="1"/>
  <c r="AJ52" i="837" s="1"/>
  <c r="AB11" i="837"/>
  <c r="AC11" i="837" s="1"/>
  <c r="AE11" i="837" s="1"/>
  <c r="AH11" i="837" s="1"/>
  <c r="AB102" i="837"/>
  <c r="AC102" i="837" s="1"/>
  <c r="AE102" i="837" s="1"/>
  <c r="AH102" i="837" s="1"/>
  <c r="AB35" i="837"/>
  <c r="AC35" i="837" s="1"/>
  <c r="AE35" i="837" s="1"/>
  <c r="AJ35" i="837" s="1"/>
  <c r="AB94" i="837"/>
  <c r="AC94" i="837" s="1"/>
  <c r="AE94" i="837" s="1"/>
  <c r="AH94" i="837" s="1"/>
  <c r="AB84" i="837"/>
  <c r="AC84" i="837" s="1"/>
  <c r="AE84" i="837" s="1"/>
  <c r="AH84" i="837" s="1"/>
  <c r="AB82" i="837"/>
  <c r="AC82" i="837" s="1"/>
  <c r="AE82" i="837" s="1"/>
  <c r="AJ82" i="837" s="1"/>
  <c r="AB66" i="837"/>
  <c r="AC66" i="837" s="1"/>
  <c r="AE66" i="837" s="1"/>
  <c r="AB138" i="837"/>
  <c r="AC138" i="837" s="1"/>
  <c r="AE138" i="837" s="1"/>
  <c r="AJ138" i="837" s="1"/>
  <c r="AH111" i="837"/>
  <c r="AB17" i="837"/>
  <c r="AC17" i="837" s="1"/>
  <c r="AE17" i="837" s="1"/>
  <c r="AJ17" i="837" s="1"/>
  <c r="AJ29" i="837"/>
  <c r="AJ90" i="837"/>
  <c r="AB55" i="837"/>
  <c r="AC55" i="837" s="1"/>
  <c r="AE55" i="837" s="1"/>
  <c r="AJ55" i="837" s="1"/>
  <c r="AB38" i="837"/>
  <c r="AC38" i="837" s="1"/>
  <c r="AE38" i="837" s="1"/>
  <c r="AB81" i="837"/>
  <c r="AC81" i="837" s="1"/>
  <c r="AE81" i="837" s="1"/>
  <c r="AH81" i="837" s="1"/>
  <c r="AB91" i="837"/>
  <c r="AC91" i="837" s="1"/>
  <c r="AE91" i="837" s="1"/>
  <c r="AH91" i="837" s="1"/>
  <c r="AB48" i="837"/>
  <c r="AC48" i="837" s="1"/>
  <c r="AE48" i="837" s="1"/>
  <c r="AJ48" i="837" s="1"/>
  <c r="AB99" i="837"/>
  <c r="AC99" i="837" s="1"/>
  <c r="AE99" i="837" s="1"/>
  <c r="AJ99" i="837" s="1"/>
  <c r="AB125" i="837"/>
  <c r="AC125" i="837" s="1"/>
  <c r="AE125" i="837" s="1"/>
  <c r="AJ125" i="837" s="1"/>
  <c r="AJ107" i="837"/>
  <c r="AH107" i="837"/>
  <c r="AJ66" i="837"/>
  <c r="AJ46" i="837"/>
  <c r="AH46" i="837"/>
  <c r="AJ34" i="837"/>
  <c r="AB24" i="837"/>
  <c r="AC24" i="837" s="1"/>
  <c r="AE24" i="837" s="1"/>
  <c r="AH24" i="837" s="1"/>
  <c r="AJ78" i="837"/>
  <c r="AB28" i="837"/>
  <c r="AC28" i="837" s="1"/>
  <c r="AE28" i="837" s="1"/>
  <c r="AB71" i="837"/>
  <c r="AC71" i="837" s="1"/>
  <c r="AE71" i="837" s="1"/>
  <c r="AB79" i="837"/>
  <c r="AC79" i="837" s="1"/>
  <c r="AE79" i="837" s="1"/>
  <c r="AH79" i="837" s="1"/>
  <c r="AB115" i="837"/>
  <c r="AC115" i="837" s="1"/>
  <c r="AE115" i="837" s="1"/>
  <c r="AJ80" i="837"/>
  <c r="AJ62" i="837"/>
  <c r="AH62" i="837"/>
  <c r="AJ86" i="837"/>
  <c r="AJ96" i="837"/>
  <c r="AH50" i="837"/>
  <c r="AH74" i="837"/>
  <c r="AJ74" i="837"/>
  <c r="AH43" i="837"/>
  <c r="AJ60" i="837"/>
  <c r="AH66" i="837"/>
  <c r="AH130" i="837"/>
  <c r="AJ70" i="837"/>
  <c r="AH70" i="837"/>
  <c r="AH96" i="837"/>
  <c r="AH80" i="837"/>
  <c r="AJ15" i="837" l="1"/>
  <c r="AJ11" i="837"/>
  <c r="AL121" i="837"/>
  <c r="AK121" i="837"/>
  <c r="AJ110" i="837"/>
  <c r="AH100" i="837"/>
  <c r="AJ128" i="837"/>
  <c r="AJ45" i="837"/>
  <c r="AH44" i="837"/>
  <c r="AL44" i="837" s="1"/>
  <c r="AH67" i="837"/>
  <c r="AJ68" i="837"/>
  <c r="AJ131" i="837"/>
  <c r="AJ13" i="837"/>
  <c r="AH72" i="837"/>
  <c r="AL72" i="837" s="1"/>
  <c r="AH40" i="837"/>
  <c r="AL40" i="837" s="1"/>
  <c r="AH17" i="837"/>
  <c r="AK17" i="837" s="1"/>
  <c r="AJ79" i="837"/>
  <c r="AH117" i="837"/>
  <c r="AL117" i="837" s="1"/>
  <c r="AH88" i="837"/>
  <c r="AJ120" i="837"/>
  <c r="AH47" i="837"/>
  <c r="AL47" i="837" s="1"/>
  <c r="AH83" i="837"/>
  <c r="AK83" i="837" s="1"/>
  <c r="AJ134" i="837"/>
  <c r="AJ91" i="837"/>
  <c r="AJ9" i="837"/>
  <c r="AJ31" i="837"/>
  <c r="AJ7" i="837"/>
  <c r="AH138" i="837"/>
  <c r="AJ108" i="837"/>
  <c r="AJ73" i="837"/>
  <c r="AH52" i="837"/>
  <c r="AL52" i="837" s="1"/>
  <c r="AH77" i="837"/>
  <c r="AH64" i="837"/>
  <c r="AH25" i="837"/>
  <c r="AL104" i="837"/>
  <c r="AK104" i="837"/>
  <c r="AL94" i="837"/>
  <c r="AK94" i="837"/>
  <c r="AK91" i="837"/>
  <c r="AL91" i="837"/>
  <c r="AL78" i="837"/>
  <c r="AK78" i="837"/>
  <c r="AL122" i="837"/>
  <c r="AK122" i="837"/>
  <c r="AL24" i="837"/>
  <c r="AK24" i="837"/>
  <c r="AK29" i="837"/>
  <c r="AL29" i="837"/>
  <c r="AL90" i="837"/>
  <c r="AK90" i="837"/>
  <c r="AL84" i="837"/>
  <c r="AK84" i="837"/>
  <c r="AK33" i="837"/>
  <c r="AL33" i="837"/>
  <c r="AL126" i="837"/>
  <c r="AK126" i="837"/>
  <c r="AL136" i="837"/>
  <c r="AK136" i="837"/>
  <c r="AL86" i="837"/>
  <c r="AK86" i="837"/>
  <c r="AL9" i="837"/>
  <c r="AK9" i="837"/>
  <c r="AK109" i="837"/>
  <c r="AL109" i="837"/>
  <c r="AL56" i="837"/>
  <c r="AK56" i="837"/>
  <c r="AL114" i="837"/>
  <c r="AK114" i="837"/>
  <c r="AL102" i="837"/>
  <c r="AK102" i="837"/>
  <c r="AL11" i="837"/>
  <c r="AK11" i="837"/>
  <c r="AL112" i="837"/>
  <c r="AK112" i="837"/>
  <c r="AL39" i="837"/>
  <c r="AK39" i="837"/>
  <c r="AH23" i="837"/>
  <c r="AJ23" i="837"/>
  <c r="AK25" i="837"/>
  <c r="AL25" i="837"/>
  <c r="AL64" i="837"/>
  <c r="AK64" i="837"/>
  <c r="AL107" i="837"/>
  <c r="AK107" i="837"/>
  <c r="AK96" i="837"/>
  <c r="AL96" i="837"/>
  <c r="AL74" i="837"/>
  <c r="AK74" i="837"/>
  <c r="AL67" i="837"/>
  <c r="AK67" i="837"/>
  <c r="AK68" i="837"/>
  <c r="AL68" i="837"/>
  <c r="AJ36" i="837"/>
  <c r="AH36" i="837"/>
  <c r="AL65" i="837"/>
  <c r="AK65" i="837"/>
  <c r="AK88" i="837"/>
  <c r="AL88" i="837"/>
  <c r="AK7" i="837"/>
  <c r="AL7" i="837"/>
  <c r="AJ94" i="837"/>
  <c r="AL50" i="837"/>
  <c r="AK50" i="837"/>
  <c r="AH101" i="837"/>
  <c r="AJ85" i="837"/>
  <c r="AH85" i="837"/>
  <c r="AJ20" i="837"/>
  <c r="AH20" i="837"/>
  <c r="AL128" i="837"/>
  <c r="AK128" i="837"/>
  <c r="AK51" i="837"/>
  <c r="AL51" i="837"/>
  <c r="AH54" i="837"/>
  <c r="AJ103" i="837"/>
  <c r="AH103" i="837"/>
  <c r="AK108" i="837"/>
  <c r="AL108" i="837"/>
  <c r="AL34" i="837"/>
  <c r="AK34" i="837"/>
  <c r="AJ112" i="837"/>
  <c r="AL131" i="837"/>
  <c r="AK131" i="837"/>
  <c r="AJ123" i="837"/>
  <c r="AH123" i="837"/>
  <c r="AJ133" i="837"/>
  <c r="AH133" i="837"/>
  <c r="AL98" i="837"/>
  <c r="AK98" i="837"/>
  <c r="AH35" i="837"/>
  <c r="AH76" i="837"/>
  <c r="AH58" i="837"/>
  <c r="AK137" i="837"/>
  <c r="AL137" i="837"/>
  <c r="AL77" i="837"/>
  <c r="AK77" i="837"/>
  <c r="AK105" i="837"/>
  <c r="AL105" i="837"/>
  <c r="AH132" i="837"/>
  <c r="AL110" i="837"/>
  <c r="AK110" i="837"/>
  <c r="AH118" i="837"/>
  <c r="AH63" i="837"/>
  <c r="AJ116" i="837"/>
  <c r="AH116" i="837"/>
  <c r="AH26" i="837"/>
  <c r="AJ26" i="837"/>
  <c r="AH124" i="837"/>
  <c r="AJ38" i="837"/>
  <c r="AH38" i="837"/>
  <c r="AH93" i="837"/>
  <c r="AH92" i="837"/>
  <c r="AH49" i="837"/>
  <c r="AH42" i="837"/>
  <c r="AJ28" i="837"/>
  <c r="AH28" i="837"/>
  <c r="AH75" i="837"/>
  <c r="AJ122" i="837"/>
  <c r="AJ126" i="837"/>
  <c r="AL97" i="837"/>
  <c r="AK97" i="837"/>
  <c r="AK44" i="837"/>
  <c r="AJ18" i="837"/>
  <c r="AH18" i="837"/>
  <c r="AL100" i="837"/>
  <c r="AK100" i="837"/>
  <c r="AL61" i="837"/>
  <c r="AK61" i="837"/>
  <c r="AJ104" i="837"/>
  <c r="AH21" i="837"/>
  <c r="AL135" i="837"/>
  <c r="AK135" i="837"/>
  <c r="AK89" i="837"/>
  <c r="AL89" i="837"/>
  <c r="AJ33" i="837"/>
  <c r="AH55" i="837"/>
  <c r="AL60" i="837"/>
  <c r="AK60" i="837"/>
  <c r="AH41" i="837"/>
  <c r="AJ41" i="837"/>
  <c r="AK71" i="837"/>
  <c r="AL71" i="837"/>
  <c r="AH119" i="837"/>
  <c r="AJ119" i="837"/>
  <c r="AL95" i="837"/>
  <c r="AK95" i="837"/>
  <c r="AJ115" i="837"/>
  <c r="AH115" i="837"/>
  <c r="AL130" i="837"/>
  <c r="AK130" i="837"/>
  <c r="AJ22" i="837"/>
  <c r="AH22" i="837"/>
  <c r="AJ24" i="837"/>
  <c r="AL46" i="837"/>
  <c r="AK46" i="837"/>
  <c r="AH127" i="837"/>
  <c r="AJ84" i="837"/>
  <c r="AK59" i="837"/>
  <c r="AL59" i="837"/>
  <c r="AL120" i="837"/>
  <c r="AK120" i="837"/>
  <c r="AJ102" i="837"/>
  <c r="AL69" i="837"/>
  <c r="AK69" i="837"/>
  <c r="AH82" i="837"/>
  <c r="AJ81" i="837"/>
  <c r="AL129" i="837"/>
  <c r="AK129" i="837"/>
  <c r="AJ109" i="837"/>
  <c r="AH19" i="837"/>
  <c r="AH125" i="837"/>
  <c r="AH48" i="837"/>
  <c r="AL80" i="837"/>
  <c r="AK80" i="837"/>
  <c r="AL45" i="837"/>
  <c r="AK45" i="837"/>
  <c r="AL31" i="837"/>
  <c r="AK31" i="837"/>
  <c r="AL43" i="837"/>
  <c r="AK43" i="837"/>
  <c r="AJ5" i="837"/>
  <c r="AH5" i="837"/>
  <c r="AJ56" i="837"/>
  <c r="AL73" i="837"/>
  <c r="AK73" i="837"/>
  <c r="AK113" i="837"/>
  <c r="AL113" i="837"/>
  <c r="AK62" i="837"/>
  <c r="AL62" i="837"/>
  <c r="AJ53" i="837"/>
  <c r="AH53" i="837"/>
  <c r="AK99" i="837"/>
  <c r="AL99" i="837"/>
  <c r="AL70" i="837"/>
  <c r="AK70" i="837"/>
  <c r="AL134" i="837"/>
  <c r="AK134" i="837"/>
  <c r="AK79" i="837"/>
  <c r="AL79" i="837"/>
  <c r="AJ106" i="837"/>
  <c r="AH106" i="837"/>
  <c r="AL27" i="837"/>
  <c r="AK27" i="837"/>
  <c r="AL15" i="837"/>
  <c r="AK15" i="837"/>
  <c r="AH37" i="837"/>
  <c r="AH32" i="837"/>
  <c r="AK81" i="837"/>
  <c r="AL81" i="837"/>
  <c r="AK13" i="837"/>
  <c r="AL13" i="837"/>
  <c r="AJ114" i="837"/>
  <c r="AL138" i="837"/>
  <c r="AK138" i="837"/>
  <c r="AL87" i="837"/>
  <c r="AK87" i="837"/>
  <c r="AK111" i="837"/>
  <c r="AL111" i="837"/>
  <c r="AJ30" i="837"/>
  <c r="AH30" i="837"/>
  <c r="AH57" i="837"/>
  <c r="AL66" i="837"/>
  <c r="AK66" i="837"/>
  <c r="AL83" i="837" l="1"/>
  <c r="AL17" i="837"/>
  <c r="AK117" i="837"/>
  <c r="AK40" i="837"/>
  <c r="AK52" i="837"/>
  <c r="AK47" i="837"/>
  <c r="AK72" i="837"/>
  <c r="AL30" i="837"/>
  <c r="AK30" i="837"/>
  <c r="AL5" i="837"/>
  <c r="AK5" i="837"/>
  <c r="AL124" i="837"/>
  <c r="AK124" i="837"/>
  <c r="AK18" i="837"/>
  <c r="AL18" i="837"/>
  <c r="AL20" i="837"/>
  <c r="AK20" i="837"/>
  <c r="AL26" i="837"/>
  <c r="AK26" i="837"/>
  <c r="AK63" i="837"/>
  <c r="AL63" i="837"/>
  <c r="AK101" i="837"/>
  <c r="AL101" i="837"/>
  <c r="AL127" i="837"/>
  <c r="AK127" i="837"/>
  <c r="AK48" i="837"/>
  <c r="AL48" i="837"/>
  <c r="AL19" i="837"/>
  <c r="AK19" i="837"/>
  <c r="AL22" i="837"/>
  <c r="AK22" i="837"/>
  <c r="AK75" i="837"/>
  <c r="AL75" i="837"/>
  <c r="AK28" i="837"/>
  <c r="AL28" i="837"/>
  <c r="AK32" i="837"/>
  <c r="AL32" i="837"/>
  <c r="AL42" i="837"/>
  <c r="AK42" i="837"/>
  <c r="AK103" i="837"/>
  <c r="AL103" i="837"/>
  <c r="AL106" i="837"/>
  <c r="AK106" i="837"/>
  <c r="AL119" i="837"/>
  <c r="AK119" i="837"/>
  <c r="AL133" i="837"/>
  <c r="AK133" i="837"/>
  <c r="AL116" i="837"/>
  <c r="AK116" i="837"/>
  <c r="AK85" i="837"/>
  <c r="AL85" i="837"/>
  <c r="AL41" i="837"/>
  <c r="AK41" i="837"/>
  <c r="AL118" i="837"/>
  <c r="AK118" i="837"/>
  <c r="AL125" i="837"/>
  <c r="AK125" i="837"/>
  <c r="AK21" i="837"/>
  <c r="AL21" i="837"/>
  <c r="AL93" i="837"/>
  <c r="AK93" i="837"/>
  <c r="AL76" i="837"/>
  <c r="AK76" i="837"/>
  <c r="AK36" i="837"/>
  <c r="AL36" i="837"/>
  <c r="AL123" i="837"/>
  <c r="AK123" i="837"/>
  <c r="AL55" i="837"/>
  <c r="AK55" i="837"/>
  <c r="AL132" i="837"/>
  <c r="AK132" i="837"/>
  <c r="AK53" i="837"/>
  <c r="AL53" i="837"/>
  <c r="AK37" i="837"/>
  <c r="AL37" i="837"/>
  <c r="AK115" i="837"/>
  <c r="AL115" i="837"/>
  <c r="AK49" i="837"/>
  <c r="AL49" i="837"/>
  <c r="AL82" i="837"/>
  <c r="AK82" i="837"/>
  <c r="AL92" i="837"/>
  <c r="AK92" i="837"/>
  <c r="AL58" i="837"/>
  <c r="AK58" i="837"/>
  <c r="AL54" i="837"/>
  <c r="AK54" i="837"/>
  <c r="AL23" i="837"/>
  <c r="AK23" i="837"/>
  <c r="AL57" i="837"/>
  <c r="AK57" i="837"/>
  <c r="AL38" i="837"/>
  <c r="AK38" i="837"/>
  <c r="AL35" i="837"/>
  <c r="AK35" i="837"/>
  <c r="AF5" i="835" l="1"/>
  <c r="AX136" i="835" l="1"/>
  <c r="AW136" i="835"/>
  <c r="AN136" i="835"/>
  <c r="AO136" i="835" s="1"/>
  <c r="U136" i="835"/>
  <c r="V136" i="835" s="1"/>
  <c r="N136" i="835"/>
  <c r="AX135" i="835"/>
  <c r="AW135" i="835"/>
  <c r="AN135" i="835"/>
  <c r="AO135" i="835" s="1"/>
  <c r="V135" i="835"/>
  <c r="U135" i="835"/>
  <c r="N135" i="835"/>
  <c r="AX134" i="835"/>
  <c r="AW134" i="835"/>
  <c r="AN134" i="835"/>
  <c r="AO134" i="835" s="1"/>
  <c r="V134" i="835"/>
  <c r="U134" i="835"/>
  <c r="N134" i="835"/>
  <c r="AX133" i="835"/>
  <c r="AW133" i="835"/>
  <c r="AO133" i="835"/>
  <c r="AN133" i="835"/>
  <c r="U133" i="835"/>
  <c r="V133" i="835" s="1"/>
  <c r="N133" i="835"/>
  <c r="AX132" i="835"/>
  <c r="AW132" i="835"/>
  <c r="AN132" i="835"/>
  <c r="AO132" i="835" s="1"/>
  <c r="V132" i="835"/>
  <c r="U132" i="835"/>
  <c r="N132" i="835"/>
  <c r="AX131" i="835"/>
  <c r="AW131" i="835"/>
  <c r="AN131" i="835"/>
  <c r="AO131" i="835" s="1"/>
  <c r="U131" i="835"/>
  <c r="V131" i="835" s="1"/>
  <c r="N131" i="835"/>
  <c r="AX130" i="835"/>
  <c r="AW130" i="835"/>
  <c r="AN130" i="835"/>
  <c r="AO130" i="835" s="1"/>
  <c r="U130" i="835"/>
  <c r="V130" i="835" s="1"/>
  <c r="N130" i="835"/>
  <c r="AX129" i="835"/>
  <c r="AW129" i="835"/>
  <c r="AO129" i="835"/>
  <c r="AN129" i="835"/>
  <c r="U129" i="835"/>
  <c r="V129" i="835" s="1"/>
  <c r="N129" i="835"/>
  <c r="AX128" i="835"/>
  <c r="AW128" i="835"/>
  <c r="AN128" i="835"/>
  <c r="AO128" i="835" s="1"/>
  <c r="U128" i="835"/>
  <c r="V128" i="835" s="1"/>
  <c r="N128" i="835"/>
  <c r="AX127" i="835"/>
  <c r="AW127" i="835"/>
  <c r="AN127" i="835"/>
  <c r="AO127" i="835" s="1"/>
  <c r="U127" i="835"/>
  <c r="V127" i="835" s="1"/>
  <c r="N127" i="835"/>
  <c r="AX126" i="835"/>
  <c r="AW126" i="835"/>
  <c r="AN126" i="835"/>
  <c r="AO126" i="835" s="1"/>
  <c r="U126" i="835"/>
  <c r="V126" i="835" s="1"/>
  <c r="N126" i="835"/>
  <c r="AX125" i="835"/>
  <c r="AW125" i="835"/>
  <c r="AN125" i="835"/>
  <c r="AO125" i="835" s="1"/>
  <c r="U125" i="835"/>
  <c r="V125" i="835" s="1"/>
  <c r="N125" i="835"/>
  <c r="AX124" i="835"/>
  <c r="AW124" i="835"/>
  <c r="AN124" i="835"/>
  <c r="AO124" i="835" s="1"/>
  <c r="V124" i="835"/>
  <c r="U124" i="835"/>
  <c r="N124" i="835"/>
  <c r="AX123" i="835"/>
  <c r="AW123" i="835"/>
  <c r="AN123" i="835"/>
  <c r="AO123" i="835" s="1"/>
  <c r="U123" i="835"/>
  <c r="V123" i="835" s="1"/>
  <c r="N123" i="835"/>
  <c r="AX122" i="835"/>
  <c r="AW122" i="835"/>
  <c r="AO122" i="835"/>
  <c r="AN122" i="835"/>
  <c r="U122" i="835"/>
  <c r="V122" i="835" s="1"/>
  <c r="N122" i="835"/>
  <c r="AX121" i="835"/>
  <c r="AW121" i="835"/>
  <c r="AN121" i="835"/>
  <c r="AO121" i="835" s="1"/>
  <c r="U121" i="835"/>
  <c r="V121" i="835" s="1"/>
  <c r="N121" i="835"/>
  <c r="AX120" i="835"/>
  <c r="AW120" i="835"/>
  <c r="AN120" i="835"/>
  <c r="AO120" i="835" s="1"/>
  <c r="U120" i="835"/>
  <c r="V120" i="835" s="1"/>
  <c r="N120" i="835"/>
  <c r="AX119" i="835"/>
  <c r="AW119" i="835"/>
  <c r="AO119" i="835"/>
  <c r="AN119" i="835"/>
  <c r="U119" i="835"/>
  <c r="V119" i="835" s="1"/>
  <c r="N119" i="835"/>
  <c r="AX118" i="835"/>
  <c r="AW118" i="835"/>
  <c r="AN118" i="835"/>
  <c r="AO118" i="835" s="1"/>
  <c r="U118" i="835"/>
  <c r="V118" i="835" s="1"/>
  <c r="N118" i="835"/>
  <c r="AX117" i="835"/>
  <c r="AW117" i="835"/>
  <c r="AN117" i="835"/>
  <c r="AO117" i="835" s="1"/>
  <c r="U117" i="835"/>
  <c r="V117" i="835" s="1"/>
  <c r="N117" i="835"/>
  <c r="AX116" i="835"/>
  <c r="AW116" i="835"/>
  <c r="AN116" i="835"/>
  <c r="AO116" i="835" s="1"/>
  <c r="U116" i="835"/>
  <c r="V116" i="835" s="1"/>
  <c r="N116" i="835"/>
  <c r="AX115" i="835"/>
  <c r="AW115" i="835"/>
  <c r="AN115" i="835"/>
  <c r="AO115" i="835" s="1"/>
  <c r="U115" i="835"/>
  <c r="V115" i="835" s="1"/>
  <c r="N115" i="835"/>
  <c r="AX114" i="835"/>
  <c r="AW114" i="835"/>
  <c r="AO114" i="835"/>
  <c r="AN114" i="835"/>
  <c r="V114" i="835"/>
  <c r="U114" i="835"/>
  <c r="N114" i="835"/>
  <c r="AX113" i="835"/>
  <c r="AW113" i="835"/>
  <c r="AN113" i="835"/>
  <c r="AO113" i="835" s="1"/>
  <c r="U113" i="835"/>
  <c r="V113" i="835" s="1"/>
  <c r="N113" i="835"/>
  <c r="AX112" i="835"/>
  <c r="AW112" i="835"/>
  <c r="AN112" i="835"/>
  <c r="AO112" i="835" s="1"/>
  <c r="U112" i="835"/>
  <c r="V112" i="835" s="1"/>
  <c r="N112" i="835"/>
  <c r="AX111" i="835"/>
  <c r="AW111" i="835"/>
  <c r="AO111" i="835"/>
  <c r="AN111" i="835"/>
  <c r="U111" i="835"/>
  <c r="V111" i="835" s="1"/>
  <c r="N111" i="835"/>
  <c r="AX110" i="835"/>
  <c r="AW110" i="835"/>
  <c r="AN110" i="835"/>
  <c r="AO110" i="835" s="1"/>
  <c r="V110" i="835"/>
  <c r="U110" i="835"/>
  <c r="N110" i="835"/>
  <c r="AX109" i="835"/>
  <c r="AW109" i="835"/>
  <c r="AN109" i="835"/>
  <c r="AO109" i="835" s="1"/>
  <c r="U109" i="835"/>
  <c r="V109" i="835" s="1"/>
  <c r="N109" i="835"/>
  <c r="AX108" i="835"/>
  <c r="AW108" i="835"/>
  <c r="AN108" i="835"/>
  <c r="AO108" i="835" s="1"/>
  <c r="U108" i="835"/>
  <c r="V108" i="835" s="1"/>
  <c r="N108" i="835"/>
  <c r="AX107" i="835"/>
  <c r="AW107" i="835"/>
  <c r="AN107" i="835"/>
  <c r="AO107" i="835" s="1"/>
  <c r="U107" i="835"/>
  <c r="V107" i="835" s="1"/>
  <c r="N107" i="835"/>
  <c r="AX106" i="835"/>
  <c r="AW106" i="835"/>
  <c r="AN106" i="835"/>
  <c r="AO106" i="835" s="1"/>
  <c r="V106" i="835"/>
  <c r="U106" i="835"/>
  <c r="N106" i="835"/>
  <c r="AX105" i="835"/>
  <c r="AW105" i="835"/>
  <c r="AN105" i="835"/>
  <c r="AO105" i="835" s="1"/>
  <c r="V105" i="835"/>
  <c r="U105" i="835"/>
  <c r="N105" i="835"/>
  <c r="AX104" i="835"/>
  <c r="AW104" i="835"/>
  <c r="AN104" i="835"/>
  <c r="AO104" i="835" s="1"/>
  <c r="V104" i="835"/>
  <c r="U104" i="835"/>
  <c r="N104" i="835"/>
  <c r="AX103" i="835"/>
  <c r="AW103" i="835"/>
  <c r="AO103" i="835"/>
  <c r="AN103" i="835"/>
  <c r="U103" i="835"/>
  <c r="V103" i="835" s="1"/>
  <c r="N103" i="835"/>
  <c r="AX102" i="835"/>
  <c r="AW102" i="835"/>
  <c r="AN102" i="835"/>
  <c r="AO102" i="835" s="1"/>
  <c r="V102" i="835"/>
  <c r="U102" i="835"/>
  <c r="N102" i="835"/>
  <c r="AX101" i="835"/>
  <c r="AW101" i="835"/>
  <c r="AN101" i="835"/>
  <c r="AO101" i="835" s="1"/>
  <c r="U101" i="835"/>
  <c r="V101" i="835" s="1"/>
  <c r="N101" i="835"/>
  <c r="AX100" i="835"/>
  <c r="AW100" i="835"/>
  <c r="AN100" i="835"/>
  <c r="AO100" i="835" s="1"/>
  <c r="V100" i="835"/>
  <c r="U100" i="835"/>
  <c r="N100" i="835"/>
  <c r="AX99" i="835"/>
  <c r="AW99" i="835"/>
  <c r="AN99" i="835"/>
  <c r="AO99" i="835" s="1"/>
  <c r="U99" i="835"/>
  <c r="V99" i="835" s="1"/>
  <c r="N99" i="835"/>
  <c r="AX98" i="835"/>
  <c r="AW98" i="835"/>
  <c r="AN98" i="835"/>
  <c r="AO98" i="835" s="1"/>
  <c r="U98" i="835"/>
  <c r="V98" i="835" s="1"/>
  <c r="N98" i="835"/>
  <c r="AX97" i="835"/>
  <c r="AW97" i="835"/>
  <c r="AN97" i="835"/>
  <c r="AO97" i="835" s="1"/>
  <c r="U97" i="835"/>
  <c r="V97" i="835" s="1"/>
  <c r="N97" i="835"/>
  <c r="AX96" i="835"/>
  <c r="AW96" i="835"/>
  <c r="AN96" i="835"/>
  <c r="AO96" i="835" s="1"/>
  <c r="AB96" i="835"/>
  <c r="AC96" i="835" s="1"/>
  <c r="AE96" i="835" s="1"/>
  <c r="U96" i="835"/>
  <c r="V96" i="835" s="1"/>
  <c r="N96" i="835"/>
  <c r="AX95" i="835"/>
  <c r="AW95" i="835"/>
  <c r="AO95" i="835"/>
  <c r="AN95" i="835"/>
  <c r="U95" i="835"/>
  <c r="V95" i="835" s="1"/>
  <c r="N95" i="835"/>
  <c r="AX94" i="835"/>
  <c r="AW94" i="835"/>
  <c r="AN94" i="835"/>
  <c r="AO94" i="835" s="1"/>
  <c r="V94" i="835"/>
  <c r="U94" i="835"/>
  <c r="N94" i="835"/>
  <c r="AX93" i="835"/>
  <c r="AW93" i="835"/>
  <c r="AN93" i="835"/>
  <c r="AO93" i="835" s="1"/>
  <c r="U93" i="835"/>
  <c r="V93" i="835" s="1"/>
  <c r="N93" i="835"/>
  <c r="AX92" i="835"/>
  <c r="AW92" i="835"/>
  <c r="AO92" i="835"/>
  <c r="AN92" i="835"/>
  <c r="U92" i="835"/>
  <c r="V92" i="835" s="1"/>
  <c r="N92" i="835"/>
  <c r="AX91" i="835"/>
  <c r="AW91" i="835"/>
  <c r="AN91" i="835"/>
  <c r="AO91" i="835" s="1"/>
  <c r="U91" i="835"/>
  <c r="V91" i="835" s="1"/>
  <c r="N91" i="835"/>
  <c r="AX90" i="835"/>
  <c r="AW90" i="835"/>
  <c r="AN90" i="835"/>
  <c r="AO90" i="835" s="1"/>
  <c r="U90" i="835"/>
  <c r="V90" i="835" s="1"/>
  <c r="N90" i="835"/>
  <c r="AX89" i="835"/>
  <c r="AW89" i="835"/>
  <c r="AO89" i="835"/>
  <c r="AN89" i="835"/>
  <c r="AB89" i="835"/>
  <c r="AC89" i="835" s="1"/>
  <c r="AE89" i="835" s="1"/>
  <c r="U89" i="835"/>
  <c r="V89" i="835" s="1"/>
  <c r="N89" i="835"/>
  <c r="AX88" i="835"/>
  <c r="AW88" i="835"/>
  <c r="AN88" i="835"/>
  <c r="AO88" i="835" s="1"/>
  <c r="U88" i="835"/>
  <c r="V88" i="835" s="1"/>
  <c r="N88" i="835"/>
  <c r="AX87" i="835"/>
  <c r="AW87" i="835"/>
  <c r="AO87" i="835"/>
  <c r="AN87" i="835"/>
  <c r="U87" i="835"/>
  <c r="V87" i="835" s="1"/>
  <c r="N87" i="835"/>
  <c r="AX86" i="835"/>
  <c r="AW86" i="835"/>
  <c r="AN86" i="835"/>
  <c r="AO86" i="835" s="1"/>
  <c r="U86" i="835"/>
  <c r="V86" i="835" s="1"/>
  <c r="N86" i="835"/>
  <c r="AX85" i="835"/>
  <c r="AW85" i="835"/>
  <c r="AN85" i="835"/>
  <c r="AO85" i="835" s="1"/>
  <c r="U85" i="835"/>
  <c r="V85" i="835" s="1"/>
  <c r="N85" i="835"/>
  <c r="AX84" i="835"/>
  <c r="AW84" i="835"/>
  <c r="AN84" i="835"/>
  <c r="AO84" i="835" s="1"/>
  <c r="V84" i="835"/>
  <c r="U84" i="835"/>
  <c r="N84" i="835"/>
  <c r="AX83" i="835"/>
  <c r="AW83" i="835"/>
  <c r="AN83" i="835"/>
  <c r="AO83" i="835" s="1"/>
  <c r="U83" i="835"/>
  <c r="V83" i="835" s="1"/>
  <c r="N83" i="835"/>
  <c r="AX82" i="835"/>
  <c r="AW82" i="835"/>
  <c r="AN82" i="835"/>
  <c r="AO82" i="835" s="1"/>
  <c r="U82" i="835"/>
  <c r="V82" i="835" s="1"/>
  <c r="N82" i="835"/>
  <c r="AX81" i="835"/>
  <c r="AW81" i="835"/>
  <c r="AN81" i="835"/>
  <c r="AO81" i="835" s="1"/>
  <c r="U81" i="835"/>
  <c r="V81" i="835" s="1"/>
  <c r="N81" i="835"/>
  <c r="AX80" i="835"/>
  <c r="AW80" i="835"/>
  <c r="AN80" i="835"/>
  <c r="AO80" i="835" s="1"/>
  <c r="U80" i="835"/>
  <c r="V80" i="835" s="1"/>
  <c r="N80" i="835"/>
  <c r="AX79" i="835"/>
  <c r="AW79" i="835"/>
  <c r="AO79" i="835"/>
  <c r="AN79" i="835"/>
  <c r="U79" i="835"/>
  <c r="V79" i="835" s="1"/>
  <c r="N79" i="835"/>
  <c r="AX78" i="835"/>
  <c r="AW78" i="835"/>
  <c r="AN78" i="835"/>
  <c r="AO78" i="835" s="1"/>
  <c r="U78" i="835"/>
  <c r="V78" i="835" s="1"/>
  <c r="N78" i="835"/>
  <c r="AX77" i="835"/>
  <c r="AW77" i="835"/>
  <c r="AO77" i="835"/>
  <c r="AN77" i="835"/>
  <c r="U77" i="835"/>
  <c r="V77" i="835" s="1"/>
  <c r="N77" i="835"/>
  <c r="AX76" i="835"/>
  <c r="AW76" i="835"/>
  <c r="AN76" i="835"/>
  <c r="AO76" i="835" s="1"/>
  <c r="U76" i="835"/>
  <c r="V76" i="835" s="1"/>
  <c r="N76" i="835"/>
  <c r="AX75" i="835"/>
  <c r="AW75" i="835"/>
  <c r="AN75" i="835"/>
  <c r="AO75" i="835" s="1"/>
  <c r="V75" i="835"/>
  <c r="U75" i="835"/>
  <c r="N75" i="835"/>
  <c r="AX74" i="835"/>
  <c r="AW74" i="835"/>
  <c r="AN74" i="835"/>
  <c r="AO74" i="835" s="1"/>
  <c r="V74" i="835"/>
  <c r="U74" i="835"/>
  <c r="N74" i="835"/>
  <c r="AX73" i="835"/>
  <c r="AW73" i="835"/>
  <c r="AN73" i="835"/>
  <c r="AO73" i="835" s="1"/>
  <c r="U73" i="835"/>
  <c r="V73" i="835" s="1"/>
  <c r="N73" i="835"/>
  <c r="AX72" i="835"/>
  <c r="AW72" i="835"/>
  <c r="AN72" i="835"/>
  <c r="AO72" i="835" s="1"/>
  <c r="U72" i="835"/>
  <c r="V72" i="835" s="1"/>
  <c r="N72" i="835"/>
  <c r="AX71" i="835"/>
  <c r="AW71" i="835"/>
  <c r="AN71" i="835"/>
  <c r="AO71" i="835" s="1"/>
  <c r="U71" i="835"/>
  <c r="V71" i="835" s="1"/>
  <c r="N71" i="835"/>
  <c r="AX70" i="835"/>
  <c r="AW70" i="835"/>
  <c r="AN70" i="835"/>
  <c r="AO70" i="835" s="1"/>
  <c r="U70" i="835"/>
  <c r="V70" i="835" s="1"/>
  <c r="N70" i="835"/>
  <c r="AX69" i="835"/>
  <c r="AW69" i="835"/>
  <c r="AO69" i="835"/>
  <c r="AN69" i="835"/>
  <c r="U69" i="835"/>
  <c r="V69" i="835" s="1"/>
  <c r="N69" i="835"/>
  <c r="AX68" i="835"/>
  <c r="AW68" i="835"/>
  <c r="AN68" i="835"/>
  <c r="AO68" i="835" s="1"/>
  <c r="U68" i="835"/>
  <c r="V68" i="835" s="1"/>
  <c r="N68" i="835"/>
  <c r="AX67" i="835"/>
  <c r="AW67" i="835"/>
  <c r="AN67" i="835"/>
  <c r="AO67" i="835" s="1"/>
  <c r="U67" i="835"/>
  <c r="V67" i="835" s="1"/>
  <c r="N67" i="835"/>
  <c r="AX66" i="835"/>
  <c r="AW66" i="835"/>
  <c r="AN66" i="835"/>
  <c r="AO66" i="835" s="1"/>
  <c r="U66" i="835"/>
  <c r="V66" i="835" s="1"/>
  <c r="N66" i="835"/>
  <c r="AX65" i="835"/>
  <c r="AW65" i="835"/>
  <c r="AN65" i="835"/>
  <c r="AO65" i="835" s="1"/>
  <c r="U65" i="835"/>
  <c r="V65" i="835" s="1"/>
  <c r="N65" i="835"/>
  <c r="AX64" i="835"/>
  <c r="AW64" i="835"/>
  <c r="AN64" i="835"/>
  <c r="AO64" i="835" s="1"/>
  <c r="V64" i="835"/>
  <c r="U64" i="835"/>
  <c r="N64" i="835"/>
  <c r="AX63" i="835"/>
  <c r="AW63" i="835"/>
  <c r="AN63" i="835"/>
  <c r="AO63" i="835" s="1"/>
  <c r="U63" i="835"/>
  <c r="V63" i="835" s="1"/>
  <c r="N63" i="835"/>
  <c r="AX62" i="835"/>
  <c r="AW62" i="835"/>
  <c r="AO62" i="835"/>
  <c r="AN62" i="835"/>
  <c r="U62" i="835"/>
  <c r="V62" i="835" s="1"/>
  <c r="N62" i="835"/>
  <c r="AX61" i="835"/>
  <c r="AW61" i="835"/>
  <c r="AN61" i="835"/>
  <c r="AO61" i="835" s="1"/>
  <c r="U61" i="835"/>
  <c r="V61" i="835" s="1"/>
  <c r="N61" i="835"/>
  <c r="AX60" i="835"/>
  <c r="AW60" i="835"/>
  <c r="AN60" i="835"/>
  <c r="AO60" i="835" s="1"/>
  <c r="U60" i="835"/>
  <c r="V60" i="835" s="1"/>
  <c r="N60" i="835"/>
  <c r="AX59" i="835"/>
  <c r="AW59" i="835"/>
  <c r="AO59" i="835"/>
  <c r="AN59" i="835"/>
  <c r="U59" i="835"/>
  <c r="V59" i="835" s="1"/>
  <c r="N59" i="835"/>
  <c r="AX58" i="835"/>
  <c r="AW58" i="835"/>
  <c r="AN58" i="835"/>
  <c r="AO58" i="835" s="1"/>
  <c r="U58" i="835"/>
  <c r="V58" i="835" s="1"/>
  <c r="N58" i="835"/>
  <c r="AX57" i="835"/>
  <c r="AW57" i="835"/>
  <c r="AN57" i="835"/>
  <c r="AO57" i="835" s="1"/>
  <c r="U57" i="835"/>
  <c r="V57" i="835" s="1"/>
  <c r="N57" i="835"/>
  <c r="AX56" i="835"/>
  <c r="AW56" i="835"/>
  <c r="AN56" i="835"/>
  <c r="AO56" i="835" s="1"/>
  <c r="U56" i="835"/>
  <c r="V56" i="835" s="1"/>
  <c r="N56" i="835"/>
  <c r="AX55" i="835"/>
  <c r="AW55" i="835"/>
  <c r="AN55" i="835"/>
  <c r="AO55" i="835" s="1"/>
  <c r="U55" i="835"/>
  <c r="V55" i="835" s="1"/>
  <c r="N55" i="835"/>
  <c r="AX54" i="835"/>
  <c r="AW54" i="835"/>
  <c r="AN54" i="835"/>
  <c r="AO54" i="835" s="1"/>
  <c r="V54" i="835"/>
  <c r="U54" i="835"/>
  <c r="N54" i="835"/>
  <c r="AX53" i="835"/>
  <c r="AW53" i="835"/>
  <c r="AN53" i="835"/>
  <c r="AO53" i="835" s="1"/>
  <c r="U53" i="835"/>
  <c r="V53" i="835" s="1"/>
  <c r="N53" i="835"/>
  <c r="AX52" i="835"/>
  <c r="AW52" i="835"/>
  <c r="AN52" i="835"/>
  <c r="AO52" i="835" s="1"/>
  <c r="V52" i="835"/>
  <c r="U52" i="835"/>
  <c r="N52" i="835"/>
  <c r="AX51" i="835"/>
  <c r="AW51" i="835"/>
  <c r="AN51" i="835"/>
  <c r="AO51" i="835" s="1"/>
  <c r="U51" i="835"/>
  <c r="V51" i="835" s="1"/>
  <c r="N51" i="835"/>
  <c r="AX50" i="835"/>
  <c r="AW50" i="835"/>
  <c r="AN50" i="835"/>
  <c r="AO50" i="835" s="1"/>
  <c r="U50" i="835"/>
  <c r="V50" i="835" s="1"/>
  <c r="N50" i="835"/>
  <c r="AX49" i="835"/>
  <c r="AW49" i="835"/>
  <c r="AO49" i="835"/>
  <c r="AN49" i="835"/>
  <c r="U49" i="835"/>
  <c r="V49" i="835" s="1"/>
  <c r="N49" i="835"/>
  <c r="AX48" i="835"/>
  <c r="AW48" i="835"/>
  <c r="AN48" i="835"/>
  <c r="AO48" i="835" s="1"/>
  <c r="U48" i="835"/>
  <c r="V48" i="835" s="1"/>
  <c r="N48" i="835"/>
  <c r="AX47" i="835"/>
  <c r="AW47" i="835"/>
  <c r="AN47" i="835"/>
  <c r="AO47" i="835" s="1"/>
  <c r="V47" i="835"/>
  <c r="U47" i="835"/>
  <c r="N47" i="835"/>
  <c r="AX46" i="835"/>
  <c r="AW46" i="835"/>
  <c r="AN46" i="835"/>
  <c r="AO46" i="835" s="1"/>
  <c r="V46" i="835"/>
  <c r="U46" i="835"/>
  <c r="N46" i="835"/>
  <c r="AX45" i="835"/>
  <c r="AW45" i="835"/>
  <c r="AN45" i="835"/>
  <c r="AO45" i="835" s="1"/>
  <c r="U45" i="835"/>
  <c r="V45" i="835" s="1"/>
  <c r="N45" i="835"/>
  <c r="AX44" i="835"/>
  <c r="AW44" i="835"/>
  <c r="AN44" i="835"/>
  <c r="AO44" i="835" s="1"/>
  <c r="V44" i="835"/>
  <c r="U44" i="835"/>
  <c r="N44" i="835"/>
  <c r="AX43" i="835"/>
  <c r="AW43" i="835"/>
  <c r="AO43" i="835"/>
  <c r="AN43" i="835"/>
  <c r="U43" i="835"/>
  <c r="V43" i="835" s="1"/>
  <c r="N43" i="835"/>
  <c r="AX42" i="835"/>
  <c r="AW42" i="835"/>
  <c r="AN42" i="835"/>
  <c r="AO42" i="835" s="1"/>
  <c r="V42" i="835"/>
  <c r="U42" i="835"/>
  <c r="N42" i="835"/>
  <c r="AX41" i="835"/>
  <c r="AW41" i="835"/>
  <c r="AN41" i="835"/>
  <c r="AO41" i="835" s="1"/>
  <c r="U41" i="835"/>
  <c r="V41" i="835" s="1"/>
  <c r="N41" i="835"/>
  <c r="AX40" i="835"/>
  <c r="AW40" i="835"/>
  <c r="AN40" i="835"/>
  <c r="AO40" i="835" s="1"/>
  <c r="U40" i="835"/>
  <c r="V40" i="835" s="1"/>
  <c r="N40" i="835"/>
  <c r="AX39" i="835"/>
  <c r="AW39" i="835"/>
  <c r="AO39" i="835"/>
  <c r="AN39" i="835"/>
  <c r="U39" i="835"/>
  <c r="V39" i="835" s="1"/>
  <c r="N39" i="835"/>
  <c r="AX38" i="835"/>
  <c r="AW38" i="835"/>
  <c r="AN38" i="835"/>
  <c r="AO38" i="835" s="1"/>
  <c r="U38" i="835"/>
  <c r="V38" i="835" s="1"/>
  <c r="N38" i="835"/>
  <c r="AX37" i="835"/>
  <c r="AW37" i="835"/>
  <c r="AO37" i="835"/>
  <c r="AN37" i="835"/>
  <c r="U37" i="835"/>
  <c r="V37" i="835" s="1"/>
  <c r="N37" i="835"/>
  <c r="N36" i="835"/>
  <c r="AX35" i="835"/>
  <c r="AW35" i="835"/>
  <c r="AN35" i="835"/>
  <c r="AO35" i="835" s="1"/>
  <c r="V35" i="835"/>
  <c r="U35" i="835"/>
  <c r="N35" i="835"/>
  <c r="N34" i="835"/>
  <c r="AX33" i="835"/>
  <c r="AW33" i="835"/>
  <c r="AN33" i="835"/>
  <c r="AO33" i="835" s="1"/>
  <c r="U33" i="835"/>
  <c r="V33" i="835" s="1"/>
  <c r="N33" i="835"/>
  <c r="N32" i="835"/>
  <c r="AX31" i="835"/>
  <c r="AW31" i="835"/>
  <c r="AN31" i="835"/>
  <c r="AO31" i="835" s="1"/>
  <c r="U31" i="835"/>
  <c r="V31" i="835" s="1"/>
  <c r="N31" i="835"/>
  <c r="N30" i="835"/>
  <c r="AX29" i="835"/>
  <c r="AW29" i="835"/>
  <c r="AN29" i="835"/>
  <c r="AO29" i="835" s="1"/>
  <c r="U29" i="835"/>
  <c r="V29" i="835" s="1"/>
  <c r="N29" i="835"/>
  <c r="N28" i="835"/>
  <c r="AX27" i="835"/>
  <c r="AW27" i="835"/>
  <c r="AN27" i="835"/>
  <c r="AO27" i="835" s="1"/>
  <c r="U27" i="835"/>
  <c r="V27" i="835" s="1"/>
  <c r="N27" i="835"/>
  <c r="N26" i="835"/>
  <c r="AX25" i="835"/>
  <c r="AW25" i="835"/>
  <c r="AO25" i="835"/>
  <c r="AN25" i="835"/>
  <c r="AF25" i="835"/>
  <c r="V25" i="835"/>
  <c r="U25" i="835"/>
  <c r="N25" i="835"/>
  <c r="N24" i="835"/>
  <c r="AX23" i="835"/>
  <c r="AW23" i="835"/>
  <c r="AN23" i="835"/>
  <c r="AO23" i="835" s="1"/>
  <c r="U23" i="835"/>
  <c r="V23" i="835" s="1"/>
  <c r="N23" i="835"/>
  <c r="N22" i="835"/>
  <c r="AX21" i="835"/>
  <c r="AW21" i="835"/>
  <c r="AN21" i="835"/>
  <c r="AO21" i="835" s="1"/>
  <c r="U21" i="835"/>
  <c r="V21" i="835" s="1"/>
  <c r="N21" i="835"/>
  <c r="N20" i="835"/>
  <c r="AX19" i="835"/>
  <c r="AW19" i="835"/>
  <c r="AN19" i="835"/>
  <c r="AO19" i="835" s="1"/>
  <c r="U19" i="835"/>
  <c r="V19" i="835" s="1"/>
  <c r="N19" i="835"/>
  <c r="N18" i="835"/>
  <c r="AX17" i="835"/>
  <c r="AW17" i="835"/>
  <c r="AO17" i="835"/>
  <c r="AN17" i="835"/>
  <c r="AF17" i="835"/>
  <c r="U17" i="835"/>
  <c r="V17" i="835" s="1"/>
  <c r="N17" i="835"/>
  <c r="N16" i="835"/>
  <c r="AX15" i="835"/>
  <c r="AW15" i="835"/>
  <c r="AN15" i="835"/>
  <c r="AO15" i="835" s="1"/>
  <c r="U15" i="835"/>
  <c r="V15" i="835" s="1"/>
  <c r="N15" i="835"/>
  <c r="N14" i="835"/>
  <c r="AX13" i="835"/>
  <c r="AW13" i="835"/>
  <c r="AO13" i="835"/>
  <c r="AN13" i="835"/>
  <c r="AF13" i="835"/>
  <c r="U13" i="835"/>
  <c r="V13" i="835" s="1"/>
  <c r="N13" i="835"/>
  <c r="N12" i="835"/>
  <c r="AX11" i="835"/>
  <c r="AW11" i="835"/>
  <c r="AN11" i="835"/>
  <c r="AO11" i="835" s="1"/>
  <c r="U11" i="835"/>
  <c r="V11" i="835" s="1"/>
  <c r="N11" i="835"/>
  <c r="N10" i="835"/>
  <c r="AX9" i="835"/>
  <c r="AW9" i="835"/>
  <c r="AN9" i="835"/>
  <c r="AO9" i="835" s="1"/>
  <c r="AF9" i="835"/>
  <c r="U9" i="835"/>
  <c r="V9" i="835" s="1"/>
  <c r="N9" i="835"/>
  <c r="N8" i="835"/>
  <c r="AX7" i="835"/>
  <c r="AW7" i="835"/>
  <c r="AN7" i="835"/>
  <c r="AO7" i="835" s="1"/>
  <c r="U7" i="835"/>
  <c r="V7" i="835" s="1"/>
  <c r="N7" i="835"/>
  <c r="N6" i="835"/>
  <c r="AX5" i="835"/>
  <c r="AW5" i="835"/>
  <c r="AN5" i="835"/>
  <c r="AO5" i="835" s="1"/>
  <c r="U5" i="835"/>
  <c r="V5" i="835" s="1"/>
  <c r="N5" i="835"/>
  <c r="AA2" i="835"/>
  <c r="AD2" i="835" s="1"/>
  <c r="I2" i="835"/>
  <c r="AB7" i="835" s="1"/>
  <c r="AC7" i="835" s="1"/>
  <c r="AE7" i="835" s="1"/>
  <c r="AI1" i="835"/>
  <c r="AS2" i="835" s="1"/>
  <c r="AB11" i="835" l="1"/>
  <c r="AC11" i="835" s="1"/>
  <c r="AE11" i="835" s="1"/>
  <c r="AJ11" i="835" s="1"/>
  <c r="AB72" i="835"/>
  <c r="AC72" i="835" s="1"/>
  <c r="AE72" i="835" s="1"/>
  <c r="AB46" i="835"/>
  <c r="AC46" i="835" s="1"/>
  <c r="AE46" i="835" s="1"/>
  <c r="AH46" i="835" s="1"/>
  <c r="AH89" i="835"/>
  <c r="AL89" i="835" s="1"/>
  <c r="AH11" i="835"/>
  <c r="AJ69" i="835"/>
  <c r="AJ98" i="835"/>
  <c r="AH98" i="835"/>
  <c r="AJ50" i="835"/>
  <c r="AJ44" i="835"/>
  <c r="AJ103" i="835"/>
  <c r="AJ96" i="835"/>
  <c r="AH96" i="835"/>
  <c r="AJ7" i="835"/>
  <c r="AH7" i="835"/>
  <c r="AJ89" i="835"/>
  <c r="AK89" i="835"/>
  <c r="AH87" i="835"/>
  <c r="AJ49" i="835"/>
  <c r="AH49" i="835"/>
  <c r="AJ78" i="835"/>
  <c r="AJ129" i="835"/>
  <c r="AH129" i="835"/>
  <c r="AJ41" i="835"/>
  <c r="AB131" i="835"/>
  <c r="AC131" i="835" s="1"/>
  <c r="AE131" i="835" s="1"/>
  <c r="AJ131" i="835" s="1"/>
  <c r="AB121" i="835"/>
  <c r="AC121" i="835" s="1"/>
  <c r="AE121" i="835" s="1"/>
  <c r="AJ121" i="835" s="1"/>
  <c r="AB111" i="835"/>
  <c r="AC111" i="835" s="1"/>
  <c r="AE111" i="835" s="1"/>
  <c r="AH111" i="835" s="1"/>
  <c r="AB101" i="835"/>
  <c r="AC101" i="835" s="1"/>
  <c r="AE101" i="835" s="1"/>
  <c r="AB91" i="835"/>
  <c r="AC91" i="835" s="1"/>
  <c r="AE91" i="835" s="1"/>
  <c r="AJ91" i="835" s="1"/>
  <c r="AB81" i="835"/>
  <c r="AC81" i="835" s="1"/>
  <c r="AE81" i="835" s="1"/>
  <c r="AB71" i="835"/>
  <c r="AC71" i="835" s="1"/>
  <c r="AE71" i="835" s="1"/>
  <c r="AB61" i="835"/>
  <c r="AC61" i="835" s="1"/>
  <c r="AE61" i="835" s="1"/>
  <c r="AB51" i="835"/>
  <c r="AC51" i="835" s="1"/>
  <c r="AE51" i="835" s="1"/>
  <c r="AB41" i="835"/>
  <c r="AC41" i="835" s="1"/>
  <c r="AE41" i="835" s="1"/>
  <c r="AH41" i="835" s="1"/>
  <c r="AB5" i="835"/>
  <c r="AC5" i="835" s="1"/>
  <c r="AE5" i="835" s="1"/>
  <c r="AH5" i="835" s="1"/>
  <c r="AB128" i="835"/>
  <c r="AC128" i="835" s="1"/>
  <c r="AE128" i="835" s="1"/>
  <c r="AH128" i="835" s="1"/>
  <c r="AB118" i="835"/>
  <c r="AC118" i="835" s="1"/>
  <c r="AE118" i="835" s="1"/>
  <c r="AJ118" i="835" s="1"/>
  <c r="AB98" i="835"/>
  <c r="AC98" i="835" s="1"/>
  <c r="AE98" i="835" s="1"/>
  <c r="AB88" i="835"/>
  <c r="AC88" i="835" s="1"/>
  <c r="AE88" i="835" s="1"/>
  <c r="AJ88" i="835" s="1"/>
  <c r="AB78" i="835"/>
  <c r="AC78" i="835" s="1"/>
  <c r="AE78" i="835" s="1"/>
  <c r="AH78" i="835" s="1"/>
  <c r="AB68" i="835"/>
  <c r="AC68" i="835" s="1"/>
  <c r="AE68" i="835" s="1"/>
  <c r="AJ68" i="835" s="1"/>
  <c r="AB48" i="835"/>
  <c r="AC48" i="835" s="1"/>
  <c r="AE48" i="835" s="1"/>
  <c r="AJ48" i="835" s="1"/>
  <c r="AB38" i="835"/>
  <c r="AC38" i="835" s="1"/>
  <c r="AE38" i="835" s="1"/>
  <c r="AH38" i="835" s="1"/>
  <c r="AB31" i="835"/>
  <c r="AC31" i="835" s="1"/>
  <c r="AE31" i="835" s="1"/>
  <c r="AJ31" i="835" s="1"/>
  <c r="AB108" i="835"/>
  <c r="AC108" i="835" s="1"/>
  <c r="AE108" i="835" s="1"/>
  <c r="AH108" i="835" s="1"/>
  <c r="AB58" i="835"/>
  <c r="AC58" i="835" s="1"/>
  <c r="AE58" i="835" s="1"/>
  <c r="AJ58" i="835" s="1"/>
  <c r="AB23" i="835"/>
  <c r="AC23" i="835" s="1"/>
  <c r="AE23" i="835" s="1"/>
  <c r="AJ23" i="835" s="1"/>
  <c r="AB124" i="835"/>
  <c r="AC124" i="835" s="1"/>
  <c r="AE124" i="835" s="1"/>
  <c r="AB113" i="835"/>
  <c r="AC113" i="835" s="1"/>
  <c r="AE113" i="835" s="1"/>
  <c r="AB97" i="835"/>
  <c r="AC97" i="835" s="1"/>
  <c r="AE97" i="835" s="1"/>
  <c r="AB86" i="835"/>
  <c r="AC86" i="835" s="1"/>
  <c r="AE86" i="835" s="1"/>
  <c r="AH86" i="835" s="1"/>
  <c r="AB53" i="835"/>
  <c r="AC53" i="835" s="1"/>
  <c r="AE53" i="835" s="1"/>
  <c r="AB17" i="835"/>
  <c r="AC17" i="835" s="1"/>
  <c r="AE17" i="835" s="1"/>
  <c r="AJ17" i="835" s="1"/>
  <c r="AB127" i="835"/>
  <c r="AC127" i="835" s="1"/>
  <c r="AE127" i="835" s="1"/>
  <c r="AB116" i="835"/>
  <c r="AC116" i="835" s="1"/>
  <c r="AE116" i="835" s="1"/>
  <c r="AB67" i="835"/>
  <c r="AC67" i="835" s="1"/>
  <c r="AE67" i="835" s="1"/>
  <c r="AJ67" i="835" s="1"/>
  <c r="AB56" i="835"/>
  <c r="AC56" i="835" s="1"/>
  <c r="AE56" i="835" s="1"/>
  <c r="AJ56" i="835" s="1"/>
  <c r="AB120" i="835"/>
  <c r="AC120" i="835" s="1"/>
  <c r="AE120" i="835" s="1"/>
  <c r="AH120" i="835" s="1"/>
  <c r="AB62" i="835"/>
  <c r="AC62" i="835" s="1"/>
  <c r="AE62" i="835" s="1"/>
  <c r="AJ62" i="835" s="1"/>
  <c r="AB15" i="835"/>
  <c r="AC15" i="835" s="1"/>
  <c r="AE15" i="835" s="1"/>
  <c r="AJ15" i="835" s="1"/>
  <c r="AB85" i="835"/>
  <c r="AC85" i="835" s="1"/>
  <c r="AE85" i="835" s="1"/>
  <c r="AJ85" i="835" s="1"/>
  <c r="AB80" i="835"/>
  <c r="AC80" i="835" s="1"/>
  <c r="AE80" i="835" s="1"/>
  <c r="AJ80" i="835" s="1"/>
  <c r="AB133" i="835"/>
  <c r="AC133" i="835" s="1"/>
  <c r="AE133" i="835" s="1"/>
  <c r="AJ133" i="835" s="1"/>
  <c r="AB95" i="835"/>
  <c r="AC95" i="835" s="1"/>
  <c r="AE95" i="835" s="1"/>
  <c r="AJ95" i="835" s="1"/>
  <c r="AB107" i="835"/>
  <c r="AC107" i="835" s="1"/>
  <c r="AE107" i="835" s="1"/>
  <c r="AJ107" i="835" s="1"/>
  <c r="AB102" i="835"/>
  <c r="AC102" i="835" s="1"/>
  <c r="AE102" i="835" s="1"/>
  <c r="AH102" i="835" s="1"/>
  <c r="AB60" i="835"/>
  <c r="AC60" i="835" s="1"/>
  <c r="AE60" i="835" s="1"/>
  <c r="AH60" i="835" s="1"/>
  <c r="AB33" i="835"/>
  <c r="AC33" i="835" s="1"/>
  <c r="AE33" i="835" s="1"/>
  <c r="AJ33" i="835" s="1"/>
  <c r="AB27" i="835"/>
  <c r="AC27" i="835" s="1"/>
  <c r="AE27" i="835" s="1"/>
  <c r="AJ27" i="835" s="1"/>
  <c r="AB114" i="835"/>
  <c r="AC114" i="835" s="1"/>
  <c r="AE114" i="835" s="1"/>
  <c r="AB90" i="835"/>
  <c r="AC90" i="835" s="1"/>
  <c r="AE90" i="835" s="1"/>
  <c r="AB73" i="835"/>
  <c r="AC73" i="835" s="1"/>
  <c r="AE73" i="835" s="1"/>
  <c r="AH73" i="835" s="1"/>
  <c r="AB99" i="835"/>
  <c r="AC99" i="835" s="1"/>
  <c r="AE99" i="835" s="1"/>
  <c r="AH99" i="835" s="1"/>
  <c r="AB87" i="835"/>
  <c r="AC87" i="835" s="1"/>
  <c r="AE87" i="835" s="1"/>
  <c r="AJ87" i="835" s="1"/>
  <c r="AB57" i="835"/>
  <c r="AC57" i="835" s="1"/>
  <c r="AE57" i="835" s="1"/>
  <c r="AH57" i="835" s="1"/>
  <c r="AB92" i="835"/>
  <c r="AC92" i="835" s="1"/>
  <c r="AE92" i="835" s="1"/>
  <c r="AH92" i="835" s="1"/>
  <c r="AB75" i="835"/>
  <c r="AC75" i="835" s="1"/>
  <c r="AE75" i="835" s="1"/>
  <c r="AH75" i="835" s="1"/>
  <c r="AB65" i="835"/>
  <c r="AC65" i="835" s="1"/>
  <c r="AE65" i="835" s="1"/>
  <c r="AJ65" i="835" s="1"/>
  <c r="AB50" i="835"/>
  <c r="AC50" i="835" s="1"/>
  <c r="AE50" i="835" s="1"/>
  <c r="AH50" i="835" s="1"/>
  <c r="AB45" i="835"/>
  <c r="AC45" i="835" s="1"/>
  <c r="AE45" i="835" s="1"/>
  <c r="AJ45" i="835" s="1"/>
  <c r="AB104" i="835"/>
  <c r="AC104" i="835" s="1"/>
  <c r="AE104" i="835" s="1"/>
  <c r="AJ104" i="835" s="1"/>
  <c r="AB70" i="835"/>
  <c r="AC70" i="835" s="1"/>
  <c r="AE70" i="835" s="1"/>
  <c r="AH70" i="835" s="1"/>
  <c r="AB55" i="835"/>
  <c r="AC55" i="835" s="1"/>
  <c r="AE55" i="835" s="1"/>
  <c r="AJ55" i="835" s="1"/>
  <c r="AB40" i="835"/>
  <c r="AC40" i="835" s="1"/>
  <c r="AE40" i="835" s="1"/>
  <c r="AJ40" i="835" s="1"/>
  <c r="AB123" i="835"/>
  <c r="AC123" i="835" s="1"/>
  <c r="AE123" i="835" s="1"/>
  <c r="AH123" i="835" s="1"/>
  <c r="AB109" i="835"/>
  <c r="AC109" i="835" s="1"/>
  <c r="AE109" i="835" s="1"/>
  <c r="AJ109" i="835" s="1"/>
  <c r="AB9" i="835"/>
  <c r="AC9" i="835" s="1"/>
  <c r="AE9" i="835" s="1"/>
  <c r="AJ9" i="835" s="1"/>
  <c r="AB21" i="835"/>
  <c r="AC21" i="835" s="1"/>
  <c r="AE21" i="835" s="1"/>
  <c r="AJ21" i="835" s="1"/>
  <c r="AB126" i="835"/>
  <c r="AC126" i="835" s="1"/>
  <c r="AE126" i="835" s="1"/>
  <c r="AJ126" i="835" s="1"/>
  <c r="AB125" i="835"/>
  <c r="AC125" i="835" s="1"/>
  <c r="AE125" i="835" s="1"/>
  <c r="AB82" i="835"/>
  <c r="AC82" i="835" s="1"/>
  <c r="AE82" i="835" s="1"/>
  <c r="AH82" i="835" s="1"/>
  <c r="AB63" i="835"/>
  <c r="AC63" i="835" s="1"/>
  <c r="AE63" i="835" s="1"/>
  <c r="AJ63" i="835" s="1"/>
  <c r="AB84" i="835"/>
  <c r="AC84" i="835" s="1"/>
  <c r="AE84" i="835" s="1"/>
  <c r="AH84" i="835" s="1"/>
  <c r="AB69" i="835"/>
  <c r="AC69" i="835" s="1"/>
  <c r="AE69" i="835" s="1"/>
  <c r="AB134" i="835"/>
  <c r="AC134" i="835" s="1"/>
  <c r="AE134" i="835" s="1"/>
  <c r="AJ134" i="835" s="1"/>
  <c r="AB37" i="835"/>
  <c r="AC37" i="835" s="1"/>
  <c r="AE37" i="835" s="1"/>
  <c r="AH37" i="835" s="1"/>
  <c r="AB43" i="835"/>
  <c r="AC43" i="835" s="1"/>
  <c r="AE43" i="835" s="1"/>
  <c r="AH43" i="835" s="1"/>
  <c r="AB93" i="835"/>
  <c r="AC93" i="835" s="1"/>
  <c r="AE93" i="835" s="1"/>
  <c r="AH93" i="835" s="1"/>
  <c r="AB77" i="835"/>
  <c r="AC77" i="835" s="1"/>
  <c r="AE77" i="835" s="1"/>
  <c r="AJ77" i="835" s="1"/>
  <c r="AB39" i="835"/>
  <c r="AC39" i="835" s="1"/>
  <c r="AE39" i="835" s="1"/>
  <c r="AJ39" i="835" s="1"/>
  <c r="AB13" i="835"/>
  <c r="AC13" i="835" s="1"/>
  <c r="AE13" i="835" s="1"/>
  <c r="AH13" i="835" s="1"/>
  <c r="AB66" i="835"/>
  <c r="AC66" i="835" s="1"/>
  <c r="AE66" i="835" s="1"/>
  <c r="AB132" i="835"/>
  <c r="AC132" i="835" s="1"/>
  <c r="AE132" i="835" s="1"/>
  <c r="AH132" i="835" s="1"/>
  <c r="AB54" i="835"/>
  <c r="AC54" i="835" s="1"/>
  <c r="AE54" i="835" s="1"/>
  <c r="AB136" i="835"/>
  <c r="AC136" i="835" s="1"/>
  <c r="AE136" i="835" s="1"/>
  <c r="AJ136" i="835" s="1"/>
  <c r="AB106" i="835"/>
  <c r="AC106" i="835" s="1"/>
  <c r="AE106" i="835" s="1"/>
  <c r="AH106" i="835" s="1"/>
  <c r="AB25" i="835"/>
  <c r="AC25" i="835" s="1"/>
  <c r="AE25" i="835" s="1"/>
  <c r="AJ25" i="835" s="1"/>
  <c r="AB29" i="835"/>
  <c r="AC29" i="835" s="1"/>
  <c r="AE29" i="835" s="1"/>
  <c r="AJ29" i="835" s="1"/>
  <c r="AB122" i="835"/>
  <c r="AC122" i="835" s="1"/>
  <c r="AE122" i="835" s="1"/>
  <c r="AJ122" i="835" s="1"/>
  <c r="AB129" i="835"/>
  <c r="AC129" i="835" s="1"/>
  <c r="AE129" i="835" s="1"/>
  <c r="AB115" i="835"/>
  <c r="AC115" i="835" s="1"/>
  <c r="AE115" i="835" s="1"/>
  <c r="AB79" i="835"/>
  <c r="AC79" i="835" s="1"/>
  <c r="AE79" i="835" s="1"/>
  <c r="AB47" i="835"/>
  <c r="AC47" i="835" s="1"/>
  <c r="AE47" i="835" s="1"/>
  <c r="AB49" i="835"/>
  <c r="AC49" i="835" s="1"/>
  <c r="AE49" i="835" s="1"/>
  <c r="AB83" i="835"/>
  <c r="AC83" i="835" s="1"/>
  <c r="AE83" i="835" s="1"/>
  <c r="AB105" i="835"/>
  <c r="AC105" i="835" s="1"/>
  <c r="AE105" i="835" s="1"/>
  <c r="AB64" i="835"/>
  <c r="AC64" i="835" s="1"/>
  <c r="AE64" i="835" s="1"/>
  <c r="AB119" i="835"/>
  <c r="AC119" i="835" s="1"/>
  <c r="AE119" i="835" s="1"/>
  <c r="AH119" i="835" s="1"/>
  <c r="AB117" i="835"/>
  <c r="AC117" i="835" s="1"/>
  <c r="AE117" i="835" s="1"/>
  <c r="AJ117" i="835" s="1"/>
  <c r="AB110" i="835"/>
  <c r="AC110" i="835" s="1"/>
  <c r="AE110" i="835" s="1"/>
  <c r="AJ110" i="835" s="1"/>
  <c r="AB135" i="835"/>
  <c r="AC135" i="835" s="1"/>
  <c r="AE135" i="835" s="1"/>
  <c r="AJ135" i="835" s="1"/>
  <c r="AB112" i="835"/>
  <c r="AC112" i="835" s="1"/>
  <c r="AE112" i="835" s="1"/>
  <c r="AJ112" i="835" s="1"/>
  <c r="AB103" i="835"/>
  <c r="AC103" i="835" s="1"/>
  <c r="AE103" i="835" s="1"/>
  <c r="AH103" i="835" s="1"/>
  <c r="AH67" i="835"/>
  <c r="AB94" i="835"/>
  <c r="AC94" i="835" s="1"/>
  <c r="AE94" i="835" s="1"/>
  <c r="AB19" i="835"/>
  <c r="AC19" i="835" s="1"/>
  <c r="AE19" i="835" s="1"/>
  <c r="AJ19" i="835" s="1"/>
  <c r="AB76" i="835"/>
  <c r="AC76" i="835" s="1"/>
  <c r="AE76" i="835" s="1"/>
  <c r="AH76" i="835" s="1"/>
  <c r="AB100" i="835"/>
  <c r="AC100" i="835" s="1"/>
  <c r="AE100" i="835" s="1"/>
  <c r="AJ100" i="835" s="1"/>
  <c r="AB42" i="835"/>
  <c r="AC42" i="835" s="1"/>
  <c r="AE42" i="835" s="1"/>
  <c r="AH42" i="835" s="1"/>
  <c r="AB59" i="835"/>
  <c r="AC59" i="835" s="1"/>
  <c r="AE59" i="835" s="1"/>
  <c r="AH59" i="835" s="1"/>
  <c r="AJ127" i="835"/>
  <c r="AH127" i="835"/>
  <c r="AJ114" i="835"/>
  <c r="AJ72" i="835"/>
  <c r="AH72" i="835"/>
  <c r="AJ93" i="835"/>
  <c r="AJ125" i="835"/>
  <c r="AH125" i="835"/>
  <c r="AH69" i="835"/>
  <c r="AJ115" i="835"/>
  <c r="AH115" i="835"/>
  <c r="AJ13" i="835"/>
  <c r="AJ66" i="835"/>
  <c r="AH66" i="835"/>
  <c r="AB52" i="835"/>
  <c r="AC52" i="835" s="1"/>
  <c r="AE52" i="835" s="1"/>
  <c r="AH52" i="835" s="1"/>
  <c r="AJ116" i="835"/>
  <c r="AH116" i="835"/>
  <c r="AB44" i="835"/>
  <c r="AC44" i="835" s="1"/>
  <c r="AE44" i="835" s="1"/>
  <c r="AH44" i="835" s="1"/>
  <c r="AJ120" i="835"/>
  <c r="AB35" i="835"/>
  <c r="AC35" i="835" s="1"/>
  <c r="AE35" i="835" s="1"/>
  <c r="AH35" i="835" s="1"/>
  <c r="AJ79" i="835"/>
  <c r="AH79" i="835"/>
  <c r="AB130" i="835"/>
  <c r="AC130" i="835" s="1"/>
  <c r="AE130" i="835" s="1"/>
  <c r="AJ130" i="835" s="1"/>
  <c r="AH39" i="835"/>
  <c r="AH110" i="835"/>
  <c r="AB74" i="835"/>
  <c r="AC74" i="835" s="1"/>
  <c r="AE74" i="835" s="1"/>
  <c r="AJ47" i="835"/>
  <c r="AJ71" i="835"/>
  <c r="AJ92" i="835"/>
  <c r="AH83" i="835"/>
  <c r="AJ83" i="835"/>
  <c r="AJ90" i="835"/>
  <c r="AH90" i="835"/>
  <c r="AJ51" i="835"/>
  <c r="AH51" i="835"/>
  <c r="AJ81" i="835"/>
  <c r="AH81" i="835"/>
  <c r="AJ108" i="835"/>
  <c r="AJ97" i="835"/>
  <c r="AJ84" i="835"/>
  <c r="AJ86" i="835"/>
  <c r="AH71" i="835"/>
  <c r="AJ82" i="835"/>
  <c r="AH134" i="835"/>
  <c r="AJ53" i="835"/>
  <c r="AH53" i="835"/>
  <c r="AH47" i="835"/>
  <c r="AH77" i="835"/>
  <c r="AJ132" i="835"/>
  <c r="AH114" i="835"/>
  <c r="AH97" i="835"/>
  <c r="AH45" i="835"/>
  <c r="AJ75" i="835"/>
  <c r="AJ42" i="835"/>
  <c r="AJ105" i="835"/>
  <c r="AH105" i="835"/>
  <c r="AF13" i="834"/>
  <c r="AH17" i="835" l="1"/>
  <c r="AL17" i="835" s="1"/>
  <c r="AH15" i="835"/>
  <c r="AJ5" i="835"/>
  <c r="AJ35" i="835"/>
  <c r="AL46" i="835"/>
  <c r="AK46" i="835"/>
  <c r="AJ57" i="835"/>
  <c r="AH48" i="835"/>
  <c r="AJ106" i="835"/>
  <c r="AH65" i="835"/>
  <c r="AH118" i="835"/>
  <c r="AL118" i="835" s="1"/>
  <c r="AJ128" i="835"/>
  <c r="AH135" i="835"/>
  <c r="AL135" i="835" s="1"/>
  <c r="AH121" i="835"/>
  <c r="AK121" i="835" s="1"/>
  <c r="AJ73" i="835"/>
  <c r="AH107" i="835"/>
  <c r="AH104" i="835"/>
  <c r="AK104" i="835" s="1"/>
  <c r="AJ46" i="835"/>
  <c r="AJ37" i="835"/>
  <c r="AH56" i="835"/>
  <c r="AL56" i="835" s="1"/>
  <c r="AH63" i="835"/>
  <c r="AK63" i="835" s="1"/>
  <c r="AK84" i="835"/>
  <c r="AL84" i="835"/>
  <c r="AL59" i="835"/>
  <c r="AK59" i="835"/>
  <c r="AL76" i="835"/>
  <c r="AK76" i="835"/>
  <c r="AL60" i="835"/>
  <c r="AK60" i="835"/>
  <c r="AK108" i="835"/>
  <c r="AL108" i="835"/>
  <c r="AK70" i="835"/>
  <c r="AL70" i="835"/>
  <c r="AL103" i="835"/>
  <c r="AK103" i="835"/>
  <c r="AL38" i="835"/>
  <c r="AK38" i="835"/>
  <c r="AL78" i="835"/>
  <c r="AK78" i="835"/>
  <c r="AL35" i="835"/>
  <c r="AK35" i="835"/>
  <c r="AL50" i="835"/>
  <c r="AK50" i="835"/>
  <c r="AL93" i="835"/>
  <c r="AK93" i="835"/>
  <c r="AL43" i="835"/>
  <c r="AK43" i="835"/>
  <c r="AL57" i="835"/>
  <c r="AK57" i="835"/>
  <c r="AL99" i="835"/>
  <c r="AK99" i="835"/>
  <c r="AL102" i="835"/>
  <c r="AK102" i="835"/>
  <c r="AL123" i="835"/>
  <c r="AK123" i="835"/>
  <c r="AL13" i="835"/>
  <c r="AK13" i="835"/>
  <c r="AL119" i="835"/>
  <c r="AK119" i="835"/>
  <c r="AL44" i="835"/>
  <c r="AK44" i="835"/>
  <c r="AL37" i="835"/>
  <c r="AK37" i="835"/>
  <c r="AL41" i="835"/>
  <c r="AK41" i="835"/>
  <c r="AL106" i="835"/>
  <c r="AK106" i="835"/>
  <c r="AH124" i="835"/>
  <c r="AJ124" i="835"/>
  <c r="AL105" i="835"/>
  <c r="AK105" i="835"/>
  <c r="AJ94" i="835"/>
  <c r="AH94" i="835"/>
  <c r="AK48" i="835"/>
  <c r="AL48" i="835"/>
  <c r="AH21" i="835"/>
  <c r="AK51" i="835"/>
  <c r="AL51" i="835"/>
  <c r="AL79" i="835"/>
  <c r="AK79" i="835"/>
  <c r="AL107" i="835"/>
  <c r="AK107" i="835"/>
  <c r="AL67" i="835"/>
  <c r="AK67" i="835"/>
  <c r="AJ111" i="835"/>
  <c r="AH25" i="835"/>
  <c r="AJ54" i="835"/>
  <c r="AH54" i="835"/>
  <c r="AH23" i="835"/>
  <c r="AL132" i="835"/>
  <c r="AK132" i="835"/>
  <c r="AK75" i="835"/>
  <c r="AL75" i="835"/>
  <c r="AL71" i="835"/>
  <c r="AK71" i="835"/>
  <c r="AJ74" i="835"/>
  <c r="AH74" i="835"/>
  <c r="AH91" i="835"/>
  <c r="AL42" i="835"/>
  <c r="AK42" i="835"/>
  <c r="AH40" i="835"/>
  <c r="AK45" i="835"/>
  <c r="AL45" i="835"/>
  <c r="AL39" i="835"/>
  <c r="AK39" i="835"/>
  <c r="AL125" i="835"/>
  <c r="AK125" i="835"/>
  <c r="AH31" i="835"/>
  <c r="AJ102" i="835"/>
  <c r="AJ123" i="835"/>
  <c r="AL86" i="835"/>
  <c r="AK86" i="835"/>
  <c r="AH9" i="835"/>
  <c r="AH136" i="835"/>
  <c r="AJ64" i="835"/>
  <c r="AH64" i="835"/>
  <c r="AJ119" i="835"/>
  <c r="AJ76" i="835"/>
  <c r="AH62" i="835"/>
  <c r="AL83" i="835"/>
  <c r="AK83" i="835"/>
  <c r="AJ43" i="835"/>
  <c r="AL87" i="835"/>
  <c r="AK87" i="835"/>
  <c r="AK7" i="835"/>
  <c r="AL7" i="835"/>
  <c r="AH130" i="835"/>
  <c r="AL114" i="835"/>
  <c r="AK114" i="835"/>
  <c r="AH117" i="835"/>
  <c r="AH112" i="835"/>
  <c r="AH109" i="835"/>
  <c r="AK15" i="835"/>
  <c r="AL15" i="835"/>
  <c r="AL92" i="835"/>
  <c r="AK92" i="835"/>
  <c r="AJ101" i="835"/>
  <c r="AH101" i="835"/>
  <c r="AL134" i="835"/>
  <c r="AK134" i="835"/>
  <c r="AK65" i="835"/>
  <c r="AL65" i="835"/>
  <c r="AJ113" i="835"/>
  <c r="AH113" i="835"/>
  <c r="AH27" i="835"/>
  <c r="AL77" i="835"/>
  <c r="AK77" i="835"/>
  <c r="AL81" i="835"/>
  <c r="AK81" i="835"/>
  <c r="AL111" i="835"/>
  <c r="AK111" i="835"/>
  <c r="AK120" i="835"/>
  <c r="AL120" i="835"/>
  <c r="AL66" i="835"/>
  <c r="AK66" i="835"/>
  <c r="AL47" i="835"/>
  <c r="AK47" i="835"/>
  <c r="AH29" i="835"/>
  <c r="AL127" i="835"/>
  <c r="AK127" i="835"/>
  <c r="AL128" i="835"/>
  <c r="AK128" i="835"/>
  <c r="AL5" i="835"/>
  <c r="AK5" i="835"/>
  <c r="AK115" i="835"/>
  <c r="AL115" i="835"/>
  <c r="AL129" i="835"/>
  <c r="AK129" i="835"/>
  <c r="AL98" i="835"/>
  <c r="AK98" i="835"/>
  <c r="AH33" i="835"/>
  <c r="AH131" i="835"/>
  <c r="AL110" i="835"/>
  <c r="AK110" i="835"/>
  <c r="AH19" i="835"/>
  <c r="AL69" i="835"/>
  <c r="AK69" i="835"/>
  <c r="AJ60" i="835"/>
  <c r="AL49" i="835"/>
  <c r="AK49" i="835"/>
  <c r="AK90" i="835"/>
  <c r="AL90" i="835"/>
  <c r="AH95" i="835"/>
  <c r="AL116" i="835"/>
  <c r="AK116" i="835"/>
  <c r="AH80" i="835"/>
  <c r="AK97" i="835"/>
  <c r="AL97" i="835"/>
  <c r="AL11" i="835"/>
  <c r="AK11" i="835"/>
  <c r="AH133" i="835"/>
  <c r="AL53" i="835"/>
  <c r="AK53" i="835"/>
  <c r="AL73" i="835"/>
  <c r="AK73" i="835"/>
  <c r="AL72" i="835"/>
  <c r="AK72" i="835"/>
  <c r="AL96" i="835"/>
  <c r="AK96" i="835"/>
  <c r="AH126" i="835"/>
  <c r="AH58" i="835"/>
  <c r="AH100" i="835"/>
  <c r="AH122" i="835"/>
  <c r="AH55" i="835"/>
  <c r="AJ99" i="835"/>
  <c r="AH85" i="835"/>
  <c r="AJ61" i="835"/>
  <c r="AH61" i="835"/>
  <c r="AJ59" i="835"/>
  <c r="AJ70" i="835"/>
  <c r="AL52" i="835"/>
  <c r="AK52" i="835"/>
  <c r="AH68" i="835"/>
  <c r="AH88" i="835"/>
  <c r="AL82" i="835"/>
  <c r="AK82" i="835"/>
  <c r="AJ38" i="835"/>
  <c r="AJ52" i="835"/>
  <c r="N36" i="834"/>
  <c r="N32" i="834"/>
  <c r="AK17" i="835" l="1"/>
  <c r="AL63" i="835"/>
  <c r="AL104" i="835"/>
  <c r="AK56" i="835"/>
  <c r="AK118" i="835"/>
  <c r="AL121" i="835"/>
  <c r="AK135" i="835"/>
  <c r="AL9" i="835"/>
  <c r="AK9" i="835"/>
  <c r="AL55" i="835"/>
  <c r="AK55" i="835"/>
  <c r="AL117" i="835"/>
  <c r="AK117" i="835"/>
  <c r="AL122" i="835"/>
  <c r="AK122" i="835"/>
  <c r="AK31" i="835"/>
  <c r="AL31" i="835"/>
  <c r="AL95" i="835"/>
  <c r="AK95" i="835"/>
  <c r="AL130" i="835"/>
  <c r="AK130" i="835"/>
  <c r="AL19" i="835"/>
  <c r="AK19" i="835"/>
  <c r="AL62" i="835"/>
  <c r="AK62" i="835"/>
  <c r="AL85" i="835"/>
  <c r="AK85" i="835"/>
  <c r="AL80" i="835"/>
  <c r="AK80" i="835"/>
  <c r="AL94" i="835"/>
  <c r="AK94" i="835"/>
  <c r="AL126" i="835"/>
  <c r="AK126" i="835"/>
  <c r="AL25" i="835"/>
  <c r="AK25" i="835"/>
  <c r="AK40" i="835"/>
  <c r="AL40" i="835"/>
  <c r="AL68" i="835"/>
  <c r="AK68" i="835"/>
  <c r="AL101" i="835"/>
  <c r="AK101" i="835"/>
  <c r="AL91" i="835"/>
  <c r="AK91" i="835"/>
  <c r="AL133" i="835"/>
  <c r="AK133" i="835"/>
  <c r="AL74" i="835"/>
  <c r="AK74" i="835"/>
  <c r="AL109" i="835"/>
  <c r="AK109" i="835"/>
  <c r="AL112" i="835"/>
  <c r="AK112" i="835"/>
  <c r="AK21" i="835"/>
  <c r="AL21" i="835"/>
  <c r="AL100" i="835"/>
  <c r="AK100" i="835"/>
  <c r="AL58" i="835"/>
  <c r="AK58" i="835"/>
  <c r="AL27" i="835"/>
  <c r="AK27" i="835"/>
  <c r="AL23" i="835"/>
  <c r="AK23" i="835"/>
  <c r="AK113" i="835"/>
  <c r="AL113" i="835"/>
  <c r="AL54" i="835"/>
  <c r="AK54" i="835"/>
  <c r="AL29" i="835"/>
  <c r="AK29" i="835"/>
  <c r="AL124" i="835"/>
  <c r="AK124" i="835"/>
  <c r="AL88" i="835"/>
  <c r="AK88" i="835"/>
  <c r="AK131" i="835"/>
  <c r="AL131" i="835"/>
  <c r="AL64" i="835"/>
  <c r="AK64" i="835"/>
  <c r="AL33" i="835"/>
  <c r="AK33" i="835"/>
  <c r="AL61" i="835"/>
  <c r="AK61" i="835"/>
  <c r="AK136" i="835"/>
  <c r="AL136" i="835"/>
  <c r="N30" i="834"/>
  <c r="N34" i="834" l="1"/>
  <c r="AF25" i="834" l="1"/>
  <c r="AF17" i="834"/>
  <c r="AF9" i="834" l="1"/>
  <c r="N28" i="834"/>
  <c r="N26" i="834"/>
  <c r="N24" i="834"/>
  <c r="N22" i="834"/>
  <c r="N20" i="834"/>
  <c r="N18" i="834"/>
  <c r="N16" i="834"/>
  <c r="N14" i="834"/>
  <c r="N12" i="834"/>
  <c r="AX136" i="834" l="1"/>
  <c r="AW136" i="834"/>
  <c r="AN136" i="834"/>
  <c r="AO136" i="834" s="1"/>
  <c r="U136" i="834"/>
  <c r="V136" i="834" s="1"/>
  <c r="N136" i="834"/>
  <c r="AX135" i="834"/>
  <c r="AW135" i="834"/>
  <c r="AN135" i="834"/>
  <c r="AO135" i="834" s="1"/>
  <c r="U135" i="834"/>
  <c r="V135" i="834" s="1"/>
  <c r="N135" i="834"/>
  <c r="AX134" i="834"/>
  <c r="AW134" i="834"/>
  <c r="AN134" i="834"/>
  <c r="AO134" i="834" s="1"/>
  <c r="U134" i="834"/>
  <c r="V134" i="834" s="1"/>
  <c r="N134" i="834"/>
  <c r="AX133" i="834"/>
  <c r="AW133" i="834"/>
  <c r="AN133" i="834"/>
  <c r="AO133" i="834" s="1"/>
  <c r="U133" i="834"/>
  <c r="V133" i="834" s="1"/>
  <c r="N133" i="834"/>
  <c r="AX132" i="834"/>
  <c r="AW132" i="834"/>
  <c r="AN132" i="834"/>
  <c r="AO132" i="834" s="1"/>
  <c r="U132" i="834"/>
  <c r="V132" i="834" s="1"/>
  <c r="N132" i="834"/>
  <c r="AX131" i="834"/>
  <c r="AW131" i="834"/>
  <c r="AO131" i="834"/>
  <c r="AN131" i="834"/>
  <c r="U131" i="834"/>
  <c r="V131" i="834" s="1"/>
  <c r="N131" i="834"/>
  <c r="AX130" i="834"/>
  <c r="AW130" i="834"/>
  <c r="AO130" i="834"/>
  <c r="AN130" i="834"/>
  <c r="U130" i="834"/>
  <c r="V130" i="834" s="1"/>
  <c r="N130" i="834"/>
  <c r="AX129" i="834"/>
  <c r="AW129" i="834"/>
  <c r="AN129" i="834"/>
  <c r="AO129" i="834" s="1"/>
  <c r="U129" i="834"/>
  <c r="V129" i="834" s="1"/>
  <c r="N129" i="834"/>
  <c r="AX128" i="834"/>
  <c r="AW128" i="834"/>
  <c r="AN128" i="834"/>
  <c r="AO128" i="834" s="1"/>
  <c r="U128" i="834"/>
  <c r="V128" i="834" s="1"/>
  <c r="N128" i="834"/>
  <c r="AX127" i="834"/>
  <c r="AW127" i="834"/>
  <c r="AN127" i="834"/>
  <c r="AO127" i="834" s="1"/>
  <c r="U127" i="834"/>
  <c r="V127" i="834" s="1"/>
  <c r="N127" i="834"/>
  <c r="AX126" i="834"/>
  <c r="AW126" i="834"/>
  <c r="AN126" i="834"/>
  <c r="AO126" i="834" s="1"/>
  <c r="U126" i="834"/>
  <c r="V126" i="834" s="1"/>
  <c r="N126" i="834"/>
  <c r="AX125" i="834"/>
  <c r="AW125" i="834"/>
  <c r="AN125" i="834"/>
  <c r="AO125" i="834" s="1"/>
  <c r="U125" i="834"/>
  <c r="V125" i="834" s="1"/>
  <c r="N125" i="834"/>
  <c r="AX124" i="834"/>
  <c r="AW124" i="834"/>
  <c r="AN124" i="834"/>
  <c r="AO124" i="834" s="1"/>
  <c r="U124" i="834"/>
  <c r="V124" i="834" s="1"/>
  <c r="N124" i="834"/>
  <c r="AX123" i="834"/>
  <c r="AW123" i="834"/>
  <c r="AO123" i="834"/>
  <c r="AN123" i="834"/>
  <c r="U123" i="834"/>
  <c r="V123" i="834" s="1"/>
  <c r="N123" i="834"/>
  <c r="AX122" i="834"/>
  <c r="AW122" i="834"/>
  <c r="AO122" i="834"/>
  <c r="AN122" i="834"/>
  <c r="U122" i="834"/>
  <c r="V122" i="834" s="1"/>
  <c r="N122" i="834"/>
  <c r="AX121" i="834"/>
  <c r="AW121" i="834"/>
  <c r="AN121" i="834"/>
  <c r="AO121" i="834" s="1"/>
  <c r="U121" i="834"/>
  <c r="V121" i="834" s="1"/>
  <c r="N121" i="834"/>
  <c r="AX120" i="834"/>
  <c r="AW120" i="834"/>
  <c r="AN120" i="834"/>
  <c r="AO120" i="834" s="1"/>
  <c r="U120" i="834"/>
  <c r="V120" i="834" s="1"/>
  <c r="N120" i="834"/>
  <c r="AX119" i="834"/>
  <c r="AW119" i="834"/>
  <c r="AN119" i="834"/>
  <c r="AO119" i="834" s="1"/>
  <c r="U119" i="834"/>
  <c r="V119" i="834" s="1"/>
  <c r="N119" i="834"/>
  <c r="AX118" i="834"/>
  <c r="AW118" i="834"/>
  <c r="AN118" i="834"/>
  <c r="AO118" i="834" s="1"/>
  <c r="U118" i="834"/>
  <c r="V118" i="834" s="1"/>
  <c r="N118" i="834"/>
  <c r="AX117" i="834"/>
  <c r="AW117" i="834"/>
  <c r="AN117" i="834"/>
  <c r="AO117" i="834" s="1"/>
  <c r="U117" i="834"/>
  <c r="V117" i="834" s="1"/>
  <c r="N117" i="834"/>
  <c r="AX116" i="834"/>
  <c r="AW116" i="834"/>
  <c r="AN116" i="834"/>
  <c r="AO116" i="834" s="1"/>
  <c r="U116" i="834"/>
  <c r="V116" i="834" s="1"/>
  <c r="N116" i="834"/>
  <c r="AX115" i="834"/>
  <c r="AW115" i="834"/>
  <c r="AN115" i="834"/>
  <c r="AO115" i="834" s="1"/>
  <c r="U115" i="834"/>
  <c r="V115" i="834" s="1"/>
  <c r="N115" i="834"/>
  <c r="AX114" i="834"/>
  <c r="AW114" i="834"/>
  <c r="AN114" i="834"/>
  <c r="AO114" i="834" s="1"/>
  <c r="U114" i="834"/>
  <c r="V114" i="834" s="1"/>
  <c r="N114" i="834"/>
  <c r="AX113" i="834"/>
  <c r="AW113" i="834"/>
  <c r="AN113" i="834"/>
  <c r="AO113" i="834" s="1"/>
  <c r="U113" i="834"/>
  <c r="V113" i="834" s="1"/>
  <c r="N113" i="834"/>
  <c r="AX112" i="834"/>
  <c r="AW112" i="834"/>
  <c r="AN112" i="834"/>
  <c r="AO112" i="834" s="1"/>
  <c r="U112" i="834"/>
  <c r="V112" i="834" s="1"/>
  <c r="N112" i="834"/>
  <c r="AX111" i="834"/>
  <c r="AW111" i="834"/>
  <c r="AN111" i="834"/>
  <c r="AO111" i="834" s="1"/>
  <c r="U111" i="834"/>
  <c r="V111" i="834" s="1"/>
  <c r="N111" i="834"/>
  <c r="AX110" i="834"/>
  <c r="AW110" i="834"/>
  <c r="AN110" i="834"/>
  <c r="AO110" i="834" s="1"/>
  <c r="U110" i="834"/>
  <c r="V110" i="834" s="1"/>
  <c r="N110" i="834"/>
  <c r="AX109" i="834"/>
  <c r="AW109" i="834"/>
  <c r="AN109" i="834"/>
  <c r="AO109" i="834" s="1"/>
  <c r="U109" i="834"/>
  <c r="V109" i="834" s="1"/>
  <c r="N109" i="834"/>
  <c r="AX108" i="834"/>
  <c r="AW108" i="834"/>
  <c r="AN108" i="834"/>
  <c r="AO108" i="834" s="1"/>
  <c r="U108" i="834"/>
  <c r="V108" i="834" s="1"/>
  <c r="N108" i="834"/>
  <c r="AX107" i="834"/>
  <c r="AW107" i="834"/>
  <c r="AO107" i="834"/>
  <c r="AN107" i="834"/>
  <c r="U107" i="834"/>
  <c r="V107" i="834" s="1"/>
  <c r="N107" i="834"/>
  <c r="AX106" i="834"/>
  <c r="AW106" i="834"/>
  <c r="AN106" i="834"/>
  <c r="AO106" i="834" s="1"/>
  <c r="U106" i="834"/>
  <c r="V106" i="834" s="1"/>
  <c r="N106" i="834"/>
  <c r="AX105" i="834"/>
  <c r="AW105" i="834"/>
  <c r="AN105" i="834"/>
  <c r="AO105" i="834" s="1"/>
  <c r="U105" i="834"/>
  <c r="V105" i="834" s="1"/>
  <c r="N105" i="834"/>
  <c r="AX104" i="834"/>
  <c r="AW104" i="834"/>
  <c r="AN104" i="834"/>
  <c r="AO104" i="834" s="1"/>
  <c r="U104" i="834"/>
  <c r="V104" i="834" s="1"/>
  <c r="N104" i="834"/>
  <c r="AX103" i="834"/>
  <c r="AW103" i="834"/>
  <c r="AN103" i="834"/>
  <c r="AO103" i="834" s="1"/>
  <c r="U103" i="834"/>
  <c r="V103" i="834" s="1"/>
  <c r="N103" i="834"/>
  <c r="AX102" i="834"/>
  <c r="AW102" i="834"/>
  <c r="AN102" i="834"/>
  <c r="AO102" i="834" s="1"/>
  <c r="U102" i="834"/>
  <c r="V102" i="834" s="1"/>
  <c r="N102" i="834"/>
  <c r="AX101" i="834"/>
  <c r="AW101" i="834"/>
  <c r="AN101" i="834"/>
  <c r="AO101" i="834" s="1"/>
  <c r="U101" i="834"/>
  <c r="V101" i="834" s="1"/>
  <c r="N101" i="834"/>
  <c r="AX100" i="834"/>
  <c r="AW100" i="834"/>
  <c r="AN100" i="834"/>
  <c r="AO100" i="834" s="1"/>
  <c r="U100" i="834"/>
  <c r="V100" i="834" s="1"/>
  <c r="N100" i="834"/>
  <c r="AX99" i="834"/>
  <c r="AW99" i="834"/>
  <c r="AN99" i="834"/>
  <c r="AO99" i="834" s="1"/>
  <c r="U99" i="834"/>
  <c r="V99" i="834" s="1"/>
  <c r="N99" i="834"/>
  <c r="AX98" i="834"/>
  <c r="AW98" i="834"/>
  <c r="AN98" i="834"/>
  <c r="AO98" i="834" s="1"/>
  <c r="V98" i="834"/>
  <c r="U98" i="834"/>
  <c r="N98" i="834"/>
  <c r="AX97" i="834"/>
  <c r="AW97" i="834"/>
  <c r="AN97" i="834"/>
  <c r="AO97" i="834" s="1"/>
  <c r="U97" i="834"/>
  <c r="V97" i="834" s="1"/>
  <c r="N97" i="834"/>
  <c r="AX96" i="834"/>
  <c r="AW96" i="834"/>
  <c r="AN96" i="834"/>
  <c r="AO96" i="834" s="1"/>
  <c r="U96" i="834"/>
  <c r="V96" i="834" s="1"/>
  <c r="N96" i="834"/>
  <c r="AX95" i="834"/>
  <c r="AW95" i="834"/>
  <c r="AN95" i="834"/>
  <c r="AO95" i="834" s="1"/>
  <c r="U95" i="834"/>
  <c r="V95" i="834" s="1"/>
  <c r="N95" i="834"/>
  <c r="AX94" i="834"/>
  <c r="AW94" i="834"/>
  <c r="AN94" i="834"/>
  <c r="AO94" i="834" s="1"/>
  <c r="U94" i="834"/>
  <c r="V94" i="834" s="1"/>
  <c r="N94" i="834"/>
  <c r="AX93" i="834"/>
  <c r="AW93" i="834"/>
  <c r="AN93" i="834"/>
  <c r="AO93" i="834" s="1"/>
  <c r="U93" i="834"/>
  <c r="V93" i="834" s="1"/>
  <c r="N93" i="834"/>
  <c r="AX92" i="834"/>
  <c r="AW92" i="834"/>
  <c r="AN92" i="834"/>
  <c r="AO92" i="834" s="1"/>
  <c r="U92" i="834"/>
  <c r="V92" i="834" s="1"/>
  <c r="N92" i="834"/>
  <c r="AX91" i="834"/>
  <c r="AW91" i="834"/>
  <c r="AN91" i="834"/>
  <c r="AO91" i="834" s="1"/>
  <c r="U91" i="834"/>
  <c r="V91" i="834" s="1"/>
  <c r="N91" i="834"/>
  <c r="AX90" i="834"/>
  <c r="AW90" i="834"/>
  <c r="AN90" i="834"/>
  <c r="AO90" i="834" s="1"/>
  <c r="U90" i="834"/>
  <c r="V90" i="834" s="1"/>
  <c r="N90" i="834"/>
  <c r="AX89" i="834"/>
  <c r="AW89" i="834"/>
  <c r="AN89" i="834"/>
  <c r="AO89" i="834" s="1"/>
  <c r="U89" i="834"/>
  <c r="V89" i="834" s="1"/>
  <c r="N89" i="834"/>
  <c r="AX88" i="834"/>
  <c r="AW88" i="834"/>
  <c r="AN88" i="834"/>
  <c r="AO88" i="834" s="1"/>
  <c r="U88" i="834"/>
  <c r="V88" i="834" s="1"/>
  <c r="N88" i="834"/>
  <c r="AX87" i="834"/>
  <c r="AW87" i="834"/>
  <c r="AN87" i="834"/>
  <c r="AO87" i="834" s="1"/>
  <c r="U87" i="834"/>
  <c r="V87" i="834" s="1"/>
  <c r="N87" i="834"/>
  <c r="AX86" i="834"/>
  <c r="AW86" i="834"/>
  <c r="AN86" i="834"/>
  <c r="AO86" i="834" s="1"/>
  <c r="U86" i="834"/>
  <c r="V86" i="834" s="1"/>
  <c r="N86" i="834"/>
  <c r="AX85" i="834"/>
  <c r="AW85" i="834"/>
  <c r="AN85" i="834"/>
  <c r="AO85" i="834" s="1"/>
  <c r="U85" i="834"/>
  <c r="V85" i="834" s="1"/>
  <c r="N85" i="834"/>
  <c r="AX84" i="834"/>
  <c r="AW84" i="834"/>
  <c r="AN84" i="834"/>
  <c r="AO84" i="834" s="1"/>
  <c r="U84" i="834"/>
  <c r="V84" i="834" s="1"/>
  <c r="N84" i="834"/>
  <c r="AX83" i="834"/>
  <c r="AW83" i="834"/>
  <c r="AN83" i="834"/>
  <c r="AO83" i="834" s="1"/>
  <c r="U83" i="834"/>
  <c r="V83" i="834" s="1"/>
  <c r="N83" i="834"/>
  <c r="AX82" i="834"/>
  <c r="AW82" i="834"/>
  <c r="AN82" i="834"/>
  <c r="AO82" i="834" s="1"/>
  <c r="U82" i="834"/>
  <c r="V82" i="834" s="1"/>
  <c r="N82" i="834"/>
  <c r="AX81" i="834"/>
  <c r="AW81" i="834"/>
  <c r="AN81" i="834"/>
  <c r="AO81" i="834" s="1"/>
  <c r="U81" i="834"/>
  <c r="V81" i="834" s="1"/>
  <c r="N81" i="834"/>
  <c r="AX80" i="834"/>
  <c r="AW80" i="834"/>
  <c r="AO80" i="834"/>
  <c r="AN80" i="834"/>
  <c r="U80" i="834"/>
  <c r="V80" i="834" s="1"/>
  <c r="N80" i="834"/>
  <c r="AX79" i="834"/>
  <c r="AW79" i="834"/>
  <c r="AN79" i="834"/>
  <c r="AO79" i="834" s="1"/>
  <c r="U79" i="834"/>
  <c r="V79" i="834" s="1"/>
  <c r="N79" i="834"/>
  <c r="AX78" i="834"/>
  <c r="AW78" i="834"/>
  <c r="AN78" i="834"/>
  <c r="AO78" i="834" s="1"/>
  <c r="U78" i="834"/>
  <c r="V78" i="834" s="1"/>
  <c r="N78" i="834"/>
  <c r="AX77" i="834"/>
  <c r="AW77" i="834"/>
  <c r="AN77" i="834"/>
  <c r="AO77" i="834" s="1"/>
  <c r="U77" i="834"/>
  <c r="V77" i="834" s="1"/>
  <c r="N77" i="834"/>
  <c r="AX76" i="834"/>
  <c r="AW76" i="834"/>
  <c r="AN76" i="834"/>
  <c r="AO76" i="834" s="1"/>
  <c r="U76" i="834"/>
  <c r="V76" i="834" s="1"/>
  <c r="N76" i="834"/>
  <c r="AX75" i="834"/>
  <c r="AW75" i="834"/>
  <c r="AN75" i="834"/>
  <c r="AO75" i="834" s="1"/>
  <c r="U75" i="834"/>
  <c r="V75" i="834" s="1"/>
  <c r="N75" i="834"/>
  <c r="AX74" i="834"/>
  <c r="AW74" i="834"/>
  <c r="AN74" i="834"/>
  <c r="AO74" i="834" s="1"/>
  <c r="U74" i="834"/>
  <c r="V74" i="834" s="1"/>
  <c r="N74" i="834"/>
  <c r="AX73" i="834"/>
  <c r="AW73" i="834"/>
  <c r="AN73" i="834"/>
  <c r="AO73" i="834" s="1"/>
  <c r="U73" i="834"/>
  <c r="V73" i="834" s="1"/>
  <c r="N73" i="834"/>
  <c r="AX72" i="834"/>
  <c r="AW72" i="834"/>
  <c r="AN72" i="834"/>
  <c r="AO72" i="834" s="1"/>
  <c r="U72" i="834"/>
  <c r="V72" i="834" s="1"/>
  <c r="N72" i="834"/>
  <c r="AX71" i="834"/>
  <c r="AW71" i="834"/>
  <c r="AN71" i="834"/>
  <c r="AO71" i="834" s="1"/>
  <c r="U71" i="834"/>
  <c r="V71" i="834" s="1"/>
  <c r="N71" i="834"/>
  <c r="AX70" i="834"/>
  <c r="AW70" i="834"/>
  <c r="AN70" i="834"/>
  <c r="AO70" i="834" s="1"/>
  <c r="U70" i="834"/>
  <c r="V70" i="834" s="1"/>
  <c r="N70" i="834"/>
  <c r="AX69" i="834"/>
  <c r="AW69" i="834"/>
  <c r="AN69" i="834"/>
  <c r="AO69" i="834" s="1"/>
  <c r="U69" i="834"/>
  <c r="V69" i="834" s="1"/>
  <c r="N69" i="834"/>
  <c r="AX68" i="834"/>
  <c r="AW68" i="834"/>
  <c r="AN68" i="834"/>
  <c r="AO68" i="834" s="1"/>
  <c r="U68" i="834"/>
  <c r="V68" i="834" s="1"/>
  <c r="N68" i="834"/>
  <c r="AX67" i="834"/>
  <c r="AW67" i="834"/>
  <c r="AN67" i="834"/>
  <c r="AO67" i="834" s="1"/>
  <c r="U67" i="834"/>
  <c r="V67" i="834" s="1"/>
  <c r="N67" i="834"/>
  <c r="AX66" i="834"/>
  <c r="AW66" i="834"/>
  <c r="AN66" i="834"/>
  <c r="AO66" i="834" s="1"/>
  <c r="U66" i="834"/>
  <c r="V66" i="834" s="1"/>
  <c r="N66" i="834"/>
  <c r="AX65" i="834"/>
  <c r="AW65" i="834"/>
  <c r="AN65" i="834"/>
  <c r="AO65" i="834" s="1"/>
  <c r="U65" i="834"/>
  <c r="V65" i="834" s="1"/>
  <c r="N65" i="834"/>
  <c r="AX64" i="834"/>
  <c r="AW64" i="834"/>
  <c r="AN64" i="834"/>
  <c r="AO64" i="834" s="1"/>
  <c r="U64" i="834"/>
  <c r="V64" i="834" s="1"/>
  <c r="N64" i="834"/>
  <c r="AX63" i="834"/>
  <c r="AW63" i="834"/>
  <c r="AN63" i="834"/>
  <c r="AO63" i="834" s="1"/>
  <c r="U63" i="834"/>
  <c r="V63" i="834" s="1"/>
  <c r="N63" i="834"/>
  <c r="AX62" i="834"/>
  <c r="AW62" i="834"/>
  <c r="AO62" i="834"/>
  <c r="AN62" i="834"/>
  <c r="U62" i="834"/>
  <c r="V62" i="834" s="1"/>
  <c r="N62" i="834"/>
  <c r="AX61" i="834"/>
  <c r="AW61" i="834"/>
  <c r="AN61" i="834"/>
  <c r="AO61" i="834" s="1"/>
  <c r="U61" i="834"/>
  <c r="V61" i="834" s="1"/>
  <c r="N61" i="834"/>
  <c r="AX60" i="834"/>
  <c r="AW60" i="834"/>
  <c r="AO60" i="834"/>
  <c r="AN60" i="834"/>
  <c r="U60" i="834"/>
  <c r="V60" i="834" s="1"/>
  <c r="N60" i="834"/>
  <c r="AX59" i="834"/>
  <c r="AW59" i="834"/>
  <c r="AN59" i="834"/>
  <c r="AO59" i="834" s="1"/>
  <c r="U59" i="834"/>
  <c r="V59" i="834" s="1"/>
  <c r="N59" i="834"/>
  <c r="AX58" i="834"/>
  <c r="AW58" i="834"/>
  <c r="AN58" i="834"/>
  <c r="AO58" i="834" s="1"/>
  <c r="U58" i="834"/>
  <c r="V58" i="834" s="1"/>
  <c r="N58" i="834"/>
  <c r="AX57" i="834"/>
  <c r="AW57" i="834"/>
  <c r="AN57" i="834"/>
  <c r="AO57" i="834" s="1"/>
  <c r="V57" i="834"/>
  <c r="U57" i="834"/>
  <c r="N57" i="834"/>
  <c r="AX56" i="834"/>
  <c r="AW56" i="834"/>
  <c r="AN56" i="834"/>
  <c r="AO56" i="834" s="1"/>
  <c r="U56" i="834"/>
  <c r="V56" i="834" s="1"/>
  <c r="N56" i="834"/>
  <c r="AX55" i="834"/>
  <c r="AW55" i="834"/>
  <c r="AN55" i="834"/>
  <c r="AO55" i="834" s="1"/>
  <c r="U55" i="834"/>
  <c r="V55" i="834" s="1"/>
  <c r="N55" i="834"/>
  <c r="AX54" i="834"/>
  <c r="AW54" i="834"/>
  <c r="AN54" i="834"/>
  <c r="AO54" i="834" s="1"/>
  <c r="U54" i="834"/>
  <c r="V54" i="834" s="1"/>
  <c r="N54" i="834"/>
  <c r="AX53" i="834"/>
  <c r="AW53" i="834"/>
  <c r="AO53" i="834"/>
  <c r="AN53" i="834"/>
  <c r="U53" i="834"/>
  <c r="V53" i="834" s="1"/>
  <c r="N53" i="834"/>
  <c r="AX52" i="834"/>
  <c r="AW52" i="834"/>
  <c r="AN52" i="834"/>
  <c r="AO52" i="834" s="1"/>
  <c r="U52" i="834"/>
  <c r="V52" i="834" s="1"/>
  <c r="N52" i="834"/>
  <c r="AX51" i="834"/>
  <c r="AW51" i="834"/>
  <c r="AN51" i="834"/>
  <c r="AO51" i="834" s="1"/>
  <c r="U51" i="834"/>
  <c r="V51" i="834" s="1"/>
  <c r="N51" i="834"/>
  <c r="AX50" i="834"/>
  <c r="AW50" i="834"/>
  <c r="AN50" i="834"/>
  <c r="AO50" i="834" s="1"/>
  <c r="U50" i="834"/>
  <c r="V50" i="834" s="1"/>
  <c r="N50" i="834"/>
  <c r="AX49" i="834"/>
  <c r="AW49" i="834"/>
  <c r="AN49" i="834"/>
  <c r="AO49" i="834" s="1"/>
  <c r="U49" i="834"/>
  <c r="V49" i="834" s="1"/>
  <c r="N49" i="834"/>
  <c r="AX48" i="834"/>
  <c r="AW48" i="834"/>
  <c r="AN48" i="834"/>
  <c r="AO48" i="834" s="1"/>
  <c r="U48" i="834"/>
  <c r="V48" i="834" s="1"/>
  <c r="N48" i="834"/>
  <c r="AX47" i="834"/>
  <c r="AW47" i="834"/>
  <c r="AN47" i="834"/>
  <c r="AO47" i="834" s="1"/>
  <c r="U47" i="834"/>
  <c r="V47" i="834" s="1"/>
  <c r="N47" i="834"/>
  <c r="AX46" i="834"/>
  <c r="AW46" i="834"/>
  <c r="AN46" i="834"/>
  <c r="AO46" i="834" s="1"/>
  <c r="U46" i="834"/>
  <c r="V46" i="834" s="1"/>
  <c r="N46" i="834"/>
  <c r="AX45" i="834"/>
  <c r="AW45" i="834"/>
  <c r="AN45" i="834"/>
  <c r="AO45" i="834" s="1"/>
  <c r="U45" i="834"/>
  <c r="V45" i="834" s="1"/>
  <c r="N45" i="834"/>
  <c r="AX44" i="834"/>
  <c r="AW44" i="834"/>
  <c r="AN44" i="834"/>
  <c r="AO44" i="834" s="1"/>
  <c r="U44" i="834"/>
  <c r="V44" i="834" s="1"/>
  <c r="N44" i="834"/>
  <c r="AX43" i="834"/>
  <c r="AW43" i="834"/>
  <c r="AN43" i="834"/>
  <c r="AO43" i="834" s="1"/>
  <c r="U43" i="834"/>
  <c r="V43" i="834" s="1"/>
  <c r="N43" i="834"/>
  <c r="AX42" i="834"/>
  <c r="AW42" i="834"/>
  <c r="AN42" i="834"/>
  <c r="AO42" i="834" s="1"/>
  <c r="U42" i="834"/>
  <c r="V42" i="834" s="1"/>
  <c r="N42" i="834"/>
  <c r="AX41" i="834"/>
  <c r="AW41" i="834"/>
  <c r="AN41" i="834"/>
  <c r="AO41" i="834" s="1"/>
  <c r="U41" i="834"/>
  <c r="V41" i="834" s="1"/>
  <c r="N41" i="834"/>
  <c r="AX40" i="834"/>
  <c r="AW40" i="834"/>
  <c r="AN40" i="834"/>
  <c r="AO40" i="834" s="1"/>
  <c r="U40" i="834"/>
  <c r="V40" i="834" s="1"/>
  <c r="N40" i="834"/>
  <c r="AX39" i="834"/>
  <c r="AW39" i="834"/>
  <c r="AN39" i="834"/>
  <c r="AO39" i="834" s="1"/>
  <c r="U39" i="834"/>
  <c r="V39" i="834" s="1"/>
  <c r="N39" i="834"/>
  <c r="AX38" i="834"/>
  <c r="AW38" i="834"/>
  <c r="AO38" i="834"/>
  <c r="AN38" i="834"/>
  <c r="U38" i="834"/>
  <c r="V38" i="834" s="1"/>
  <c r="N38" i="834"/>
  <c r="AX37" i="834"/>
  <c r="AW37" i="834"/>
  <c r="AO37" i="834"/>
  <c r="AN37" i="834"/>
  <c r="U37" i="834"/>
  <c r="V37" i="834" s="1"/>
  <c r="N37" i="834"/>
  <c r="AX35" i="834"/>
  <c r="AW35" i="834"/>
  <c r="AN35" i="834"/>
  <c r="AO35" i="834" s="1"/>
  <c r="U35" i="834"/>
  <c r="V35" i="834" s="1"/>
  <c r="N35" i="834"/>
  <c r="AX33" i="834"/>
  <c r="AW33" i="834"/>
  <c r="AN33" i="834"/>
  <c r="AO33" i="834" s="1"/>
  <c r="U33" i="834"/>
  <c r="V33" i="834" s="1"/>
  <c r="N33" i="834"/>
  <c r="AX31" i="834"/>
  <c r="AW31" i="834"/>
  <c r="AO31" i="834"/>
  <c r="AN31" i="834"/>
  <c r="U31" i="834"/>
  <c r="V31" i="834" s="1"/>
  <c r="N31" i="834"/>
  <c r="AX29" i="834"/>
  <c r="AW29" i="834"/>
  <c r="AN29" i="834"/>
  <c r="AO29" i="834" s="1"/>
  <c r="U29" i="834"/>
  <c r="V29" i="834" s="1"/>
  <c r="N29" i="834"/>
  <c r="AX27" i="834"/>
  <c r="AW27" i="834"/>
  <c r="AN27" i="834"/>
  <c r="AO27" i="834" s="1"/>
  <c r="U27" i="834"/>
  <c r="V27" i="834" s="1"/>
  <c r="N27" i="834"/>
  <c r="AX25" i="834"/>
  <c r="AW25" i="834"/>
  <c r="AN25" i="834"/>
  <c r="AO25" i="834" s="1"/>
  <c r="U25" i="834"/>
  <c r="V25" i="834" s="1"/>
  <c r="N25" i="834"/>
  <c r="AX23" i="834"/>
  <c r="AW23" i="834"/>
  <c r="AN23" i="834"/>
  <c r="AO23" i="834" s="1"/>
  <c r="U23" i="834"/>
  <c r="V23" i="834" s="1"/>
  <c r="N23" i="834"/>
  <c r="AX21" i="834"/>
  <c r="AW21" i="834"/>
  <c r="AN21" i="834"/>
  <c r="AO21" i="834" s="1"/>
  <c r="U21" i="834"/>
  <c r="V21" i="834" s="1"/>
  <c r="N21" i="834"/>
  <c r="AX19" i="834"/>
  <c r="AW19" i="834"/>
  <c r="AN19" i="834"/>
  <c r="AO19" i="834" s="1"/>
  <c r="U19" i="834"/>
  <c r="V19" i="834" s="1"/>
  <c r="N19" i="834"/>
  <c r="AX17" i="834"/>
  <c r="AW17" i="834"/>
  <c r="AN17" i="834"/>
  <c r="AO17" i="834" s="1"/>
  <c r="U17" i="834"/>
  <c r="V17" i="834" s="1"/>
  <c r="N17" i="834"/>
  <c r="AX15" i="834"/>
  <c r="AW15" i="834"/>
  <c r="AN15" i="834"/>
  <c r="AO15" i="834" s="1"/>
  <c r="U15" i="834"/>
  <c r="V15" i="834" s="1"/>
  <c r="N15" i="834"/>
  <c r="AX13" i="834"/>
  <c r="AW13" i="834"/>
  <c r="AN13" i="834"/>
  <c r="AO13" i="834" s="1"/>
  <c r="U13" i="834"/>
  <c r="V13" i="834" s="1"/>
  <c r="N13" i="834"/>
  <c r="AX11" i="834"/>
  <c r="AW11" i="834"/>
  <c r="AN11" i="834"/>
  <c r="AO11" i="834" s="1"/>
  <c r="U11" i="834"/>
  <c r="V11" i="834" s="1"/>
  <c r="N11" i="834"/>
  <c r="N10" i="834"/>
  <c r="AX9" i="834"/>
  <c r="AW9" i="834"/>
  <c r="AN9" i="834"/>
  <c r="AO9" i="834" s="1"/>
  <c r="U9" i="834"/>
  <c r="V9" i="834" s="1"/>
  <c r="N9" i="834"/>
  <c r="N8" i="834"/>
  <c r="AX7" i="834"/>
  <c r="AW7" i="834"/>
  <c r="AN7" i="834"/>
  <c r="AO7" i="834" s="1"/>
  <c r="U7" i="834"/>
  <c r="V7" i="834" s="1"/>
  <c r="N7" i="834"/>
  <c r="N6" i="834"/>
  <c r="AX5" i="834"/>
  <c r="AW5" i="834"/>
  <c r="AN5" i="834"/>
  <c r="AO5" i="834" s="1"/>
  <c r="U5" i="834"/>
  <c r="V5" i="834" s="1"/>
  <c r="N5" i="834"/>
  <c r="AA2" i="834"/>
  <c r="AD2" i="834" s="1"/>
  <c r="I2" i="834"/>
  <c r="AB43" i="834" s="1"/>
  <c r="AC43" i="834" s="1"/>
  <c r="AE43" i="834" s="1"/>
  <c r="AI1" i="834"/>
  <c r="AS2" i="834" s="1"/>
  <c r="AB64" i="834" l="1"/>
  <c r="AC64" i="834" s="1"/>
  <c r="AE64" i="834" s="1"/>
  <c r="AH64" i="834" s="1"/>
  <c r="AB15" i="834"/>
  <c r="AC15" i="834" s="1"/>
  <c r="AE15" i="834" s="1"/>
  <c r="AJ15" i="834" s="1"/>
  <c r="AB29" i="834"/>
  <c r="AC29" i="834" s="1"/>
  <c r="AE29" i="834" s="1"/>
  <c r="AJ29" i="834" s="1"/>
  <c r="AB11" i="834"/>
  <c r="AC11" i="834" s="1"/>
  <c r="AE11" i="834" s="1"/>
  <c r="AH11" i="834" s="1"/>
  <c r="AB128" i="834"/>
  <c r="AC128" i="834" s="1"/>
  <c r="AE128" i="834" s="1"/>
  <c r="AJ128" i="834" s="1"/>
  <c r="AB118" i="834"/>
  <c r="AC118" i="834" s="1"/>
  <c r="AE118" i="834" s="1"/>
  <c r="AJ118" i="834" s="1"/>
  <c r="AB108" i="834"/>
  <c r="AC108" i="834" s="1"/>
  <c r="AE108" i="834" s="1"/>
  <c r="AJ108" i="834" s="1"/>
  <c r="AB98" i="834"/>
  <c r="AC98" i="834" s="1"/>
  <c r="AE98" i="834" s="1"/>
  <c r="AJ98" i="834" s="1"/>
  <c r="AB88" i="834"/>
  <c r="AC88" i="834" s="1"/>
  <c r="AE88" i="834" s="1"/>
  <c r="AJ88" i="834" s="1"/>
  <c r="AB78" i="834"/>
  <c r="AC78" i="834" s="1"/>
  <c r="AE78" i="834" s="1"/>
  <c r="AJ78" i="834" s="1"/>
  <c r="AB68" i="834"/>
  <c r="AC68" i="834" s="1"/>
  <c r="AE68" i="834" s="1"/>
  <c r="AJ68" i="834" s="1"/>
  <c r="AB58" i="834"/>
  <c r="AC58" i="834" s="1"/>
  <c r="AE58" i="834" s="1"/>
  <c r="AJ58" i="834" s="1"/>
  <c r="AB48" i="834"/>
  <c r="AC48" i="834" s="1"/>
  <c r="AE48" i="834" s="1"/>
  <c r="AJ48" i="834" s="1"/>
  <c r="AB38" i="834"/>
  <c r="AC38" i="834" s="1"/>
  <c r="AE38" i="834" s="1"/>
  <c r="AJ38" i="834" s="1"/>
  <c r="AB135" i="834"/>
  <c r="AC135" i="834" s="1"/>
  <c r="AE135" i="834" s="1"/>
  <c r="AJ135" i="834" s="1"/>
  <c r="AB125" i="834"/>
  <c r="AC125" i="834" s="1"/>
  <c r="AE125" i="834" s="1"/>
  <c r="AJ125" i="834" s="1"/>
  <c r="AB115" i="834"/>
  <c r="AC115" i="834" s="1"/>
  <c r="AE115" i="834" s="1"/>
  <c r="AH115" i="834" s="1"/>
  <c r="AB105" i="834"/>
  <c r="AC105" i="834" s="1"/>
  <c r="AE105" i="834" s="1"/>
  <c r="AH105" i="834" s="1"/>
  <c r="AB95" i="834"/>
  <c r="AC95" i="834" s="1"/>
  <c r="AE95" i="834" s="1"/>
  <c r="AH95" i="834" s="1"/>
  <c r="AB85" i="834"/>
  <c r="AC85" i="834" s="1"/>
  <c r="AE85" i="834" s="1"/>
  <c r="AH85" i="834" s="1"/>
  <c r="AB75" i="834"/>
  <c r="AC75" i="834" s="1"/>
  <c r="AE75" i="834" s="1"/>
  <c r="AB65" i="834"/>
  <c r="AC65" i="834" s="1"/>
  <c r="AE65" i="834" s="1"/>
  <c r="AJ65" i="834" s="1"/>
  <c r="AB55" i="834"/>
  <c r="AC55" i="834" s="1"/>
  <c r="AE55" i="834" s="1"/>
  <c r="AH55" i="834" s="1"/>
  <c r="AB45" i="834"/>
  <c r="AC45" i="834" s="1"/>
  <c r="AE45" i="834" s="1"/>
  <c r="AH45" i="834" s="1"/>
  <c r="AB35" i="834"/>
  <c r="AC35" i="834" s="1"/>
  <c r="AE35" i="834" s="1"/>
  <c r="AH35" i="834" s="1"/>
  <c r="AB23" i="834"/>
  <c r="AC23" i="834" s="1"/>
  <c r="AE23" i="834" s="1"/>
  <c r="AJ23" i="834" s="1"/>
  <c r="AB13" i="834"/>
  <c r="AC13" i="834" s="1"/>
  <c r="AE13" i="834" s="1"/>
  <c r="AH13" i="834" s="1"/>
  <c r="AB132" i="834"/>
  <c r="AC132" i="834" s="1"/>
  <c r="AE132" i="834" s="1"/>
  <c r="AH132" i="834" s="1"/>
  <c r="AB122" i="834"/>
  <c r="AC122" i="834" s="1"/>
  <c r="AE122" i="834" s="1"/>
  <c r="AH122" i="834" s="1"/>
  <c r="AB112" i="834"/>
  <c r="AC112" i="834" s="1"/>
  <c r="AE112" i="834" s="1"/>
  <c r="AH112" i="834" s="1"/>
  <c r="AB102" i="834"/>
  <c r="AC102" i="834" s="1"/>
  <c r="AE102" i="834" s="1"/>
  <c r="AH102" i="834" s="1"/>
  <c r="AB92" i="834"/>
  <c r="AC92" i="834" s="1"/>
  <c r="AE92" i="834" s="1"/>
  <c r="AJ92" i="834" s="1"/>
  <c r="AB82" i="834"/>
  <c r="AC82" i="834" s="1"/>
  <c r="AE82" i="834" s="1"/>
  <c r="AJ82" i="834" s="1"/>
  <c r="AB72" i="834"/>
  <c r="AC72" i="834" s="1"/>
  <c r="AE72" i="834" s="1"/>
  <c r="AJ72" i="834" s="1"/>
  <c r="AB62" i="834"/>
  <c r="AC62" i="834" s="1"/>
  <c r="AE62" i="834" s="1"/>
  <c r="AJ62" i="834" s="1"/>
  <c r="AB52" i="834"/>
  <c r="AC52" i="834" s="1"/>
  <c r="AE52" i="834" s="1"/>
  <c r="AH52" i="834" s="1"/>
  <c r="AB49" i="834"/>
  <c r="AC49" i="834" s="1"/>
  <c r="AE49" i="834" s="1"/>
  <c r="AJ49" i="834" s="1"/>
  <c r="AB27" i="834"/>
  <c r="AC27" i="834" s="1"/>
  <c r="AE27" i="834" s="1"/>
  <c r="AH27" i="834" s="1"/>
  <c r="AB17" i="834"/>
  <c r="AC17" i="834" s="1"/>
  <c r="AE17" i="834" s="1"/>
  <c r="AH17" i="834" s="1"/>
  <c r="AB5" i="834"/>
  <c r="AC5" i="834" s="1"/>
  <c r="AE5" i="834" s="1"/>
  <c r="AH5" i="834" s="1"/>
  <c r="AB129" i="834"/>
  <c r="AC129" i="834" s="1"/>
  <c r="AE129" i="834" s="1"/>
  <c r="AB119" i="834"/>
  <c r="AC119" i="834" s="1"/>
  <c r="AE119" i="834" s="1"/>
  <c r="AH119" i="834" s="1"/>
  <c r="AB109" i="834"/>
  <c r="AC109" i="834" s="1"/>
  <c r="AE109" i="834" s="1"/>
  <c r="AJ109" i="834" s="1"/>
  <c r="AB99" i="834"/>
  <c r="AC99" i="834" s="1"/>
  <c r="AE99" i="834" s="1"/>
  <c r="AH99" i="834" s="1"/>
  <c r="AB89" i="834"/>
  <c r="AC89" i="834" s="1"/>
  <c r="AE89" i="834" s="1"/>
  <c r="AH89" i="834" s="1"/>
  <c r="AB79" i="834"/>
  <c r="AC79" i="834" s="1"/>
  <c r="AE79" i="834" s="1"/>
  <c r="AJ79" i="834" s="1"/>
  <c r="AB69" i="834"/>
  <c r="AC69" i="834" s="1"/>
  <c r="AE69" i="834" s="1"/>
  <c r="AJ69" i="834" s="1"/>
  <c r="AB59" i="834"/>
  <c r="AC59" i="834" s="1"/>
  <c r="AE59" i="834" s="1"/>
  <c r="AJ59" i="834" s="1"/>
  <c r="AB39" i="834"/>
  <c r="AC39" i="834" s="1"/>
  <c r="AE39" i="834" s="1"/>
  <c r="AH39" i="834" s="1"/>
  <c r="AB136" i="834"/>
  <c r="AC136" i="834" s="1"/>
  <c r="AE136" i="834" s="1"/>
  <c r="AJ136" i="834" s="1"/>
  <c r="AB126" i="834"/>
  <c r="AC126" i="834" s="1"/>
  <c r="AE126" i="834" s="1"/>
  <c r="AJ126" i="834" s="1"/>
  <c r="AB116" i="834"/>
  <c r="AC116" i="834" s="1"/>
  <c r="AE116" i="834" s="1"/>
  <c r="AJ116" i="834" s="1"/>
  <c r="AB106" i="834"/>
  <c r="AC106" i="834" s="1"/>
  <c r="AE106" i="834" s="1"/>
  <c r="AJ106" i="834" s="1"/>
  <c r="AB96" i="834"/>
  <c r="AC96" i="834" s="1"/>
  <c r="AE96" i="834" s="1"/>
  <c r="AH96" i="834" s="1"/>
  <c r="AB86" i="834"/>
  <c r="AC86" i="834" s="1"/>
  <c r="AE86" i="834" s="1"/>
  <c r="AJ86" i="834" s="1"/>
  <c r="AB76" i="834"/>
  <c r="AC76" i="834" s="1"/>
  <c r="AE76" i="834" s="1"/>
  <c r="AJ76" i="834" s="1"/>
  <c r="AB66" i="834"/>
  <c r="AC66" i="834" s="1"/>
  <c r="AE66" i="834" s="1"/>
  <c r="AJ66" i="834" s="1"/>
  <c r="AB56" i="834"/>
  <c r="AC56" i="834" s="1"/>
  <c r="AE56" i="834" s="1"/>
  <c r="AJ56" i="834" s="1"/>
  <c r="AB46" i="834"/>
  <c r="AC46" i="834" s="1"/>
  <c r="AE46" i="834" s="1"/>
  <c r="AH46" i="834" s="1"/>
  <c r="AB53" i="834"/>
  <c r="AC53" i="834" s="1"/>
  <c r="AE53" i="834" s="1"/>
  <c r="AJ53" i="834" s="1"/>
  <c r="AB51" i="834"/>
  <c r="AC51" i="834" s="1"/>
  <c r="AE51" i="834" s="1"/>
  <c r="AB37" i="834"/>
  <c r="AC37" i="834" s="1"/>
  <c r="AE37" i="834" s="1"/>
  <c r="AB103" i="834"/>
  <c r="AC103" i="834" s="1"/>
  <c r="AE103" i="834" s="1"/>
  <c r="AH103" i="834" s="1"/>
  <c r="AB101" i="834"/>
  <c r="AC101" i="834" s="1"/>
  <c r="AE101" i="834" s="1"/>
  <c r="AB90" i="834"/>
  <c r="AC90" i="834" s="1"/>
  <c r="AE90" i="834" s="1"/>
  <c r="AJ90" i="834" s="1"/>
  <c r="AB77" i="834"/>
  <c r="AC77" i="834" s="1"/>
  <c r="AE77" i="834" s="1"/>
  <c r="AH77" i="834" s="1"/>
  <c r="AB47" i="834"/>
  <c r="AC47" i="834" s="1"/>
  <c r="AE47" i="834" s="1"/>
  <c r="AB44" i="834"/>
  <c r="AC44" i="834" s="1"/>
  <c r="AE44" i="834" s="1"/>
  <c r="AJ44" i="834" s="1"/>
  <c r="AB100" i="834"/>
  <c r="AC100" i="834" s="1"/>
  <c r="AE100" i="834" s="1"/>
  <c r="AJ100" i="834" s="1"/>
  <c r="AB87" i="834"/>
  <c r="AC87" i="834" s="1"/>
  <c r="AE87" i="834" s="1"/>
  <c r="AJ87" i="834" s="1"/>
  <c r="AB19" i="834"/>
  <c r="AC19" i="834" s="1"/>
  <c r="AE19" i="834" s="1"/>
  <c r="AH19" i="834" s="1"/>
  <c r="AB134" i="834"/>
  <c r="AC134" i="834" s="1"/>
  <c r="AE134" i="834" s="1"/>
  <c r="AB7" i="834"/>
  <c r="AC7" i="834" s="1"/>
  <c r="AE7" i="834" s="1"/>
  <c r="AJ7" i="834" s="1"/>
  <c r="AB63" i="834"/>
  <c r="AC63" i="834" s="1"/>
  <c r="AE63" i="834" s="1"/>
  <c r="AJ63" i="834" s="1"/>
  <c r="AB120" i="834"/>
  <c r="AC120" i="834" s="1"/>
  <c r="AE120" i="834" s="1"/>
  <c r="AH120" i="834" s="1"/>
  <c r="AB33" i="834"/>
  <c r="AC33" i="834" s="1"/>
  <c r="AE33" i="834" s="1"/>
  <c r="AH33" i="834" s="1"/>
  <c r="AB40" i="834"/>
  <c r="AC40" i="834" s="1"/>
  <c r="AE40" i="834" s="1"/>
  <c r="AJ40" i="834" s="1"/>
  <c r="AB111" i="834"/>
  <c r="AC111" i="834" s="1"/>
  <c r="AE111" i="834" s="1"/>
  <c r="AJ111" i="834" s="1"/>
  <c r="AB73" i="834"/>
  <c r="AC73" i="834" s="1"/>
  <c r="AE73" i="834" s="1"/>
  <c r="AJ73" i="834" s="1"/>
  <c r="AB60" i="834"/>
  <c r="AC60" i="834" s="1"/>
  <c r="AE60" i="834" s="1"/>
  <c r="AJ60" i="834" s="1"/>
  <c r="AB114" i="834"/>
  <c r="AC114" i="834" s="1"/>
  <c r="AE114" i="834" s="1"/>
  <c r="AJ114" i="834" s="1"/>
  <c r="AB83" i="834"/>
  <c r="AC83" i="834" s="1"/>
  <c r="AE83" i="834" s="1"/>
  <c r="AJ83" i="834" s="1"/>
  <c r="AB81" i="834"/>
  <c r="AC81" i="834" s="1"/>
  <c r="AE81" i="834" s="1"/>
  <c r="AH81" i="834" s="1"/>
  <c r="AB70" i="834"/>
  <c r="AC70" i="834" s="1"/>
  <c r="AE70" i="834" s="1"/>
  <c r="AH70" i="834" s="1"/>
  <c r="AB61" i="834"/>
  <c r="AC61" i="834" s="1"/>
  <c r="AE61" i="834" s="1"/>
  <c r="AH61" i="834" s="1"/>
  <c r="AB57" i="834"/>
  <c r="AC57" i="834" s="1"/>
  <c r="AE57" i="834" s="1"/>
  <c r="AH57" i="834" s="1"/>
  <c r="AB31" i="834"/>
  <c r="AC31" i="834" s="1"/>
  <c r="AE31" i="834" s="1"/>
  <c r="AJ31" i="834" s="1"/>
  <c r="AB113" i="834"/>
  <c r="AC113" i="834" s="1"/>
  <c r="AE113" i="834" s="1"/>
  <c r="AH113" i="834" s="1"/>
  <c r="AB93" i="834"/>
  <c r="AC93" i="834" s="1"/>
  <c r="AE93" i="834" s="1"/>
  <c r="AH93" i="834" s="1"/>
  <c r="AB67" i="834"/>
  <c r="AC67" i="834" s="1"/>
  <c r="AE67" i="834" s="1"/>
  <c r="AH67" i="834" s="1"/>
  <c r="AB94" i="834"/>
  <c r="AC94" i="834" s="1"/>
  <c r="AE94" i="834" s="1"/>
  <c r="AH94" i="834" s="1"/>
  <c r="AB133" i="834"/>
  <c r="AC133" i="834" s="1"/>
  <c r="AE133" i="834" s="1"/>
  <c r="AJ133" i="834" s="1"/>
  <c r="AB9" i="834"/>
  <c r="AC9" i="834" s="1"/>
  <c r="AE9" i="834" s="1"/>
  <c r="AJ9" i="834" s="1"/>
  <c r="AB91" i="834"/>
  <c r="AC91" i="834" s="1"/>
  <c r="AE91" i="834" s="1"/>
  <c r="AH91" i="834" s="1"/>
  <c r="AB71" i="834"/>
  <c r="AC71" i="834" s="1"/>
  <c r="AE71" i="834" s="1"/>
  <c r="AH71" i="834" s="1"/>
  <c r="AB127" i="834"/>
  <c r="AC127" i="834" s="1"/>
  <c r="AE127" i="834" s="1"/>
  <c r="AJ127" i="834" s="1"/>
  <c r="AB107" i="834"/>
  <c r="AC107" i="834" s="1"/>
  <c r="AE107" i="834" s="1"/>
  <c r="AJ107" i="834" s="1"/>
  <c r="AB50" i="834"/>
  <c r="AC50" i="834" s="1"/>
  <c r="AE50" i="834" s="1"/>
  <c r="AH50" i="834" s="1"/>
  <c r="AB124" i="834"/>
  <c r="AC124" i="834" s="1"/>
  <c r="AE124" i="834" s="1"/>
  <c r="AH124" i="834" s="1"/>
  <c r="AB80" i="834"/>
  <c r="AC80" i="834" s="1"/>
  <c r="AE80" i="834" s="1"/>
  <c r="AH80" i="834" s="1"/>
  <c r="AB104" i="834"/>
  <c r="AC104" i="834" s="1"/>
  <c r="AE104" i="834" s="1"/>
  <c r="AJ104" i="834" s="1"/>
  <c r="AB130" i="834"/>
  <c r="AC130" i="834" s="1"/>
  <c r="AE130" i="834" s="1"/>
  <c r="AH130" i="834" s="1"/>
  <c r="AB74" i="834"/>
  <c r="AC74" i="834" s="1"/>
  <c r="AE74" i="834" s="1"/>
  <c r="AJ74" i="834" s="1"/>
  <c r="AB42" i="834"/>
  <c r="AC42" i="834" s="1"/>
  <c r="AE42" i="834" s="1"/>
  <c r="AH42" i="834" s="1"/>
  <c r="AB131" i="834"/>
  <c r="AC131" i="834" s="1"/>
  <c r="AE131" i="834" s="1"/>
  <c r="AJ131" i="834" s="1"/>
  <c r="AB54" i="834"/>
  <c r="AC54" i="834" s="1"/>
  <c r="AE54" i="834" s="1"/>
  <c r="AH54" i="834" s="1"/>
  <c r="AB84" i="834"/>
  <c r="AC84" i="834" s="1"/>
  <c r="AE84" i="834" s="1"/>
  <c r="AH84" i="834" s="1"/>
  <c r="AB21" i="834"/>
  <c r="AC21" i="834" s="1"/>
  <c r="AE21" i="834" s="1"/>
  <c r="AJ21" i="834" s="1"/>
  <c r="AB123" i="834"/>
  <c r="AC123" i="834" s="1"/>
  <c r="AE123" i="834" s="1"/>
  <c r="AJ123" i="834" s="1"/>
  <c r="AB121" i="834"/>
  <c r="AC121" i="834" s="1"/>
  <c r="AE121" i="834" s="1"/>
  <c r="AB110" i="834"/>
  <c r="AC110" i="834" s="1"/>
  <c r="AE110" i="834" s="1"/>
  <c r="AJ110" i="834" s="1"/>
  <c r="AB97" i="834"/>
  <c r="AC97" i="834" s="1"/>
  <c r="AE97" i="834" s="1"/>
  <c r="AJ97" i="834" s="1"/>
  <c r="AB41" i="834"/>
  <c r="AC41" i="834" s="1"/>
  <c r="AE41" i="834" s="1"/>
  <c r="AB25" i="834"/>
  <c r="AC25" i="834" s="1"/>
  <c r="AE25" i="834" s="1"/>
  <c r="AH25" i="834" s="1"/>
  <c r="AB117" i="834"/>
  <c r="AC117" i="834" s="1"/>
  <c r="AE117" i="834" s="1"/>
  <c r="AJ117" i="834" s="1"/>
  <c r="AJ43" i="834"/>
  <c r="AH43" i="834"/>
  <c r="AH111" i="834"/>
  <c r="AJ85" i="834"/>
  <c r="AH75" i="834"/>
  <c r="AJ129" i="834"/>
  <c r="AH129" i="834"/>
  <c r="AJ75" i="834"/>
  <c r="AI1" i="833"/>
  <c r="AS2" i="833" s="1"/>
  <c r="I2" i="833"/>
  <c r="AA2" i="833"/>
  <c r="AD2" i="833"/>
  <c r="N5" i="833"/>
  <c r="U5" i="833"/>
  <c r="V5" i="833"/>
  <c r="AB5" i="833"/>
  <c r="AC5" i="833"/>
  <c r="AE5" i="833" s="1"/>
  <c r="AF5" i="833"/>
  <c r="AN5" i="833"/>
  <c r="AO5" i="833"/>
  <c r="AW5" i="833"/>
  <c r="AX5" i="833"/>
  <c r="N6" i="833"/>
  <c r="N7" i="833"/>
  <c r="U7" i="833"/>
  <c r="V7" i="833"/>
  <c r="AB7" i="833"/>
  <c r="AC7" i="833" s="1"/>
  <c r="AE7" i="833" s="1"/>
  <c r="AF7" i="833"/>
  <c r="AH7" i="833"/>
  <c r="AJ7" i="833"/>
  <c r="AN7" i="833"/>
  <c r="AO7" i="833"/>
  <c r="AW7" i="833"/>
  <c r="AX7" i="833"/>
  <c r="N8" i="833"/>
  <c r="N9" i="833"/>
  <c r="U9" i="833"/>
  <c r="V9" i="833"/>
  <c r="AB9" i="833"/>
  <c r="AC9" i="833"/>
  <c r="AE9" i="833" s="1"/>
  <c r="AF9" i="833"/>
  <c r="AN9" i="833"/>
  <c r="AO9" i="833"/>
  <c r="AW9" i="833"/>
  <c r="AX9" i="833"/>
  <c r="N10" i="833"/>
  <c r="N11" i="833"/>
  <c r="U11" i="833"/>
  <c r="V11" i="833" s="1"/>
  <c r="AB11" i="833"/>
  <c r="AC11" i="833"/>
  <c r="AE11" i="833"/>
  <c r="AH11" i="833"/>
  <c r="AJ11" i="833"/>
  <c r="AN11" i="833"/>
  <c r="AO11" i="833"/>
  <c r="AW11" i="833"/>
  <c r="AX11" i="833"/>
  <c r="N12" i="833"/>
  <c r="U12" i="833"/>
  <c r="V12" i="833"/>
  <c r="AN12" i="833"/>
  <c r="AO12" i="833" s="1"/>
  <c r="AW12" i="833"/>
  <c r="AX12" i="833"/>
  <c r="N13" i="833"/>
  <c r="U13" i="833"/>
  <c r="V13" i="833"/>
  <c r="AN13" i="833"/>
  <c r="AO13" i="833"/>
  <c r="AW13" i="833"/>
  <c r="AX13" i="833"/>
  <c r="N14" i="833"/>
  <c r="U14" i="833"/>
  <c r="V14" i="833"/>
  <c r="AB14" i="833"/>
  <c r="AC14" i="833" s="1"/>
  <c r="AE14" i="833" s="1"/>
  <c r="AN14" i="833"/>
  <c r="AO14" i="833" s="1"/>
  <c r="AW14" i="833"/>
  <c r="AX14" i="833"/>
  <c r="N15" i="833"/>
  <c r="U15" i="833"/>
  <c r="V15" i="833"/>
  <c r="AB15" i="833"/>
  <c r="AC15" i="833" s="1"/>
  <c r="AE15" i="833" s="1"/>
  <c r="AJ15" i="833"/>
  <c r="AN15" i="833"/>
  <c r="AO15" i="833" s="1"/>
  <c r="AW15" i="833"/>
  <c r="AX15" i="833"/>
  <c r="N16" i="833"/>
  <c r="U16" i="833"/>
  <c r="V16" i="833" s="1"/>
  <c r="AN16" i="833"/>
  <c r="AO16" i="833"/>
  <c r="AW16" i="833"/>
  <c r="AX16" i="833"/>
  <c r="N17" i="833"/>
  <c r="U17" i="833"/>
  <c r="V17" i="833"/>
  <c r="AB17" i="833"/>
  <c r="AC17" i="833"/>
  <c r="AE17" i="833" s="1"/>
  <c r="AN17" i="833"/>
  <c r="AO17" i="833"/>
  <c r="AW17" i="833"/>
  <c r="AX17" i="833"/>
  <c r="N18" i="833"/>
  <c r="U18" i="833"/>
  <c r="V18" i="833"/>
  <c r="AB18" i="833"/>
  <c r="AC18" i="833"/>
  <c r="AE18" i="833" s="1"/>
  <c r="AN18" i="833"/>
  <c r="AO18" i="833" s="1"/>
  <c r="AW18" i="833"/>
  <c r="AX18" i="833"/>
  <c r="N19" i="833"/>
  <c r="U19" i="833"/>
  <c r="V19" i="833"/>
  <c r="AB19" i="833"/>
  <c r="AC19" i="833"/>
  <c r="AE19" i="833" s="1"/>
  <c r="AH19" i="833"/>
  <c r="AL19" i="833" s="1"/>
  <c r="AJ19" i="833"/>
  <c r="AK19" i="833"/>
  <c r="AN19" i="833"/>
  <c r="AO19" i="833"/>
  <c r="AW19" i="833"/>
  <c r="AX19" i="833"/>
  <c r="N20" i="833"/>
  <c r="U20" i="833"/>
  <c r="V20" i="833"/>
  <c r="AN20" i="833"/>
  <c r="AO20" i="833" s="1"/>
  <c r="AW20" i="833"/>
  <c r="AX20" i="833"/>
  <c r="N21" i="833"/>
  <c r="U21" i="833"/>
  <c r="V21" i="833"/>
  <c r="AB21" i="833"/>
  <c r="AC21" i="833"/>
  <c r="AE21" i="833"/>
  <c r="AH21" i="833"/>
  <c r="AJ21" i="833"/>
  <c r="AN21" i="833"/>
  <c r="AO21" i="833"/>
  <c r="AW21" i="833"/>
  <c r="AX21" i="833"/>
  <c r="N22" i="833"/>
  <c r="U22" i="833"/>
  <c r="V22" i="833"/>
  <c r="AN22" i="833"/>
  <c r="AO22" i="833"/>
  <c r="AW22" i="833"/>
  <c r="AX22" i="833"/>
  <c r="N23" i="833"/>
  <c r="U23" i="833"/>
  <c r="V23" i="833"/>
  <c r="AN23" i="833"/>
  <c r="AO23" i="833" s="1"/>
  <c r="AW23" i="833"/>
  <c r="AX23" i="833"/>
  <c r="N24" i="833"/>
  <c r="U24" i="833"/>
  <c r="V24" i="833"/>
  <c r="AJ24" i="833" s="1"/>
  <c r="AB24" i="833"/>
  <c r="AC24" i="833"/>
  <c r="AE24" i="833"/>
  <c r="AN24" i="833"/>
  <c r="AO24" i="833" s="1"/>
  <c r="AW24" i="833"/>
  <c r="AX24" i="833"/>
  <c r="N25" i="833"/>
  <c r="U25" i="833"/>
  <c r="V25" i="833"/>
  <c r="AB25" i="833"/>
  <c r="AC25" i="833"/>
  <c r="AE25" i="833"/>
  <c r="AN25" i="833"/>
  <c r="AO25" i="833"/>
  <c r="AW25" i="833"/>
  <c r="AX25" i="833"/>
  <c r="N26" i="833"/>
  <c r="U26" i="833"/>
  <c r="V26" i="833" s="1"/>
  <c r="AN26" i="833"/>
  <c r="AO26" i="833"/>
  <c r="AW26" i="833"/>
  <c r="AX26" i="833"/>
  <c r="N27" i="833"/>
  <c r="U27" i="833"/>
  <c r="V27" i="833"/>
  <c r="AB27" i="833"/>
  <c r="AC27" i="833"/>
  <c r="AE27" i="833" s="1"/>
  <c r="AN27" i="833"/>
  <c r="AO27" i="833"/>
  <c r="AW27" i="833"/>
  <c r="AX27" i="833"/>
  <c r="N28" i="833"/>
  <c r="U28" i="833"/>
  <c r="V28" i="833"/>
  <c r="AB28" i="833"/>
  <c r="AC28" i="833"/>
  <c r="AE28" i="833"/>
  <c r="AJ28" i="833" s="1"/>
  <c r="AH28" i="833"/>
  <c r="AK28" i="833" s="1"/>
  <c r="AN28" i="833"/>
  <c r="AO28" i="833" s="1"/>
  <c r="AW28" i="833"/>
  <c r="AX28" i="833"/>
  <c r="N29" i="833"/>
  <c r="U29" i="833"/>
  <c r="V29" i="833"/>
  <c r="AB29" i="833"/>
  <c r="AC29" i="833"/>
  <c r="AE29" i="833" s="1"/>
  <c r="AH29" i="833"/>
  <c r="AJ29" i="833"/>
  <c r="AN29" i="833"/>
  <c r="AO29" i="833"/>
  <c r="AW29" i="833"/>
  <c r="AX29" i="833"/>
  <c r="N30" i="833"/>
  <c r="U30" i="833"/>
  <c r="V30" i="833"/>
  <c r="AN30" i="833"/>
  <c r="AO30" i="833" s="1"/>
  <c r="AW30" i="833"/>
  <c r="AX30" i="833"/>
  <c r="N31" i="833"/>
  <c r="U31" i="833"/>
  <c r="V31" i="833"/>
  <c r="AB31" i="833"/>
  <c r="AC31" i="833"/>
  <c r="AE31" i="833"/>
  <c r="AH31" i="833"/>
  <c r="AN31" i="833"/>
  <c r="AO31" i="833"/>
  <c r="AW31" i="833"/>
  <c r="AX31" i="833"/>
  <c r="N32" i="833"/>
  <c r="U32" i="833"/>
  <c r="V32" i="833"/>
  <c r="AN32" i="833"/>
  <c r="AO32" i="833"/>
  <c r="AW32" i="833"/>
  <c r="AX32" i="833"/>
  <c r="N33" i="833"/>
  <c r="U33" i="833"/>
  <c r="V33" i="833"/>
  <c r="AN33" i="833"/>
  <c r="AO33" i="833"/>
  <c r="AW33" i="833"/>
  <c r="AX33" i="833"/>
  <c r="N34" i="833"/>
  <c r="U34" i="833"/>
  <c r="V34" i="833" s="1"/>
  <c r="AB34" i="833"/>
  <c r="AC34" i="833"/>
  <c r="AE34" i="833"/>
  <c r="AN34" i="833"/>
  <c r="AO34" i="833" s="1"/>
  <c r="AW34" i="833"/>
  <c r="AX34" i="833"/>
  <c r="N35" i="833"/>
  <c r="U35" i="833"/>
  <c r="V35" i="833"/>
  <c r="AB35" i="833"/>
  <c r="AC35" i="833"/>
  <c r="AE35" i="833"/>
  <c r="AH35" i="833"/>
  <c r="AJ35" i="833"/>
  <c r="AK35" i="833"/>
  <c r="AL35" i="833"/>
  <c r="AN35" i="833"/>
  <c r="AO35" i="833"/>
  <c r="AW35" i="833"/>
  <c r="AX35" i="833"/>
  <c r="N36" i="833"/>
  <c r="U36" i="833"/>
  <c r="V36" i="833" s="1"/>
  <c r="AN36" i="833"/>
  <c r="AO36" i="833"/>
  <c r="AW36" i="833"/>
  <c r="AX36" i="833"/>
  <c r="N37" i="833"/>
  <c r="U37" i="833"/>
  <c r="V37" i="833"/>
  <c r="AB37" i="833"/>
  <c r="AC37" i="833"/>
  <c r="AE37" i="833" s="1"/>
  <c r="AJ37" i="833"/>
  <c r="AN37" i="833"/>
  <c r="AO37" i="833"/>
  <c r="AW37" i="833"/>
  <c r="AX37" i="833"/>
  <c r="N38" i="833"/>
  <c r="U38" i="833"/>
  <c r="V38" i="833" s="1"/>
  <c r="AB38" i="833"/>
  <c r="AC38" i="833"/>
  <c r="AE38" i="833"/>
  <c r="AH38" i="833"/>
  <c r="AJ38" i="833"/>
  <c r="AN38" i="833"/>
  <c r="AO38" i="833" s="1"/>
  <c r="AW38" i="833"/>
  <c r="AX38" i="833"/>
  <c r="N39" i="833"/>
  <c r="U39" i="833"/>
  <c r="V39" i="833"/>
  <c r="AB39" i="833"/>
  <c r="AC39" i="833"/>
  <c r="AE39" i="833" s="1"/>
  <c r="AN39" i="833"/>
  <c r="AO39" i="833"/>
  <c r="AW39" i="833"/>
  <c r="AX39" i="833"/>
  <c r="N40" i="833"/>
  <c r="U40" i="833"/>
  <c r="V40" i="833" s="1"/>
  <c r="AN40" i="833"/>
  <c r="AO40" i="833" s="1"/>
  <c r="AW40" i="833"/>
  <c r="AX40" i="833"/>
  <c r="N41" i="833"/>
  <c r="U41" i="833"/>
  <c r="V41" i="833"/>
  <c r="AB41" i="833"/>
  <c r="AC41" i="833" s="1"/>
  <c r="AE41" i="833" s="1"/>
  <c r="AN41" i="833"/>
  <c r="AO41" i="833"/>
  <c r="AW41" i="833"/>
  <c r="AX41" i="833"/>
  <c r="N42" i="833"/>
  <c r="U42" i="833"/>
  <c r="V42" i="833"/>
  <c r="AN42" i="833"/>
  <c r="AO42" i="833"/>
  <c r="AW42" i="833"/>
  <c r="AX42" i="833"/>
  <c r="N43" i="833"/>
  <c r="U43" i="833"/>
  <c r="V43" i="833"/>
  <c r="AB43" i="833"/>
  <c r="AC43" i="833" s="1"/>
  <c r="AE43" i="833" s="1"/>
  <c r="AH43" i="833" s="1"/>
  <c r="AL43" i="833" s="1"/>
  <c r="AJ43" i="833"/>
  <c r="AK43" i="833"/>
  <c r="AN43" i="833"/>
  <c r="AO43" i="833" s="1"/>
  <c r="AW43" i="833"/>
  <c r="AX43" i="833"/>
  <c r="N44" i="833"/>
  <c r="U44" i="833"/>
  <c r="V44" i="833"/>
  <c r="AB44" i="833"/>
  <c r="AC44" i="833"/>
  <c r="AE44" i="833"/>
  <c r="AH44" i="833"/>
  <c r="AK44" i="833" s="1"/>
  <c r="AL44" i="833"/>
  <c r="AN44" i="833"/>
  <c r="AO44" i="833" s="1"/>
  <c r="AW44" i="833"/>
  <c r="AX44" i="833"/>
  <c r="N45" i="833"/>
  <c r="U45" i="833"/>
  <c r="V45" i="833"/>
  <c r="AB45" i="833"/>
  <c r="AC45" i="833"/>
  <c r="AE45" i="833"/>
  <c r="AH45" i="833" s="1"/>
  <c r="AN45" i="833"/>
  <c r="AO45" i="833"/>
  <c r="AW45" i="833"/>
  <c r="AX45" i="833"/>
  <c r="N46" i="833"/>
  <c r="U46" i="833"/>
  <c r="V46" i="833" s="1"/>
  <c r="AN46" i="833"/>
  <c r="AO46" i="833"/>
  <c r="AW46" i="833"/>
  <c r="AX46" i="833"/>
  <c r="N47" i="833"/>
  <c r="U47" i="833"/>
  <c r="V47" i="833"/>
  <c r="AB47" i="833"/>
  <c r="AC47" i="833"/>
  <c r="AE47" i="833" s="1"/>
  <c r="AN47" i="833"/>
  <c r="AO47" i="833"/>
  <c r="AW47" i="833"/>
  <c r="AX47" i="833"/>
  <c r="N48" i="833"/>
  <c r="U48" i="833"/>
  <c r="V48" i="833"/>
  <c r="AB48" i="833"/>
  <c r="AC48" i="833"/>
  <c r="AE48" i="833"/>
  <c r="AN48" i="833"/>
  <c r="AO48" i="833" s="1"/>
  <c r="AW48" i="833"/>
  <c r="AX48" i="833"/>
  <c r="N49" i="833"/>
  <c r="U49" i="833"/>
  <c r="V49" i="833"/>
  <c r="AB49" i="833"/>
  <c r="AC49" i="833"/>
  <c r="AE49" i="833" s="1"/>
  <c r="AH49" i="833"/>
  <c r="AJ49" i="833"/>
  <c r="AK49" i="833"/>
  <c r="AL49" i="833"/>
  <c r="AN49" i="833"/>
  <c r="AO49" i="833" s="1"/>
  <c r="AW49" i="833"/>
  <c r="AX49" i="833"/>
  <c r="N50" i="833"/>
  <c r="U50" i="833"/>
  <c r="V50" i="833"/>
  <c r="AN50" i="833"/>
  <c r="AO50" i="833" s="1"/>
  <c r="AW50" i="833"/>
  <c r="AX50" i="833"/>
  <c r="N51" i="833"/>
  <c r="U51" i="833"/>
  <c r="V51" i="833"/>
  <c r="AB51" i="833"/>
  <c r="AC51" i="833"/>
  <c r="AE51" i="833"/>
  <c r="AH51" i="833"/>
  <c r="AL51" i="833" s="1"/>
  <c r="AJ51" i="833"/>
  <c r="AK51" i="833"/>
  <c r="AN51" i="833"/>
  <c r="AO51" i="833"/>
  <c r="AW51" i="833"/>
  <c r="AX51" i="833"/>
  <c r="N52" i="833"/>
  <c r="U52" i="833"/>
  <c r="V52" i="833"/>
  <c r="AN52" i="833"/>
  <c r="AO52" i="833"/>
  <c r="AW52" i="833"/>
  <c r="AX52" i="833"/>
  <c r="N53" i="833"/>
  <c r="U53" i="833"/>
  <c r="V53" i="833"/>
  <c r="AB53" i="833"/>
  <c r="AC53" i="833" s="1"/>
  <c r="AE53" i="833" s="1"/>
  <c r="AH53" i="833" s="1"/>
  <c r="AL53" i="833" s="1"/>
  <c r="AJ53" i="833"/>
  <c r="AK53" i="833"/>
  <c r="AN53" i="833"/>
  <c r="AO53" i="833"/>
  <c r="AW53" i="833"/>
  <c r="AX53" i="833"/>
  <c r="N54" i="833"/>
  <c r="U54" i="833"/>
  <c r="V54" i="833"/>
  <c r="AJ54" i="833" s="1"/>
  <c r="AB54" i="833"/>
  <c r="AC54" i="833"/>
  <c r="AE54" i="833"/>
  <c r="AH54" i="833"/>
  <c r="AK54" i="833" s="1"/>
  <c r="AL54" i="833"/>
  <c r="AN54" i="833"/>
  <c r="AO54" i="833" s="1"/>
  <c r="AW54" i="833"/>
  <c r="AX54" i="833"/>
  <c r="N55" i="833"/>
  <c r="U55" i="833"/>
  <c r="V55" i="833"/>
  <c r="AB55" i="833"/>
  <c r="AC55" i="833"/>
  <c r="AE55" i="833"/>
  <c r="AH55" i="833"/>
  <c r="AJ55" i="833"/>
  <c r="AK55" i="833"/>
  <c r="AL55" i="833"/>
  <c r="AN55" i="833"/>
  <c r="AO55" i="833"/>
  <c r="AW55" i="833"/>
  <c r="AX55" i="833"/>
  <c r="N56" i="833"/>
  <c r="U56" i="833"/>
  <c r="V56" i="833" s="1"/>
  <c r="AN56" i="833"/>
  <c r="AO56" i="833"/>
  <c r="AW56" i="833"/>
  <c r="AX56" i="833"/>
  <c r="N57" i="833"/>
  <c r="U57" i="833"/>
  <c r="V57" i="833"/>
  <c r="AB57" i="833"/>
  <c r="AC57" i="833"/>
  <c r="AE57" i="833" s="1"/>
  <c r="AJ57" i="833"/>
  <c r="AN57" i="833"/>
  <c r="AO57" i="833"/>
  <c r="AW57" i="833"/>
  <c r="AX57" i="833"/>
  <c r="N58" i="833"/>
  <c r="U58" i="833"/>
  <c r="V58" i="833"/>
  <c r="AB58" i="833"/>
  <c r="AC58" i="833"/>
  <c r="AE58" i="833"/>
  <c r="AH58" i="833"/>
  <c r="AJ58" i="833"/>
  <c r="AN58" i="833"/>
  <c r="AO58" i="833" s="1"/>
  <c r="AW58" i="833"/>
  <c r="AX58" i="833"/>
  <c r="N59" i="833"/>
  <c r="U59" i="833"/>
  <c r="V59" i="833"/>
  <c r="AB59" i="833"/>
  <c r="AC59" i="833" s="1"/>
  <c r="AE59" i="833" s="1"/>
  <c r="AN59" i="833"/>
  <c r="AO59" i="833"/>
  <c r="AW59" i="833"/>
  <c r="AX59" i="833"/>
  <c r="N60" i="833"/>
  <c r="U60" i="833"/>
  <c r="V60" i="833" s="1"/>
  <c r="AN60" i="833"/>
  <c r="AO60" i="833" s="1"/>
  <c r="AW60" i="833"/>
  <c r="AX60" i="833"/>
  <c r="N61" i="833"/>
  <c r="U61" i="833"/>
  <c r="V61" i="833"/>
  <c r="AB61" i="833"/>
  <c r="AC61" i="833" s="1"/>
  <c r="AE61" i="833" s="1"/>
  <c r="AJ61" i="833"/>
  <c r="AN61" i="833"/>
  <c r="AO61" i="833"/>
  <c r="AW61" i="833"/>
  <c r="AX61" i="833"/>
  <c r="N62" i="833"/>
  <c r="U62" i="833"/>
  <c r="V62" i="833"/>
  <c r="AN62" i="833"/>
  <c r="AO62" i="833"/>
  <c r="AW62" i="833"/>
  <c r="AX62" i="833"/>
  <c r="N63" i="833"/>
  <c r="U63" i="833"/>
  <c r="V63" i="833"/>
  <c r="AB63" i="833"/>
  <c r="AC63" i="833" s="1"/>
  <c r="AE63" i="833" s="1"/>
  <c r="AH63" i="833" s="1"/>
  <c r="AL63" i="833" s="1"/>
  <c r="AJ63" i="833"/>
  <c r="AK63" i="833"/>
  <c r="AN63" i="833"/>
  <c r="AO63" i="833"/>
  <c r="AW63" i="833"/>
  <c r="AX63" i="833"/>
  <c r="N64" i="833"/>
  <c r="U64" i="833"/>
  <c r="V64" i="833" s="1"/>
  <c r="AJ64" i="833" s="1"/>
  <c r="AB64" i="833"/>
  <c r="AC64" i="833"/>
  <c r="AE64" i="833"/>
  <c r="AN64" i="833"/>
  <c r="AO64" i="833" s="1"/>
  <c r="AW64" i="833"/>
  <c r="AX64" i="833"/>
  <c r="N65" i="833"/>
  <c r="U65" i="833"/>
  <c r="V65" i="833"/>
  <c r="AB65" i="833"/>
  <c r="AC65" i="833"/>
  <c r="AE65" i="833"/>
  <c r="AH65" i="833"/>
  <c r="AN65" i="833"/>
  <c r="AO65" i="833"/>
  <c r="AW65" i="833"/>
  <c r="AX65" i="833"/>
  <c r="N66" i="833"/>
  <c r="U66" i="833"/>
  <c r="V66" i="833" s="1"/>
  <c r="AN66" i="833"/>
  <c r="AO66" i="833"/>
  <c r="AW66" i="833"/>
  <c r="AX66" i="833"/>
  <c r="N67" i="833"/>
  <c r="U67" i="833"/>
  <c r="V67" i="833"/>
  <c r="AB67" i="833"/>
  <c r="AC67" i="833"/>
  <c r="AE67" i="833" s="1"/>
  <c r="AN67" i="833"/>
  <c r="AO67" i="833"/>
  <c r="AW67" i="833"/>
  <c r="AX67" i="833"/>
  <c r="N68" i="833"/>
  <c r="U68" i="833"/>
  <c r="V68" i="833"/>
  <c r="AH68" i="833" s="1"/>
  <c r="AB68" i="833"/>
  <c r="AC68" i="833"/>
  <c r="AE68" i="833"/>
  <c r="AN68" i="833"/>
  <c r="AO68" i="833" s="1"/>
  <c r="AW68" i="833"/>
  <c r="AX68" i="833"/>
  <c r="N69" i="833"/>
  <c r="U69" i="833"/>
  <c r="V69" i="833"/>
  <c r="AB69" i="833"/>
  <c r="AC69" i="833"/>
  <c r="AE69" i="833" s="1"/>
  <c r="AH69" i="833"/>
  <c r="AJ69" i="833"/>
  <c r="AK69" i="833"/>
  <c r="AL69" i="833"/>
  <c r="AN69" i="833"/>
  <c r="AO69" i="833" s="1"/>
  <c r="AW69" i="833"/>
  <c r="AX69" i="833"/>
  <c r="N70" i="833"/>
  <c r="U70" i="833"/>
  <c r="V70" i="833"/>
  <c r="AN70" i="833"/>
  <c r="AO70" i="833" s="1"/>
  <c r="AW70" i="833"/>
  <c r="AX70" i="833"/>
  <c r="N71" i="833"/>
  <c r="U71" i="833"/>
  <c r="V71" i="833"/>
  <c r="AB71" i="833"/>
  <c r="AC71" i="833"/>
  <c r="AE71" i="833"/>
  <c r="AH71" i="833"/>
  <c r="AL71" i="833" s="1"/>
  <c r="AJ71" i="833"/>
  <c r="AK71" i="833"/>
  <c r="AN71" i="833"/>
  <c r="AO71" i="833"/>
  <c r="AW71" i="833"/>
  <c r="AX71" i="833"/>
  <c r="N72" i="833"/>
  <c r="U72" i="833"/>
  <c r="V72" i="833"/>
  <c r="AN72" i="833"/>
  <c r="AO72" i="833" s="1"/>
  <c r="AW72" i="833"/>
  <c r="AX72" i="833"/>
  <c r="N73" i="833"/>
  <c r="U73" i="833"/>
  <c r="V73" i="833"/>
  <c r="AB73" i="833"/>
  <c r="AC73" i="833" s="1"/>
  <c r="AE73" i="833" s="1"/>
  <c r="AH73" i="833" s="1"/>
  <c r="AL73" i="833" s="1"/>
  <c r="AJ73" i="833"/>
  <c r="AK73" i="833"/>
  <c r="AN73" i="833"/>
  <c r="AO73" i="833"/>
  <c r="AW73" i="833"/>
  <c r="AX73" i="833"/>
  <c r="N74" i="833"/>
  <c r="U74" i="833"/>
  <c r="V74" i="833"/>
  <c r="AB74" i="833"/>
  <c r="AC74" i="833"/>
  <c r="AE74" i="833"/>
  <c r="AN74" i="833"/>
  <c r="AO74" i="833" s="1"/>
  <c r="AW74" i="833"/>
  <c r="AX74" i="833"/>
  <c r="N75" i="833"/>
  <c r="U75" i="833"/>
  <c r="V75" i="833"/>
  <c r="AB75" i="833"/>
  <c r="AC75" i="833"/>
  <c r="AE75" i="833"/>
  <c r="AH75" i="833"/>
  <c r="AJ75" i="833"/>
  <c r="AK75" i="833"/>
  <c r="AL75" i="833"/>
  <c r="AN75" i="833"/>
  <c r="AO75" i="833" s="1"/>
  <c r="AW75" i="833"/>
  <c r="AX75" i="833"/>
  <c r="N76" i="833"/>
  <c r="U76" i="833"/>
  <c r="V76" i="833" s="1"/>
  <c r="AN76" i="833"/>
  <c r="AO76" i="833" s="1"/>
  <c r="AW76" i="833"/>
  <c r="AX76" i="833"/>
  <c r="N77" i="833"/>
  <c r="U77" i="833"/>
  <c r="V77" i="833"/>
  <c r="AB77" i="833"/>
  <c r="AC77" i="833"/>
  <c r="AE77" i="833" s="1"/>
  <c r="AJ77" i="833"/>
  <c r="AN77" i="833"/>
  <c r="AO77" i="833" s="1"/>
  <c r="AW77" i="833"/>
  <c r="AX77" i="833"/>
  <c r="N78" i="833"/>
  <c r="U78" i="833"/>
  <c r="V78" i="833"/>
  <c r="AB78" i="833"/>
  <c r="AC78" i="833"/>
  <c r="AE78" i="833"/>
  <c r="AH78" i="833"/>
  <c r="AN78" i="833"/>
  <c r="AO78" i="833" s="1"/>
  <c r="AW78" i="833"/>
  <c r="AX78" i="833"/>
  <c r="N79" i="833"/>
  <c r="U79" i="833"/>
  <c r="V79" i="833"/>
  <c r="AB79" i="833"/>
  <c r="AC79" i="833" s="1"/>
  <c r="AE79" i="833" s="1"/>
  <c r="AN79" i="833"/>
  <c r="AO79" i="833"/>
  <c r="AW79" i="833"/>
  <c r="AX79" i="833"/>
  <c r="N80" i="833"/>
  <c r="U80" i="833"/>
  <c r="V80" i="833"/>
  <c r="AN80" i="833"/>
  <c r="AO80" i="833" s="1"/>
  <c r="AW80" i="833"/>
  <c r="AX80" i="833"/>
  <c r="N81" i="833"/>
  <c r="U81" i="833"/>
  <c r="V81" i="833" s="1"/>
  <c r="AB81" i="833"/>
  <c r="AC81" i="833" s="1"/>
  <c r="AE81" i="833" s="1"/>
  <c r="AN81" i="833"/>
  <c r="AO81" i="833"/>
  <c r="AW81" i="833"/>
  <c r="AX81" i="833"/>
  <c r="N82" i="833"/>
  <c r="U82" i="833"/>
  <c r="V82" i="833"/>
  <c r="AN82" i="833"/>
  <c r="AO82" i="833"/>
  <c r="AW82" i="833"/>
  <c r="AX82" i="833"/>
  <c r="N83" i="833"/>
  <c r="U83" i="833"/>
  <c r="V83" i="833"/>
  <c r="AB83" i="833"/>
  <c r="AC83" i="833" s="1"/>
  <c r="AE83" i="833" s="1"/>
  <c r="AH83" i="833"/>
  <c r="AJ83" i="833"/>
  <c r="AN83" i="833"/>
  <c r="AO83" i="833"/>
  <c r="AW83" i="833"/>
  <c r="AX83" i="833"/>
  <c r="N84" i="833"/>
  <c r="U84" i="833"/>
  <c r="V84" i="833"/>
  <c r="AB84" i="833"/>
  <c r="AC84" i="833"/>
  <c r="AE84" i="833" s="1"/>
  <c r="AN84" i="833"/>
  <c r="AO84" i="833" s="1"/>
  <c r="AW84" i="833"/>
  <c r="AX84" i="833"/>
  <c r="N85" i="833"/>
  <c r="U85" i="833"/>
  <c r="V85" i="833"/>
  <c r="AB85" i="833"/>
  <c r="AC85" i="833" s="1"/>
  <c r="AE85" i="833" s="1"/>
  <c r="AJ85" i="833"/>
  <c r="AN85" i="833"/>
  <c r="AO85" i="833"/>
  <c r="AW85" i="833"/>
  <c r="AX85" i="833"/>
  <c r="N86" i="833"/>
  <c r="U86" i="833"/>
  <c r="V86" i="833" s="1"/>
  <c r="AN86" i="833"/>
  <c r="AO86" i="833"/>
  <c r="AW86" i="833"/>
  <c r="AX86" i="833"/>
  <c r="N87" i="833"/>
  <c r="U87" i="833"/>
  <c r="V87" i="833"/>
  <c r="AB87" i="833"/>
  <c r="AC87" i="833"/>
  <c r="AE87" i="833" s="1"/>
  <c r="AJ87" i="833"/>
  <c r="AN87" i="833"/>
  <c r="AO87" i="833"/>
  <c r="AW87" i="833"/>
  <c r="AX87" i="833"/>
  <c r="N88" i="833"/>
  <c r="U88" i="833"/>
  <c r="V88" i="833"/>
  <c r="AB88" i="833"/>
  <c r="AC88" i="833"/>
  <c r="AE88" i="833"/>
  <c r="AH88" i="833"/>
  <c r="AL88" i="833" s="1"/>
  <c r="AJ88" i="833"/>
  <c r="AK88" i="833"/>
  <c r="AN88" i="833"/>
  <c r="AO88" i="833" s="1"/>
  <c r="AW88" i="833"/>
  <c r="AX88" i="833"/>
  <c r="N89" i="833"/>
  <c r="U89" i="833"/>
  <c r="V89" i="833"/>
  <c r="AB89" i="833"/>
  <c r="AC89" i="833"/>
  <c r="AE89" i="833" s="1"/>
  <c r="AH89" i="833"/>
  <c r="AN89" i="833"/>
  <c r="AO89" i="833"/>
  <c r="AW89" i="833"/>
  <c r="AX89" i="833"/>
  <c r="N90" i="833"/>
  <c r="U90" i="833"/>
  <c r="V90" i="833"/>
  <c r="AN90" i="833"/>
  <c r="AO90" i="833" s="1"/>
  <c r="AW90" i="833"/>
  <c r="AX90" i="833"/>
  <c r="N91" i="833"/>
  <c r="U91" i="833"/>
  <c r="V91" i="833"/>
  <c r="AB91" i="833"/>
  <c r="AC91" i="833" s="1"/>
  <c r="AE91" i="833" s="1"/>
  <c r="AN91" i="833"/>
  <c r="AO91" i="833"/>
  <c r="AW91" i="833"/>
  <c r="AX91" i="833"/>
  <c r="N92" i="833"/>
  <c r="U92" i="833"/>
  <c r="V92" i="833"/>
  <c r="AN92" i="833"/>
  <c r="AO92" i="833"/>
  <c r="AW92" i="833"/>
  <c r="AX92" i="833"/>
  <c r="N93" i="833"/>
  <c r="U93" i="833"/>
  <c r="V93" i="833"/>
  <c r="AB93" i="833"/>
  <c r="AC93" i="833" s="1"/>
  <c r="AE93" i="833" s="1"/>
  <c r="AH93" i="833"/>
  <c r="AL93" i="833" s="1"/>
  <c r="AJ93" i="833"/>
  <c r="AK93" i="833"/>
  <c r="AN93" i="833"/>
  <c r="AO93" i="833" s="1"/>
  <c r="AW93" i="833"/>
  <c r="AX93" i="833"/>
  <c r="N94" i="833"/>
  <c r="U94" i="833"/>
  <c r="V94" i="833"/>
  <c r="AB94" i="833"/>
  <c r="AC94" i="833"/>
  <c r="AE94" i="833"/>
  <c r="AH94" i="833"/>
  <c r="AN94" i="833"/>
  <c r="AO94" i="833" s="1"/>
  <c r="AW94" i="833"/>
  <c r="AX94" i="833"/>
  <c r="N95" i="833"/>
  <c r="U95" i="833"/>
  <c r="V95" i="833"/>
  <c r="AH95" i="833" s="1"/>
  <c r="AK95" i="833" s="1"/>
  <c r="AB95" i="833"/>
  <c r="AC95" i="833"/>
  <c r="AE95" i="833"/>
  <c r="AN95" i="833"/>
  <c r="AO95" i="833"/>
  <c r="AW95" i="833"/>
  <c r="AX95" i="833"/>
  <c r="N96" i="833"/>
  <c r="U96" i="833"/>
  <c r="V96" i="833" s="1"/>
  <c r="AN96" i="833"/>
  <c r="AO96" i="833"/>
  <c r="AW96" i="833"/>
  <c r="AX96" i="833"/>
  <c r="N97" i="833"/>
  <c r="U97" i="833"/>
  <c r="V97" i="833"/>
  <c r="AB97" i="833"/>
  <c r="AC97" i="833"/>
  <c r="AE97" i="833" s="1"/>
  <c r="AJ97" i="833"/>
  <c r="AN97" i="833"/>
  <c r="AO97" i="833"/>
  <c r="AW97" i="833"/>
  <c r="AX97" i="833"/>
  <c r="N98" i="833"/>
  <c r="U98" i="833"/>
  <c r="V98" i="833"/>
  <c r="AB98" i="833"/>
  <c r="AC98" i="833"/>
  <c r="AE98" i="833"/>
  <c r="AH98" i="833"/>
  <c r="AJ98" i="833"/>
  <c r="AK98" i="833"/>
  <c r="AL98" i="833"/>
  <c r="AN98" i="833"/>
  <c r="AO98" i="833" s="1"/>
  <c r="AW98" i="833"/>
  <c r="AX98" i="833"/>
  <c r="N99" i="833"/>
  <c r="U99" i="833"/>
  <c r="V99" i="833"/>
  <c r="AH99" i="833" s="1"/>
  <c r="AB99" i="833"/>
  <c r="AC99" i="833"/>
  <c r="AE99" i="833" s="1"/>
  <c r="AN99" i="833"/>
  <c r="AO99" i="833" s="1"/>
  <c r="AW99" i="833"/>
  <c r="AX99" i="833"/>
  <c r="N100" i="833"/>
  <c r="U100" i="833"/>
  <c r="V100" i="833"/>
  <c r="AN100" i="833"/>
  <c r="AO100" i="833" s="1"/>
  <c r="AW100" i="833"/>
  <c r="AX100" i="833"/>
  <c r="N101" i="833"/>
  <c r="U101" i="833"/>
  <c r="V101" i="833"/>
  <c r="AB101" i="833"/>
  <c r="AC101" i="833" s="1"/>
  <c r="AE101" i="833" s="1"/>
  <c r="AN101" i="833"/>
  <c r="AO101" i="833"/>
  <c r="AW101" i="833"/>
  <c r="AX101" i="833"/>
  <c r="N102" i="833"/>
  <c r="U102" i="833"/>
  <c r="V102" i="833"/>
  <c r="AN102" i="833"/>
  <c r="AO102" i="833"/>
  <c r="AW102" i="833"/>
  <c r="AX102" i="833"/>
  <c r="N103" i="833"/>
  <c r="U103" i="833"/>
  <c r="V103" i="833"/>
  <c r="AB103" i="833"/>
  <c r="AC103" i="833" s="1"/>
  <c r="AE103" i="833" s="1"/>
  <c r="AH103" i="833"/>
  <c r="AL103" i="833" s="1"/>
  <c r="AJ103" i="833"/>
  <c r="AK103" i="833"/>
  <c r="AN103" i="833"/>
  <c r="AO103" i="833"/>
  <c r="AW103" i="833"/>
  <c r="AX103" i="833"/>
  <c r="N104" i="833"/>
  <c r="U104" i="833"/>
  <c r="V104" i="833"/>
  <c r="AB104" i="833"/>
  <c r="AC104" i="833"/>
  <c r="AE104" i="833"/>
  <c r="AH104" i="833"/>
  <c r="AK104" i="833" s="1"/>
  <c r="AL104" i="833"/>
  <c r="AN104" i="833"/>
  <c r="AO104" i="833" s="1"/>
  <c r="AW104" i="833"/>
  <c r="AX104" i="833"/>
  <c r="N105" i="833"/>
  <c r="U105" i="833"/>
  <c r="V105" i="833"/>
  <c r="AB105" i="833"/>
  <c r="AC105" i="833"/>
  <c r="AE105" i="833"/>
  <c r="AH105" i="833"/>
  <c r="AJ105" i="833"/>
  <c r="AN105" i="833"/>
  <c r="AO105" i="833"/>
  <c r="AW105" i="833"/>
  <c r="AX105" i="833"/>
  <c r="N106" i="833"/>
  <c r="U106" i="833"/>
  <c r="V106" i="833" s="1"/>
  <c r="AN106" i="833"/>
  <c r="AO106" i="833"/>
  <c r="AW106" i="833"/>
  <c r="AX106" i="833"/>
  <c r="N107" i="833"/>
  <c r="U107" i="833"/>
  <c r="V107" i="833" s="1"/>
  <c r="AB107" i="833"/>
  <c r="AC107" i="833"/>
  <c r="AE107" i="833" s="1"/>
  <c r="AN107" i="833"/>
  <c r="AO107" i="833"/>
  <c r="AW107" i="833"/>
  <c r="AX107" i="833"/>
  <c r="N108" i="833"/>
  <c r="U108" i="833"/>
  <c r="V108" i="833"/>
  <c r="AB108" i="833"/>
  <c r="AC108" i="833"/>
  <c r="AE108" i="833" s="1"/>
  <c r="AN108" i="833"/>
  <c r="AO108" i="833" s="1"/>
  <c r="AW108" i="833"/>
  <c r="AX108" i="833"/>
  <c r="N109" i="833"/>
  <c r="U109" i="833"/>
  <c r="V109" i="833"/>
  <c r="AB109" i="833"/>
  <c r="AC109" i="833"/>
  <c r="AE109" i="833" s="1"/>
  <c r="AH109" i="833" s="1"/>
  <c r="AN109" i="833"/>
  <c r="AO109" i="833" s="1"/>
  <c r="AW109" i="833"/>
  <c r="AX109" i="833"/>
  <c r="N110" i="833"/>
  <c r="U110" i="833"/>
  <c r="V110" i="833"/>
  <c r="AN110" i="833"/>
  <c r="AO110" i="833" s="1"/>
  <c r="AW110" i="833"/>
  <c r="AX110" i="833"/>
  <c r="N111" i="833"/>
  <c r="U111" i="833"/>
  <c r="V111" i="833"/>
  <c r="AH111" i="833" s="1"/>
  <c r="AB111" i="833"/>
  <c r="AC111" i="833"/>
  <c r="AE111" i="833"/>
  <c r="AN111" i="833"/>
  <c r="AO111" i="833"/>
  <c r="AW111" i="833"/>
  <c r="AX111" i="833"/>
  <c r="N112" i="833"/>
  <c r="U112" i="833"/>
  <c r="V112" i="833"/>
  <c r="AN112" i="833"/>
  <c r="AO112" i="833"/>
  <c r="AW112" i="833"/>
  <c r="AX112" i="833"/>
  <c r="N113" i="833"/>
  <c r="U113" i="833"/>
  <c r="V113" i="833"/>
  <c r="AB113" i="833"/>
  <c r="AC113" i="833" s="1"/>
  <c r="AE113" i="833" s="1"/>
  <c r="AN113" i="833"/>
  <c r="AO113" i="833"/>
  <c r="AW113" i="833"/>
  <c r="AX113" i="833"/>
  <c r="N114" i="833"/>
  <c r="U114" i="833"/>
  <c r="V114" i="833"/>
  <c r="AB114" i="833"/>
  <c r="AC114" i="833"/>
  <c r="AE114" i="833"/>
  <c r="AH114" i="833"/>
  <c r="AK114" i="833" s="1"/>
  <c r="AL114" i="833"/>
  <c r="AN114" i="833"/>
  <c r="AO114" i="833" s="1"/>
  <c r="AW114" i="833"/>
  <c r="AX114" i="833"/>
  <c r="N115" i="833"/>
  <c r="U115" i="833"/>
  <c r="V115" i="833"/>
  <c r="AB115" i="833"/>
  <c r="AC115" i="833"/>
  <c r="AE115" i="833"/>
  <c r="AH115" i="833"/>
  <c r="AL115" i="833" s="1"/>
  <c r="AJ115" i="833"/>
  <c r="AK115" i="833"/>
  <c r="AN115" i="833"/>
  <c r="AO115" i="833"/>
  <c r="AW115" i="833"/>
  <c r="AX115" i="833"/>
  <c r="N116" i="833"/>
  <c r="U116" i="833"/>
  <c r="V116" i="833"/>
  <c r="AN116" i="833"/>
  <c r="AO116" i="833"/>
  <c r="AW116" i="833"/>
  <c r="AX116" i="833"/>
  <c r="N117" i="833"/>
  <c r="U117" i="833"/>
  <c r="V117" i="833"/>
  <c r="AB117" i="833"/>
  <c r="AC117" i="833"/>
  <c r="AE117" i="833" s="1"/>
  <c r="AN117" i="833"/>
  <c r="AO117" i="833"/>
  <c r="AW117" i="833"/>
  <c r="AX117" i="833"/>
  <c r="N118" i="833"/>
  <c r="U118" i="833"/>
  <c r="V118" i="833" s="1"/>
  <c r="AB118" i="833"/>
  <c r="AC118" i="833" s="1"/>
  <c r="AE118" i="833" s="1"/>
  <c r="AN118" i="833"/>
  <c r="AO118" i="833" s="1"/>
  <c r="AW118" i="833"/>
  <c r="AX118" i="833"/>
  <c r="N119" i="833"/>
  <c r="U119" i="833"/>
  <c r="V119" i="833"/>
  <c r="AB119" i="833"/>
  <c r="AC119" i="833"/>
  <c r="AE119" i="833" s="1"/>
  <c r="AH119" i="833"/>
  <c r="AK119" i="833" s="1"/>
  <c r="AJ119" i="833"/>
  <c r="AN119" i="833"/>
  <c r="AO119" i="833"/>
  <c r="AW119" i="833"/>
  <c r="AX119" i="833"/>
  <c r="N120" i="833"/>
  <c r="U120" i="833"/>
  <c r="V120" i="833"/>
  <c r="AN120" i="833"/>
  <c r="AO120" i="833" s="1"/>
  <c r="AW120" i="833"/>
  <c r="AX120" i="833"/>
  <c r="N121" i="833"/>
  <c r="U121" i="833"/>
  <c r="V121" i="833"/>
  <c r="AB121" i="833"/>
  <c r="AC121" i="833"/>
  <c r="AE121" i="833"/>
  <c r="AN121" i="833"/>
  <c r="AO121" i="833"/>
  <c r="AW121" i="833"/>
  <c r="AX121" i="833"/>
  <c r="N122" i="833"/>
  <c r="U122" i="833"/>
  <c r="V122" i="833"/>
  <c r="AN122" i="833"/>
  <c r="AO122" i="833"/>
  <c r="AW122" i="833"/>
  <c r="AX122" i="833"/>
  <c r="N123" i="833"/>
  <c r="U123" i="833"/>
  <c r="V123" i="833"/>
  <c r="AB123" i="833"/>
  <c r="AC123" i="833"/>
  <c r="AE123" i="833" s="1"/>
  <c r="AH123" i="833"/>
  <c r="AL123" i="833" s="1"/>
  <c r="AJ123" i="833"/>
  <c r="AK123" i="833"/>
  <c r="AN123" i="833"/>
  <c r="AO123" i="833"/>
  <c r="AW123" i="833"/>
  <c r="AX123" i="833"/>
  <c r="N124" i="833"/>
  <c r="U124" i="833"/>
  <c r="V124" i="833"/>
  <c r="AB124" i="833"/>
  <c r="AC124" i="833"/>
  <c r="AE124" i="833"/>
  <c r="AH124" i="833"/>
  <c r="AK124" i="833" s="1"/>
  <c r="AL124" i="833"/>
  <c r="AN124" i="833"/>
  <c r="AO124" i="833" s="1"/>
  <c r="AW124" i="833"/>
  <c r="AX124" i="833"/>
  <c r="N125" i="833"/>
  <c r="U125" i="833"/>
  <c r="V125" i="833"/>
  <c r="AJ125" i="833" s="1"/>
  <c r="AB125" i="833"/>
  <c r="AC125" i="833"/>
  <c r="AE125" i="833"/>
  <c r="AH125" i="833"/>
  <c r="AK125" i="833" s="1"/>
  <c r="AL125" i="833"/>
  <c r="AN125" i="833"/>
  <c r="AO125" i="833"/>
  <c r="AW125" i="833"/>
  <c r="AX125" i="833"/>
  <c r="N126" i="833"/>
  <c r="U126" i="833"/>
  <c r="V126" i="833"/>
  <c r="AN126" i="833"/>
  <c r="AO126" i="833"/>
  <c r="AW126" i="833"/>
  <c r="AX126" i="833"/>
  <c r="N127" i="833"/>
  <c r="U127" i="833"/>
  <c r="V127" i="833"/>
  <c r="AB127" i="833"/>
  <c r="AC127" i="833" s="1"/>
  <c r="AE127" i="833" s="1"/>
  <c r="AJ127" i="833" s="1"/>
  <c r="AN127" i="833"/>
  <c r="AO127" i="833"/>
  <c r="AW127" i="833"/>
  <c r="AX127" i="833"/>
  <c r="N128" i="833"/>
  <c r="U128" i="833"/>
  <c r="V128" i="833" s="1"/>
  <c r="AB128" i="833"/>
  <c r="AC128" i="833" s="1"/>
  <c r="AE128" i="833" s="1"/>
  <c r="AN128" i="833"/>
  <c r="AO128" i="833" s="1"/>
  <c r="AW128" i="833"/>
  <c r="AX128" i="833"/>
  <c r="N129" i="833"/>
  <c r="U129" i="833"/>
  <c r="V129" i="833"/>
  <c r="AH129" i="833" s="1"/>
  <c r="AB129" i="833"/>
  <c r="AC129" i="833"/>
  <c r="AE129" i="833" s="1"/>
  <c r="AN129" i="833"/>
  <c r="AO129" i="833"/>
  <c r="AW129" i="833"/>
  <c r="AX129" i="833"/>
  <c r="N130" i="833"/>
  <c r="U130" i="833"/>
  <c r="V130" i="833"/>
  <c r="AN130" i="833"/>
  <c r="AO130" i="833" s="1"/>
  <c r="AW130" i="833"/>
  <c r="AX130" i="833"/>
  <c r="N131" i="833"/>
  <c r="U131" i="833"/>
  <c r="V131" i="833"/>
  <c r="AB131" i="833"/>
  <c r="AC131" i="833" s="1"/>
  <c r="AE131" i="833" s="1"/>
  <c r="AN131" i="833"/>
  <c r="AO131" i="833"/>
  <c r="AW131" i="833"/>
  <c r="AX131" i="833"/>
  <c r="N132" i="833"/>
  <c r="U132" i="833"/>
  <c r="V132" i="833"/>
  <c r="AN132" i="833"/>
  <c r="AO132" i="833"/>
  <c r="AW132" i="833"/>
  <c r="AX132" i="833"/>
  <c r="N133" i="833"/>
  <c r="U133" i="833"/>
  <c r="V133" i="833"/>
  <c r="AB133" i="833"/>
  <c r="AC133" i="833"/>
  <c r="AE133" i="833" s="1"/>
  <c r="AH133" i="833"/>
  <c r="AL133" i="833" s="1"/>
  <c r="AJ133" i="833"/>
  <c r="AK133" i="833"/>
  <c r="AN133" i="833"/>
  <c r="AO133" i="833"/>
  <c r="AW133" i="833"/>
  <c r="AX133" i="833"/>
  <c r="N134" i="833"/>
  <c r="U134" i="833"/>
  <c r="V134" i="833"/>
  <c r="AB134" i="833"/>
  <c r="AC134" i="833"/>
  <c r="AE134" i="833"/>
  <c r="AN134" i="833"/>
  <c r="AO134" i="833" s="1"/>
  <c r="AW134" i="833"/>
  <c r="AX134" i="833"/>
  <c r="N135" i="833"/>
  <c r="U135" i="833"/>
  <c r="V135" i="833"/>
  <c r="AB135" i="833"/>
  <c r="AC135" i="833" s="1"/>
  <c r="AE135" i="833" s="1"/>
  <c r="AJ135" i="833" s="1"/>
  <c r="AN135" i="833"/>
  <c r="AO135" i="833"/>
  <c r="AW135" i="833"/>
  <c r="AX135" i="833"/>
  <c r="N136" i="833"/>
  <c r="U136" i="833"/>
  <c r="V136" i="833"/>
  <c r="AN136" i="833"/>
  <c r="AO136" i="833"/>
  <c r="AW136" i="833"/>
  <c r="AX136" i="833"/>
  <c r="AH74" i="834" l="1"/>
  <c r="AJ39" i="834"/>
  <c r="AJ33" i="834"/>
  <c r="AJ35" i="834"/>
  <c r="AJ122" i="834"/>
  <c r="AJ91" i="834"/>
  <c r="AJ17" i="834"/>
  <c r="AJ71" i="834"/>
  <c r="AH56" i="834"/>
  <c r="AJ46" i="834"/>
  <c r="AH110" i="834"/>
  <c r="AH116" i="834"/>
  <c r="AK116" i="834" s="1"/>
  <c r="AH117" i="834"/>
  <c r="AK117" i="834" s="1"/>
  <c r="AJ5" i="834"/>
  <c r="AJ95" i="834"/>
  <c r="AH9" i="834"/>
  <c r="AL9" i="834" s="1"/>
  <c r="AH114" i="834"/>
  <c r="AL114" i="834" s="1"/>
  <c r="AJ57" i="834"/>
  <c r="AH100" i="834"/>
  <c r="AL100" i="834" s="1"/>
  <c r="AJ80" i="834"/>
  <c r="AH79" i="834"/>
  <c r="AK79" i="834" s="1"/>
  <c r="AH73" i="834"/>
  <c r="AK73" i="834" s="1"/>
  <c r="AH107" i="834"/>
  <c r="AK107" i="834" s="1"/>
  <c r="AJ119" i="834"/>
  <c r="AJ89" i="834"/>
  <c r="AH48" i="834"/>
  <c r="AL48" i="834" s="1"/>
  <c r="AH23" i="834"/>
  <c r="AL23" i="834" s="1"/>
  <c r="AH40" i="834"/>
  <c r="AL40" i="834" s="1"/>
  <c r="AJ124" i="834"/>
  <c r="AH118" i="834"/>
  <c r="AK118" i="834" s="1"/>
  <c r="AJ99" i="834"/>
  <c r="AJ11" i="834"/>
  <c r="AH127" i="834"/>
  <c r="AK127" i="834" s="1"/>
  <c r="AH123" i="834"/>
  <c r="AK123" i="834" s="1"/>
  <c r="AJ13" i="834"/>
  <c r="AH128" i="834"/>
  <c r="AL128" i="834" s="1"/>
  <c r="AJ64" i="834"/>
  <c r="AH66" i="834"/>
  <c r="AL66" i="834" s="1"/>
  <c r="AH29" i="834"/>
  <c r="AL29" i="834" s="1"/>
  <c r="AJ25" i="834"/>
  <c r="AH135" i="834"/>
  <c r="AL135" i="834" s="1"/>
  <c r="AH131" i="834"/>
  <c r="AL131" i="834" s="1"/>
  <c r="AJ77" i="834"/>
  <c r="AH7" i="834"/>
  <c r="AL7" i="834" s="1"/>
  <c r="AJ84" i="834"/>
  <c r="AJ115" i="834"/>
  <c r="AJ27" i="834"/>
  <c r="AJ105" i="834"/>
  <c r="AH76" i="834"/>
  <c r="AL76" i="834" s="1"/>
  <c r="AH15" i="834"/>
  <c r="AK15" i="834" s="1"/>
  <c r="AJ113" i="834"/>
  <c r="AH63" i="834"/>
  <c r="AL63" i="834" s="1"/>
  <c r="AH49" i="834"/>
  <c r="AK49" i="834" s="1"/>
  <c r="AJ120" i="834"/>
  <c r="AH136" i="834"/>
  <c r="AL136" i="834" s="1"/>
  <c r="AJ93" i="834"/>
  <c r="AJ61" i="834"/>
  <c r="AJ55" i="834"/>
  <c r="AH109" i="834"/>
  <c r="AK109" i="834" s="1"/>
  <c r="AK45" i="834"/>
  <c r="AL45" i="834"/>
  <c r="AK55" i="834"/>
  <c r="AL55" i="834"/>
  <c r="AK94" i="834"/>
  <c r="AL94" i="834"/>
  <c r="AK67" i="834"/>
  <c r="AL67" i="834"/>
  <c r="AL113" i="834"/>
  <c r="AK113" i="834"/>
  <c r="AK132" i="834"/>
  <c r="AL132" i="834"/>
  <c r="AL120" i="834"/>
  <c r="AK120" i="834"/>
  <c r="AL54" i="834"/>
  <c r="AK54" i="834"/>
  <c r="AL93" i="834"/>
  <c r="AK93" i="834"/>
  <c r="AL61" i="834"/>
  <c r="AK61" i="834"/>
  <c r="AK52" i="834"/>
  <c r="AL52" i="834"/>
  <c r="AL19" i="834"/>
  <c r="AK19" i="834"/>
  <c r="AK42" i="834"/>
  <c r="AL42" i="834"/>
  <c r="AK102" i="834"/>
  <c r="AL102" i="834"/>
  <c r="AL57" i="834"/>
  <c r="AK57" i="834"/>
  <c r="AK112" i="834"/>
  <c r="AL112" i="834"/>
  <c r="AL130" i="834"/>
  <c r="AK130" i="834"/>
  <c r="AL124" i="834"/>
  <c r="AK124" i="834"/>
  <c r="AL103" i="834"/>
  <c r="AK103" i="834"/>
  <c r="AK115" i="834"/>
  <c r="AL115" i="834"/>
  <c r="AL96" i="834"/>
  <c r="AK96" i="834"/>
  <c r="AL70" i="834"/>
  <c r="AK70" i="834"/>
  <c r="AL50" i="834"/>
  <c r="AK50" i="834"/>
  <c r="AH106" i="834"/>
  <c r="AL119" i="834"/>
  <c r="AK119" i="834"/>
  <c r="AL84" i="834"/>
  <c r="AK84" i="834"/>
  <c r="AK17" i="834"/>
  <c r="AL17" i="834"/>
  <c r="AH88" i="834"/>
  <c r="AL110" i="834"/>
  <c r="AK110" i="834"/>
  <c r="AH90" i="834"/>
  <c r="AL111" i="834"/>
  <c r="AK111" i="834"/>
  <c r="AJ52" i="834"/>
  <c r="AK11" i="834"/>
  <c r="AL11" i="834"/>
  <c r="AJ19" i="834"/>
  <c r="AK105" i="834"/>
  <c r="AL105" i="834"/>
  <c r="AJ94" i="834"/>
  <c r="AK77" i="834"/>
  <c r="AL77" i="834"/>
  <c r="AH44" i="834"/>
  <c r="AH125" i="834"/>
  <c r="AH92" i="834"/>
  <c r="AJ70" i="834"/>
  <c r="AH98" i="834"/>
  <c r="AH68" i="834"/>
  <c r="AH83" i="834"/>
  <c r="AJ103" i="834"/>
  <c r="AH69" i="834"/>
  <c r="AH78" i="834"/>
  <c r="AH86" i="834"/>
  <c r="AH21" i="834"/>
  <c r="AJ45" i="834"/>
  <c r="AH133" i="834"/>
  <c r="AJ50" i="834"/>
  <c r="AK35" i="834"/>
  <c r="AL35" i="834"/>
  <c r="AK75" i="834"/>
  <c r="AL75" i="834"/>
  <c r="AK91" i="834"/>
  <c r="AL91" i="834"/>
  <c r="AK27" i="834"/>
  <c r="AL27" i="834"/>
  <c r="AJ96" i="834"/>
  <c r="AL33" i="834"/>
  <c r="AK33" i="834"/>
  <c r="AL71" i="834"/>
  <c r="AK71" i="834"/>
  <c r="AL25" i="834"/>
  <c r="AK25" i="834"/>
  <c r="AK129" i="834"/>
  <c r="AL129" i="834"/>
  <c r="AH104" i="834"/>
  <c r="AH59" i="834"/>
  <c r="AH41" i="834"/>
  <c r="AJ41" i="834"/>
  <c r="AL56" i="834"/>
  <c r="AK56" i="834"/>
  <c r="AH38" i="834"/>
  <c r="AH53" i="834"/>
  <c r="AJ42" i="834"/>
  <c r="AH65" i="834"/>
  <c r="AH121" i="834"/>
  <c r="AJ121" i="834"/>
  <c r="AL46" i="834"/>
  <c r="AK46" i="834"/>
  <c r="AL116" i="834"/>
  <c r="AJ102" i="834"/>
  <c r="AJ47" i="834"/>
  <c r="AH47" i="834"/>
  <c r="AK89" i="834"/>
  <c r="AL89" i="834"/>
  <c r="AJ81" i="834"/>
  <c r="AH108" i="834"/>
  <c r="AK95" i="834"/>
  <c r="AL95" i="834"/>
  <c r="AH31" i="834"/>
  <c r="AH58" i="834"/>
  <c r="AJ67" i="834"/>
  <c r="AL5" i="834"/>
  <c r="AK5" i="834"/>
  <c r="AJ134" i="834"/>
  <c r="AH134" i="834"/>
  <c r="AK99" i="834"/>
  <c r="AL99" i="834"/>
  <c r="AK43" i="834"/>
  <c r="AL43" i="834"/>
  <c r="AL74" i="834"/>
  <c r="AK74" i="834"/>
  <c r="AL39" i="834"/>
  <c r="AK39" i="834"/>
  <c r="AH72" i="834"/>
  <c r="AK85" i="834"/>
  <c r="AL85" i="834"/>
  <c r="AJ101" i="834"/>
  <c r="AH101" i="834"/>
  <c r="AJ130" i="834"/>
  <c r="AH126" i="834"/>
  <c r="AH82" i="834"/>
  <c r="AH62" i="834"/>
  <c r="AJ112" i="834"/>
  <c r="AH97" i="834"/>
  <c r="AH60" i="834"/>
  <c r="AK122" i="834"/>
  <c r="AL122" i="834"/>
  <c r="AJ54" i="834"/>
  <c r="AK13" i="834"/>
  <c r="AL13" i="834"/>
  <c r="AL64" i="834"/>
  <c r="AK64" i="834"/>
  <c r="AH87" i="834"/>
  <c r="AL80" i="834"/>
  <c r="AK80" i="834"/>
  <c r="AK81" i="834"/>
  <c r="AL81" i="834"/>
  <c r="AJ132" i="834"/>
  <c r="AJ37" i="834"/>
  <c r="AH37" i="834"/>
  <c r="AJ51" i="834"/>
  <c r="AH51" i="834"/>
  <c r="AK109" i="833"/>
  <c r="AL109" i="833"/>
  <c r="AK45" i="833"/>
  <c r="AL45" i="833"/>
  <c r="AL111" i="833"/>
  <c r="AK111" i="833"/>
  <c r="AH59" i="833"/>
  <c r="AJ59" i="833"/>
  <c r="AK68" i="833"/>
  <c r="AL68" i="833"/>
  <c r="AK129" i="833"/>
  <c r="AL129" i="833"/>
  <c r="AH107" i="833"/>
  <c r="AJ107" i="833"/>
  <c r="AL99" i="833"/>
  <c r="AK99" i="833"/>
  <c r="AH32" i="833"/>
  <c r="AJ32" i="833"/>
  <c r="AH121" i="833"/>
  <c r="AJ121" i="833"/>
  <c r="AJ84" i="833"/>
  <c r="AH84" i="833"/>
  <c r="AJ131" i="833"/>
  <c r="AH131" i="833"/>
  <c r="AJ45" i="833"/>
  <c r="AJ12" i="833"/>
  <c r="AH108" i="833"/>
  <c r="AJ108" i="833"/>
  <c r="AJ94" i="833"/>
  <c r="AJ128" i="833"/>
  <c r="AH128" i="833"/>
  <c r="AJ14" i="833"/>
  <c r="AH14" i="833"/>
  <c r="AK105" i="833"/>
  <c r="AL105" i="833"/>
  <c r="AK78" i="833"/>
  <c r="AL78" i="833"/>
  <c r="AJ99" i="833"/>
  <c r="AL95" i="833"/>
  <c r="AJ89" i="833"/>
  <c r="AH64" i="833"/>
  <c r="AH48" i="833"/>
  <c r="AJ48" i="833"/>
  <c r="AH39" i="833"/>
  <c r="AJ39" i="833"/>
  <c r="AH113" i="833"/>
  <c r="AJ113" i="833"/>
  <c r="AJ91" i="833"/>
  <c r="AH91" i="833"/>
  <c r="AH101" i="833"/>
  <c r="AJ101" i="833"/>
  <c r="AJ41" i="833"/>
  <c r="AH41" i="833"/>
  <c r="AJ126" i="833"/>
  <c r="AH77" i="833"/>
  <c r="AJ65" i="833"/>
  <c r="AH9" i="833"/>
  <c r="AJ9" i="833"/>
  <c r="AJ104" i="833"/>
  <c r="AJ124" i="833"/>
  <c r="AL83" i="833"/>
  <c r="AK83" i="833"/>
  <c r="AH67" i="833"/>
  <c r="AJ67" i="833"/>
  <c r="AJ44" i="833"/>
  <c r="AJ74" i="833"/>
  <c r="AH74" i="833"/>
  <c r="AJ68" i="833"/>
  <c r="AL28" i="833"/>
  <c r="AH18" i="833"/>
  <c r="AJ18" i="833"/>
  <c r="AH15" i="833"/>
  <c r="AK94" i="833"/>
  <c r="AL94" i="833"/>
  <c r="AJ34" i="833"/>
  <c r="AH34" i="833"/>
  <c r="AH79" i="833"/>
  <c r="AJ79" i="833"/>
  <c r="AJ130" i="833"/>
  <c r="AH130" i="833"/>
  <c r="AH118" i="833"/>
  <c r="AJ118" i="833"/>
  <c r="AH112" i="833"/>
  <c r="AJ56" i="833"/>
  <c r="AH87" i="833"/>
  <c r="AH37" i="833"/>
  <c r="AH117" i="833"/>
  <c r="AJ117" i="833"/>
  <c r="AH135" i="833"/>
  <c r="AK65" i="833"/>
  <c r="AL65" i="833"/>
  <c r="AH47" i="833"/>
  <c r="AJ47" i="833"/>
  <c r="AK38" i="833"/>
  <c r="AL38" i="833"/>
  <c r="AH90" i="833"/>
  <c r="AJ90" i="833"/>
  <c r="AH61" i="833"/>
  <c r="AL21" i="833"/>
  <c r="AK21" i="833"/>
  <c r="AK58" i="833"/>
  <c r="AL58" i="833"/>
  <c r="AK29" i="833"/>
  <c r="AL29" i="833"/>
  <c r="AL31" i="833"/>
  <c r="AK31" i="833"/>
  <c r="AJ134" i="833"/>
  <c r="AH134" i="833"/>
  <c r="AH5" i="833"/>
  <c r="AJ5" i="833"/>
  <c r="AK89" i="833"/>
  <c r="AL89" i="833"/>
  <c r="AJ31" i="833"/>
  <c r="AH25" i="833"/>
  <c r="AJ25" i="833"/>
  <c r="AH81" i="833"/>
  <c r="AJ81" i="833"/>
  <c r="AH85" i="833"/>
  <c r="AL11" i="833"/>
  <c r="AK11" i="833"/>
  <c r="AJ129" i="833"/>
  <c r="AL119" i="833"/>
  <c r="AJ111" i="833"/>
  <c r="AJ109" i="833"/>
  <c r="AJ78" i="833"/>
  <c r="AH24" i="833"/>
  <c r="AH22" i="833"/>
  <c r="AJ114" i="833"/>
  <c r="AJ26" i="833"/>
  <c r="AJ17" i="833"/>
  <c r="AH17" i="833"/>
  <c r="AH127" i="833"/>
  <c r="AJ112" i="833"/>
  <c r="AH97" i="833"/>
  <c r="AJ95" i="833"/>
  <c r="AH80" i="833"/>
  <c r="AJ80" i="833"/>
  <c r="AH110" i="833"/>
  <c r="AJ110" i="833"/>
  <c r="AH57" i="833"/>
  <c r="AK7" i="833"/>
  <c r="AL7" i="833"/>
  <c r="AJ16" i="833"/>
  <c r="AB20" i="833"/>
  <c r="AC20" i="833" s="1"/>
  <c r="AE20" i="833" s="1"/>
  <c r="AJ20" i="833" s="1"/>
  <c r="AB30" i="833"/>
  <c r="AC30" i="833" s="1"/>
  <c r="AE30" i="833" s="1"/>
  <c r="AH30" i="833" s="1"/>
  <c r="AB40" i="833"/>
  <c r="AC40" i="833" s="1"/>
  <c r="AE40" i="833" s="1"/>
  <c r="AJ40" i="833" s="1"/>
  <c r="AB50" i="833"/>
  <c r="AC50" i="833" s="1"/>
  <c r="AE50" i="833" s="1"/>
  <c r="AJ50" i="833" s="1"/>
  <c r="AB60" i="833"/>
  <c r="AC60" i="833" s="1"/>
  <c r="AE60" i="833" s="1"/>
  <c r="AJ60" i="833" s="1"/>
  <c r="AB70" i="833"/>
  <c r="AC70" i="833" s="1"/>
  <c r="AE70" i="833" s="1"/>
  <c r="AJ70" i="833" s="1"/>
  <c r="AB80" i="833"/>
  <c r="AC80" i="833" s="1"/>
  <c r="AE80" i="833" s="1"/>
  <c r="AB90" i="833"/>
  <c r="AC90" i="833" s="1"/>
  <c r="AE90" i="833" s="1"/>
  <c r="AB100" i="833"/>
  <c r="AC100" i="833" s="1"/>
  <c r="AE100" i="833" s="1"/>
  <c r="AB110" i="833"/>
  <c r="AC110" i="833" s="1"/>
  <c r="AE110" i="833" s="1"/>
  <c r="AB120" i="833"/>
  <c r="AC120" i="833" s="1"/>
  <c r="AE120" i="833" s="1"/>
  <c r="AH120" i="833" s="1"/>
  <c r="AB130" i="833"/>
  <c r="AC130" i="833" s="1"/>
  <c r="AE130" i="833" s="1"/>
  <c r="AB13" i="833"/>
  <c r="AC13" i="833" s="1"/>
  <c r="AE13" i="833" s="1"/>
  <c r="AB23" i="833"/>
  <c r="AC23" i="833" s="1"/>
  <c r="AE23" i="833" s="1"/>
  <c r="AB33" i="833"/>
  <c r="AC33" i="833" s="1"/>
  <c r="AE33" i="833" s="1"/>
  <c r="AB16" i="833"/>
  <c r="AC16" i="833" s="1"/>
  <c r="AE16" i="833" s="1"/>
  <c r="AH16" i="833" s="1"/>
  <c r="AB26" i="833"/>
  <c r="AC26" i="833" s="1"/>
  <c r="AE26" i="833" s="1"/>
  <c r="AH26" i="833" s="1"/>
  <c r="AB36" i="833"/>
  <c r="AC36" i="833" s="1"/>
  <c r="AE36" i="833" s="1"/>
  <c r="AH36" i="833" s="1"/>
  <c r="AB46" i="833"/>
  <c r="AC46" i="833" s="1"/>
  <c r="AE46" i="833" s="1"/>
  <c r="AJ46" i="833" s="1"/>
  <c r="AB56" i="833"/>
  <c r="AC56" i="833" s="1"/>
  <c r="AE56" i="833" s="1"/>
  <c r="AH56" i="833" s="1"/>
  <c r="AB66" i="833"/>
  <c r="AC66" i="833" s="1"/>
  <c r="AE66" i="833" s="1"/>
  <c r="AH66" i="833" s="1"/>
  <c r="AB76" i="833"/>
  <c r="AC76" i="833" s="1"/>
  <c r="AE76" i="833" s="1"/>
  <c r="AH76" i="833" s="1"/>
  <c r="AB86" i="833"/>
  <c r="AC86" i="833" s="1"/>
  <c r="AE86" i="833" s="1"/>
  <c r="AH86" i="833" s="1"/>
  <c r="AB96" i="833"/>
  <c r="AC96" i="833" s="1"/>
  <c r="AE96" i="833" s="1"/>
  <c r="AJ96" i="833" s="1"/>
  <c r="AB106" i="833"/>
  <c r="AC106" i="833" s="1"/>
  <c r="AE106" i="833" s="1"/>
  <c r="AJ106" i="833" s="1"/>
  <c r="AB116" i="833"/>
  <c r="AC116" i="833" s="1"/>
  <c r="AE116" i="833" s="1"/>
  <c r="AJ116" i="833" s="1"/>
  <c r="AB126" i="833"/>
  <c r="AC126" i="833" s="1"/>
  <c r="AE126" i="833" s="1"/>
  <c r="AH126" i="833" s="1"/>
  <c r="AB136" i="833"/>
  <c r="AC136" i="833" s="1"/>
  <c r="AE136" i="833" s="1"/>
  <c r="AH136" i="833" s="1"/>
  <c r="AB12" i="833"/>
  <c r="AC12" i="833" s="1"/>
  <c r="AE12" i="833" s="1"/>
  <c r="AH12" i="833" s="1"/>
  <c r="AB22" i="833"/>
  <c r="AC22" i="833" s="1"/>
  <c r="AE22" i="833" s="1"/>
  <c r="AJ22" i="833" s="1"/>
  <c r="AB32" i="833"/>
  <c r="AC32" i="833" s="1"/>
  <c r="AE32" i="833" s="1"/>
  <c r="AB42" i="833"/>
  <c r="AC42" i="833" s="1"/>
  <c r="AE42" i="833" s="1"/>
  <c r="AB52" i="833"/>
  <c r="AC52" i="833" s="1"/>
  <c r="AE52" i="833" s="1"/>
  <c r="AH52" i="833" s="1"/>
  <c r="AB62" i="833"/>
  <c r="AC62" i="833" s="1"/>
  <c r="AE62" i="833" s="1"/>
  <c r="AB72" i="833"/>
  <c r="AC72" i="833" s="1"/>
  <c r="AE72" i="833" s="1"/>
  <c r="AH72" i="833" s="1"/>
  <c r="AB82" i="833"/>
  <c r="AC82" i="833" s="1"/>
  <c r="AE82" i="833" s="1"/>
  <c r="AB92" i="833"/>
  <c r="AC92" i="833" s="1"/>
  <c r="AE92" i="833" s="1"/>
  <c r="AB102" i="833"/>
  <c r="AC102" i="833" s="1"/>
  <c r="AE102" i="833" s="1"/>
  <c r="AJ102" i="833" s="1"/>
  <c r="AB112" i="833"/>
  <c r="AC112" i="833" s="1"/>
  <c r="AE112" i="833" s="1"/>
  <c r="AB122" i="833"/>
  <c r="AC122" i="833" s="1"/>
  <c r="AE122" i="833" s="1"/>
  <c r="AJ122" i="833" s="1"/>
  <c r="AB132" i="833"/>
  <c r="AC132" i="833" s="1"/>
  <c r="AE132" i="833" s="1"/>
  <c r="AH100" i="833"/>
  <c r="AJ100" i="833"/>
  <c r="AJ76" i="833"/>
  <c r="AJ27" i="833"/>
  <c r="AH27" i="833"/>
  <c r="AL109" i="834" l="1"/>
  <c r="AL123" i="834"/>
  <c r="AK66" i="834"/>
  <c r="AK128" i="834"/>
  <c r="AL127" i="834"/>
  <c r="AK114" i="834"/>
  <c r="AL117" i="834"/>
  <c r="AK23" i="834"/>
  <c r="AK9" i="834"/>
  <c r="AK7" i="834"/>
  <c r="AL107" i="834"/>
  <c r="AL73" i="834"/>
  <c r="AL49" i="834"/>
  <c r="AL79" i="834"/>
  <c r="AK100" i="834"/>
  <c r="AK135" i="834"/>
  <c r="AL15" i="834"/>
  <c r="AK40" i="834"/>
  <c r="AK76" i="834"/>
  <c r="AK48" i="834"/>
  <c r="AL118" i="834"/>
  <c r="AK29" i="834"/>
  <c r="AK131" i="834"/>
  <c r="AK136" i="834"/>
  <c r="AK63" i="834"/>
  <c r="AL41" i="834"/>
  <c r="AK41" i="834"/>
  <c r="AL69" i="834"/>
  <c r="AK69" i="834"/>
  <c r="AL37" i="834"/>
  <c r="AK37" i="834"/>
  <c r="AL68" i="834"/>
  <c r="AK68" i="834"/>
  <c r="AL98" i="834"/>
  <c r="AK98" i="834"/>
  <c r="AK97" i="834"/>
  <c r="AL97" i="834"/>
  <c r="AL83" i="834"/>
  <c r="AK83" i="834"/>
  <c r="AK58" i="834"/>
  <c r="AL58" i="834"/>
  <c r="AL88" i="834"/>
  <c r="AK88" i="834"/>
  <c r="AK38" i="834"/>
  <c r="AL38" i="834"/>
  <c r="AL60" i="834"/>
  <c r="AK60" i="834"/>
  <c r="AL104" i="834"/>
  <c r="AK104" i="834"/>
  <c r="AK134" i="834"/>
  <c r="AL134" i="834"/>
  <c r="AK62" i="834"/>
  <c r="AL62" i="834"/>
  <c r="AL90" i="834"/>
  <c r="AK90" i="834"/>
  <c r="AL53" i="834"/>
  <c r="AK53" i="834"/>
  <c r="AK72" i="834"/>
  <c r="AL72" i="834"/>
  <c r="AK92" i="834"/>
  <c r="AL92" i="834"/>
  <c r="AL126" i="834"/>
  <c r="AK126" i="834"/>
  <c r="AK101" i="834"/>
  <c r="AL101" i="834"/>
  <c r="AK65" i="834"/>
  <c r="AL65" i="834"/>
  <c r="AK125" i="834"/>
  <c r="AL125" i="834"/>
  <c r="AK87" i="834"/>
  <c r="AL87" i="834"/>
  <c r="AK31" i="834"/>
  <c r="AL31" i="834"/>
  <c r="AK21" i="834"/>
  <c r="AL21" i="834"/>
  <c r="AK108" i="834"/>
  <c r="AL108" i="834"/>
  <c r="AL86" i="834"/>
  <c r="AK86" i="834"/>
  <c r="AL106" i="834"/>
  <c r="AK106" i="834"/>
  <c r="AL59" i="834"/>
  <c r="AK59" i="834"/>
  <c r="AK82" i="834"/>
  <c r="AL82" i="834"/>
  <c r="AK121" i="834"/>
  <c r="AL121" i="834"/>
  <c r="AL133" i="834"/>
  <c r="AK133" i="834"/>
  <c r="AL44" i="834"/>
  <c r="AK44" i="834"/>
  <c r="AL47" i="834"/>
  <c r="AK47" i="834"/>
  <c r="AL51" i="834"/>
  <c r="AK51" i="834"/>
  <c r="AL78" i="834"/>
  <c r="AK78" i="834"/>
  <c r="AK126" i="833"/>
  <c r="AL126" i="833"/>
  <c r="AK30" i="833"/>
  <c r="AL30" i="833"/>
  <c r="AK66" i="833"/>
  <c r="AL66" i="833"/>
  <c r="AK74" i="833"/>
  <c r="AL74" i="833"/>
  <c r="AK97" i="833"/>
  <c r="AL97" i="833"/>
  <c r="AK118" i="833"/>
  <c r="AL118" i="833"/>
  <c r="AK130" i="833"/>
  <c r="AL130" i="833"/>
  <c r="AL56" i="833"/>
  <c r="AK56" i="833"/>
  <c r="AK90" i="833"/>
  <c r="AL90" i="833"/>
  <c r="AK67" i="833"/>
  <c r="AL67" i="833"/>
  <c r="AK107" i="833"/>
  <c r="AL107" i="833"/>
  <c r="AH40" i="833"/>
  <c r="AK79" i="833"/>
  <c r="AL79" i="833"/>
  <c r="AK22" i="833"/>
  <c r="AL22" i="833"/>
  <c r="AL34" i="833"/>
  <c r="AK34" i="833"/>
  <c r="AK57" i="833"/>
  <c r="AL57" i="833"/>
  <c r="AH23" i="833"/>
  <c r="AJ23" i="833"/>
  <c r="AL48" i="833"/>
  <c r="AK48" i="833"/>
  <c r="AH50" i="833"/>
  <c r="AK15" i="833"/>
  <c r="AL15" i="833"/>
  <c r="AJ120" i="833"/>
  <c r="AH116" i="833"/>
  <c r="AK37" i="833"/>
  <c r="AL37" i="833"/>
  <c r="AK18" i="833"/>
  <c r="AL18" i="833"/>
  <c r="AK77" i="833"/>
  <c r="AL77" i="833"/>
  <c r="AJ30" i="833"/>
  <c r="AK27" i="833"/>
  <c r="AL27" i="833"/>
  <c r="AL121" i="833"/>
  <c r="AK121" i="833"/>
  <c r="AK86" i="833"/>
  <c r="AL86" i="833"/>
  <c r="AL14" i="833"/>
  <c r="AK14" i="833"/>
  <c r="AL100" i="833"/>
  <c r="AK100" i="833"/>
  <c r="AL101" i="833"/>
  <c r="AK101" i="833"/>
  <c r="AL91" i="833"/>
  <c r="AK91" i="833"/>
  <c r="AK17" i="833"/>
  <c r="AL17" i="833"/>
  <c r="AJ86" i="833"/>
  <c r="AK36" i="833"/>
  <c r="AL36" i="833"/>
  <c r="AK26" i="833"/>
  <c r="AL26" i="833"/>
  <c r="AH122" i="833"/>
  <c r="AH82" i="833"/>
  <c r="AJ82" i="833"/>
  <c r="AK47" i="833"/>
  <c r="AL47" i="833"/>
  <c r="AL24" i="833"/>
  <c r="AK24" i="833"/>
  <c r="AJ62" i="833"/>
  <c r="AH62" i="833"/>
  <c r="AK134" i="833"/>
  <c r="AL134" i="833"/>
  <c r="AJ66" i="833"/>
  <c r="AJ52" i="833"/>
  <c r="AH42" i="833"/>
  <c r="AJ42" i="833"/>
  <c r="AK64" i="833"/>
  <c r="AL64" i="833"/>
  <c r="AL120" i="833"/>
  <c r="AK120" i="833"/>
  <c r="AL117" i="833"/>
  <c r="AK117" i="833"/>
  <c r="AJ72" i="833"/>
  <c r="AK87" i="833"/>
  <c r="AL87" i="833"/>
  <c r="AH106" i="833"/>
  <c r="AH70" i="833"/>
  <c r="AL85" i="833"/>
  <c r="AK85" i="833"/>
  <c r="AL41" i="833"/>
  <c r="AK41" i="833"/>
  <c r="AL81" i="833"/>
  <c r="AK81" i="833"/>
  <c r="AK32" i="833"/>
  <c r="AL32" i="833"/>
  <c r="AH132" i="833"/>
  <c r="AJ132" i="833"/>
  <c r="AL25" i="833"/>
  <c r="AK25" i="833"/>
  <c r="AH60" i="833"/>
  <c r="AH96" i="833"/>
  <c r="AL113" i="833"/>
  <c r="AK113" i="833"/>
  <c r="AJ92" i="833"/>
  <c r="AH92" i="833"/>
  <c r="AL39" i="833"/>
  <c r="AK39" i="833"/>
  <c r="AH33" i="833"/>
  <c r="AJ33" i="833"/>
  <c r="AK52" i="833"/>
  <c r="AL52" i="833"/>
  <c r="AH20" i="833"/>
  <c r="AH46" i="833"/>
  <c r="AK84" i="833"/>
  <c r="AL84" i="833"/>
  <c r="AL80" i="833"/>
  <c r="AK80" i="833"/>
  <c r="AK112" i="833"/>
  <c r="AL112" i="833"/>
  <c r="AK76" i="833"/>
  <c r="AL76" i="833"/>
  <c r="AL61" i="833"/>
  <c r="AK61" i="833"/>
  <c r="AL127" i="833"/>
  <c r="AK127" i="833"/>
  <c r="AK128" i="833"/>
  <c r="AL128" i="833"/>
  <c r="AJ36" i="833"/>
  <c r="AK16" i="833"/>
  <c r="AL16" i="833"/>
  <c r="AH102" i="833"/>
  <c r="AK72" i="833"/>
  <c r="AL72" i="833"/>
  <c r="AK5" i="833"/>
  <c r="AL5" i="833"/>
  <c r="AK108" i="833"/>
  <c r="AL108" i="833"/>
  <c r="AH13" i="833"/>
  <c r="AJ13" i="833"/>
  <c r="AK135" i="833"/>
  <c r="AL135" i="833"/>
  <c r="AK59" i="833"/>
  <c r="AL59" i="833"/>
  <c r="AK9" i="833"/>
  <c r="AL9" i="833"/>
  <c r="AL131" i="833"/>
  <c r="AK131" i="833"/>
  <c r="AK110" i="833"/>
  <c r="AL110" i="833"/>
  <c r="AK12" i="833"/>
  <c r="AL12" i="833"/>
  <c r="AK136" i="833"/>
  <c r="AL136" i="833"/>
  <c r="AJ136" i="833"/>
  <c r="AK116" i="833" l="1"/>
  <c r="AL116" i="833"/>
  <c r="AK62" i="833"/>
  <c r="AL62" i="833"/>
  <c r="AK50" i="833"/>
  <c r="AL50" i="833"/>
  <c r="AL23" i="833"/>
  <c r="AK23" i="833"/>
  <c r="AK60" i="833"/>
  <c r="AL60" i="833"/>
  <c r="AL13" i="833"/>
  <c r="AK13" i="833"/>
  <c r="AK132" i="833"/>
  <c r="AL132" i="833"/>
  <c r="AK40" i="833"/>
  <c r="AL40" i="833"/>
  <c r="AL33" i="833"/>
  <c r="AK33" i="833"/>
  <c r="AK106" i="833"/>
  <c r="AL106" i="833"/>
  <c r="AL92" i="833"/>
  <c r="AK92" i="833"/>
  <c r="AK82" i="833"/>
  <c r="AL82" i="833"/>
  <c r="AL42" i="833"/>
  <c r="AK42" i="833"/>
  <c r="AK46" i="833"/>
  <c r="AL46" i="833"/>
  <c r="AK20" i="833"/>
  <c r="AL20" i="833"/>
  <c r="AK102" i="833"/>
  <c r="AL102" i="833"/>
  <c r="AK70" i="833"/>
  <c r="AL70" i="833"/>
  <c r="AL122" i="833"/>
  <c r="AK122" i="833"/>
  <c r="AK96" i="833"/>
  <c r="AL96" i="833"/>
  <c r="N41" i="832" l="1"/>
  <c r="N43" i="832" l="1"/>
  <c r="N26" i="832" l="1"/>
  <c r="AF29" i="832" l="1"/>
  <c r="N39" i="832" l="1"/>
  <c r="N35" i="832" l="1"/>
  <c r="N30" i="832"/>
  <c r="N33" i="832"/>
  <c r="AF23" i="832" l="1"/>
  <c r="N28" i="832"/>
  <c r="AX148" i="832" l="1"/>
  <c r="AW148" i="832"/>
  <c r="AN148" i="832"/>
  <c r="AO148" i="832" s="1"/>
  <c r="U148" i="832"/>
  <c r="V148" i="832" s="1"/>
  <c r="N148" i="832"/>
  <c r="AX147" i="832"/>
  <c r="AW147" i="832"/>
  <c r="AN147" i="832"/>
  <c r="AO147" i="832" s="1"/>
  <c r="U147" i="832"/>
  <c r="V147" i="832" s="1"/>
  <c r="N147" i="832"/>
  <c r="AX146" i="832"/>
  <c r="AW146" i="832"/>
  <c r="AN146" i="832"/>
  <c r="AO146" i="832" s="1"/>
  <c r="V146" i="832"/>
  <c r="U146" i="832"/>
  <c r="N146" i="832"/>
  <c r="AX145" i="832"/>
  <c r="AW145" i="832"/>
  <c r="AN145" i="832"/>
  <c r="AO145" i="832" s="1"/>
  <c r="U145" i="832"/>
  <c r="V145" i="832" s="1"/>
  <c r="N145" i="832"/>
  <c r="AX144" i="832"/>
  <c r="AW144" i="832"/>
  <c r="AN144" i="832"/>
  <c r="AO144" i="832" s="1"/>
  <c r="U144" i="832"/>
  <c r="V144" i="832" s="1"/>
  <c r="N144" i="832"/>
  <c r="AX143" i="832"/>
  <c r="AW143" i="832"/>
  <c r="AN143" i="832"/>
  <c r="AO143" i="832" s="1"/>
  <c r="U143" i="832"/>
  <c r="V143" i="832" s="1"/>
  <c r="N143" i="832"/>
  <c r="AX142" i="832"/>
  <c r="AW142" i="832"/>
  <c r="AN142" i="832"/>
  <c r="AO142" i="832" s="1"/>
  <c r="U142" i="832"/>
  <c r="V142" i="832" s="1"/>
  <c r="N142" i="832"/>
  <c r="AX141" i="832"/>
  <c r="AW141" i="832"/>
  <c r="AN141" i="832"/>
  <c r="AO141" i="832" s="1"/>
  <c r="U141" i="832"/>
  <c r="V141" i="832" s="1"/>
  <c r="N141" i="832"/>
  <c r="AX140" i="832"/>
  <c r="AW140" i="832"/>
  <c r="AN140" i="832"/>
  <c r="AO140" i="832" s="1"/>
  <c r="U140" i="832"/>
  <c r="V140" i="832" s="1"/>
  <c r="N140" i="832"/>
  <c r="AX139" i="832"/>
  <c r="AW139" i="832"/>
  <c r="AN139" i="832"/>
  <c r="AO139" i="832" s="1"/>
  <c r="U139" i="832"/>
  <c r="V139" i="832" s="1"/>
  <c r="N139" i="832"/>
  <c r="AX138" i="832"/>
  <c r="AW138" i="832"/>
  <c r="AN138" i="832"/>
  <c r="AO138" i="832" s="1"/>
  <c r="U138" i="832"/>
  <c r="V138" i="832" s="1"/>
  <c r="N138" i="832"/>
  <c r="AX137" i="832"/>
  <c r="AW137" i="832"/>
  <c r="AN137" i="832"/>
  <c r="AO137" i="832" s="1"/>
  <c r="U137" i="832"/>
  <c r="V137" i="832" s="1"/>
  <c r="N137" i="832"/>
  <c r="AX136" i="832"/>
  <c r="AW136" i="832"/>
  <c r="AN136" i="832"/>
  <c r="AO136" i="832" s="1"/>
  <c r="U136" i="832"/>
  <c r="V136" i="832" s="1"/>
  <c r="N136" i="832"/>
  <c r="AX135" i="832"/>
  <c r="AW135" i="832"/>
  <c r="AN135" i="832"/>
  <c r="AO135" i="832" s="1"/>
  <c r="U135" i="832"/>
  <c r="V135" i="832" s="1"/>
  <c r="N135" i="832"/>
  <c r="AX134" i="832"/>
  <c r="AW134" i="832"/>
  <c r="AN134" i="832"/>
  <c r="AO134" i="832" s="1"/>
  <c r="U134" i="832"/>
  <c r="V134" i="832" s="1"/>
  <c r="N134" i="832"/>
  <c r="AX133" i="832"/>
  <c r="AW133" i="832"/>
  <c r="AN133" i="832"/>
  <c r="AO133" i="832" s="1"/>
  <c r="U133" i="832"/>
  <c r="V133" i="832" s="1"/>
  <c r="N133" i="832"/>
  <c r="AX132" i="832"/>
  <c r="AW132" i="832"/>
  <c r="AN132" i="832"/>
  <c r="AO132" i="832" s="1"/>
  <c r="U132" i="832"/>
  <c r="V132" i="832" s="1"/>
  <c r="N132" i="832"/>
  <c r="AX131" i="832"/>
  <c r="AW131" i="832"/>
  <c r="AN131" i="832"/>
  <c r="AO131" i="832" s="1"/>
  <c r="U131" i="832"/>
  <c r="V131" i="832" s="1"/>
  <c r="N131" i="832"/>
  <c r="AX130" i="832"/>
  <c r="AW130" i="832"/>
  <c r="AN130" i="832"/>
  <c r="AO130" i="832" s="1"/>
  <c r="U130" i="832"/>
  <c r="V130" i="832" s="1"/>
  <c r="N130" i="832"/>
  <c r="AX129" i="832"/>
  <c r="AW129" i="832"/>
  <c r="AN129" i="832"/>
  <c r="AO129" i="832" s="1"/>
  <c r="U129" i="832"/>
  <c r="V129" i="832" s="1"/>
  <c r="N129" i="832"/>
  <c r="AX128" i="832"/>
  <c r="AW128" i="832"/>
  <c r="AN128" i="832"/>
  <c r="AO128" i="832" s="1"/>
  <c r="V128" i="832"/>
  <c r="U128" i="832"/>
  <c r="N128" i="832"/>
  <c r="AX127" i="832"/>
  <c r="AW127" i="832"/>
  <c r="AN127" i="832"/>
  <c r="AO127" i="832" s="1"/>
  <c r="U127" i="832"/>
  <c r="V127" i="832" s="1"/>
  <c r="N127" i="832"/>
  <c r="AX126" i="832"/>
  <c r="AW126" i="832"/>
  <c r="AN126" i="832"/>
  <c r="AO126" i="832" s="1"/>
  <c r="V126" i="832"/>
  <c r="U126" i="832"/>
  <c r="N126" i="832"/>
  <c r="AX125" i="832"/>
  <c r="AW125" i="832"/>
  <c r="AN125" i="832"/>
  <c r="AO125" i="832" s="1"/>
  <c r="U125" i="832"/>
  <c r="V125" i="832" s="1"/>
  <c r="N125" i="832"/>
  <c r="AX124" i="832"/>
  <c r="AW124" i="832"/>
  <c r="AN124" i="832"/>
  <c r="AO124" i="832" s="1"/>
  <c r="U124" i="832"/>
  <c r="V124" i="832" s="1"/>
  <c r="N124" i="832"/>
  <c r="AX123" i="832"/>
  <c r="AW123" i="832"/>
  <c r="AN123" i="832"/>
  <c r="AO123" i="832" s="1"/>
  <c r="U123" i="832"/>
  <c r="V123" i="832" s="1"/>
  <c r="N123" i="832"/>
  <c r="AX122" i="832"/>
  <c r="AW122" i="832"/>
  <c r="AN122" i="832"/>
  <c r="AO122" i="832" s="1"/>
  <c r="U122" i="832"/>
  <c r="V122" i="832" s="1"/>
  <c r="N122" i="832"/>
  <c r="AX121" i="832"/>
  <c r="AW121" i="832"/>
  <c r="AN121" i="832"/>
  <c r="AO121" i="832" s="1"/>
  <c r="U121" i="832"/>
  <c r="V121" i="832" s="1"/>
  <c r="N121" i="832"/>
  <c r="AX120" i="832"/>
  <c r="AW120" i="832"/>
  <c r="AN120" i="832"/>
  <c r="AO120" i="832" s="1"/>
  <c r="U120" i="832"/>
  <c r="V120" i="832" s="1"/>
  <c r="N120" i="832"/>
  <c r="AX119" i="832"/>
  <c r="AW119" i="832"/>
  <c r="AN119" i="832"/>
  <c r="AO119" i="832" s="1"/>
  <c r="V119" i="832"/>
  <c r="U119" i="832"/>
  <c r="N119" i="832"/>
  <c r="AX118" i="832"/>
  <c r="AW118" i="832"/>
  <c r="AN118" i="832"/>
  <c r="AO118" i="832" s="1"/>
  <c r="U118" i="832"/>
  <c r="V118" i="832" s="1"/>
  <c r="N118" i="832"/>
  <c r="AX117" i="832"/>
  <c r="AW117" i="832"/>
  <c r="AN117" i="832"/>
  <c r="AO117" i="832" s="1"/>
  <c r="U117" i="832"/>
  <c r="V117" i="832" s="1"/>
  <c r="N117" i="832"/>
  <c r="AX116" i="832"/>
  <c r="AW116" i="832"/>
  <c r="AN116" i="832"/>
  <c r="AO116" i="832" s="1"/>
  <c r="U116" i="832"/>
  <c r="V116" i="832" s="1"/>
  <c r="N116" i="832"/>
  <c r="AX115" i="832"/>
  <c r="AW115" i="832"/>
  <c r="AN115" i="832"/>
  <c r="AO115" i="832" s="1"/>
  <c r="U115" i="832"/>
  <c r="V115" i="832" s="1"/>
  <c r="N115" i="832"/>
  <c r="AX114" i="832"/>
  <c r="AW114" i="832"/>
  <c r="AN114" i="832"/>
  <c r="AO114" i="832" s="1"/>
  <c r="U114" i="832"/>
  <c r="V114" i="832" s="1"/>
  <c r="N114" i="832"/>
  <c r="AX113" i="832"/>
  <c r="AW113" i="832"/>
  <c r="AN113" i="832"/>
  <c r="AO113" i="832" s="1"/>
  <c r="U113" i="832"/>
  <c r="V113" i="832" s="1"/>
  <c r="N113" i="832"/>
  <c r="AX112" i="832"/>
  <c r="AW112" i="832"/>
  <c r="AN112" i="832"/>
  <c r="AO112" i="832" s="1"/>
  <c r="U112" i="832"/>
  <c r="V112" i="832" s="1"/>
  <c r="N112" i="832"/>
  <c r="AX111" i="832"/>
  <c r="AW111" i="832"/>
  <c r="AN111" i="832"/>
  <c r="AO111" i="832" s="1"/>
  <c r="U111" i="832"/>
  <c r="V111" i="832" s="1"/>
  <c r="N111" i="832"/>
  <c r="AX110" i="832"/>
  <c r="AW110" i="832"/>
  <c r="AN110" i="832"/>
  <c r="AO110" i="832" s="1"/>
  <c r="V110" i="832"/>
  <c r="U110" i="832"/>
  <c r="N110" i="832"/>
  <c r="AX109" i="832"/>
  <c r="AW109" i="832"/>
  <c r="AN109" i="832"/>
  <c r="AO109" i="832" s="1"/>
  <c r="U109" i="832"/>
  <c r="V109" i="832" s="1"/>
  <c r="N109" i="832"/>
  <c r="AX108" i="832"/>
  <c r="AW108" i="832"/>
  <c r="AN108" i="832"/>
  <c r="AO108" i="832" s="1"/>
  <c r="U108" i="832"/>
  <c r="V108" i="832" s="1"/>
  <c r="N108" i="832"/>
  <c r="AX107" i="832"/>
  <c r="AW107" i="832"/>
  <c r="AN107" i="832"/>
  <c r="AO107" i="832" s="1"/>
  <c r="V107" i="832"/>
  <c r="U107" i="832"/>
  <c r="N107" i="832"/>
  <c r="AX106" i="832"/>
  <c r="AW106" i="832"/>
  <c r="AN106" i="832"/>
  <c r="AO106" i="832" s="1"/>
  <c r="U106" i="832"/>
  <c r="V106" i="832" s="1"/>
  <c r="N106" i="832"/>
  <c r="AX105" i="832"/>
  <c r="AW105" i="832"/>
  <c r="AN105" i="832"/>
  <c r="AO105" i="832" s="1"/>
  <c r="U105" i="832"/>
  <c r="V105" i="832" s="1"/>
  <c r="N105" i="832"/>
  <c r="AX104" i="832"/>
  <c r="AW104" i="832"/>
  <c r="AN104" i="832"/>
  <c r="AO104" i="832" s="1"/>
  <c r="U104" i="832"/>
  <c r="V104" i="832" s="1"/>
  <c r="N104" i="832"/>
  <c r="AX103" i="832"/>
  <c r="AW103" i="832"/>
  <c r="AN103" i="832"/>
  <c r="AO103" i="832" s="1"/>
  <c r="U103" i="832"/>
  <c r="V103" i="832" s="1"/>
  <c r="N103" i="832"/>
  <c r="AX102" i="832"/>
  <c r="AW102" i="832"/>
  <c r="AN102" i="832"/>
  <c r="AO102" i="832" s="1"/>
  <c r="U102" i="832"/>
  <c r="V102" i="832" s="1"/>
  <c r="N102" i="832"/>
  <c r="AX101" i="832"/>
  <c r="AW101" i="832"/>
  <c r="AN101" i="832"/>
  <c r="AO101" i="832" s="1"/>
  <c r="U101" i="832"/>
  <c r="V101" i="832" s="1"/>
  <c r="N101" i="832"/>
  <c r="AX100" i="832"/>
  <c r="AW100" i="832"/>
  <c r="AN100" i="832"/>
  <c r="AO100" i="832" s="1"/>
  <c r="U100" i="832"/>
  <c r="V100" i="832" s="1"/>
  <c r="N100" i="832"/>
  <c r="AX99" i="832"/>
  <c r="AW99" i="832"/>
  <c r="AN99" i="832"/>
  <c r="AO99" i="832" s="1"/>
  <c r="U99" i="832"/>
  <c r="V99" i="832" s="1"/>
  <c r="N99" i="832"/>
  <c r="AX98" i="832"/>
  <c r="AW98" i="832"/>
  <c r="AN98" i="832"/>
  <c r="AO98" i="832" s="1"/>
  <c r="U98" i="832"/>
  <c r="V98" i="832" s="1"/>
  <c r="N98" i="832"/>
  <c r="AX97" i="832"/>
  <c r="AW97" i="832"/>
  <c r="AN97" i="832"/>
  <c r="AO97" i="832" s="1"/>
  <c r="U97" i="832"/>
  <c r="V97" i="832" s="1"/>
  <c r="N97" i="832"/>
  <c r="AX96" i="832"/>
  <c r="AW96" i="832"/>
  <c r="AN96" i="832"/>
  <c r="AO96" i="832" s="1"/>
  <c r="U96" i="832"/>
  <c r="V96" i="832" s="1"/>
  <c r="N96" i="832"/>
  <c r="AX95" i="832"/>
  <c r="AW95" i="832"/>
  <c r="AN95" i="832"/>
  <c r="AO95" i="832" s="1"/>
  <c r="U95" i="832"/>
  <c r="V95" i="832" s="1"/>
  <c r="N95" i="832"/>
  <c r="AX94" i="832"/>
  <c r="AW94" i="832"/>
  <c r="AN94" i="832"/>
  <c r="AO94" i="832" s="1"/>
  <c r="U94" i="832"/>
  <c r="V94" i="832" s="1"/>
  <c r="N94" i="832"/>
  <c r="AX93" i="832"/>
  <c r="AW93" i="832"/>
  <c r="AN93" i="832"/>
  <c r="AO93" i="832" s="1"/>
  <c r="U93" i="832"/>
  <c r="V93" i="832" s="1"/>
  <c r="N93" i="832"/>
  <c r="AX92" i="832"/>
  <c r="AW92" i="832"/>
  <c r="AN92" i="832"/>
  <c r="AO92" i="832" s="1"/>
  <c r="U92" i="832"/>
  <c r="V92" i="832" s="1"/>
  <c r="N92" i="832"/>
  <c r="AX91" i="832"/>
  <c r="AW91" i="832"/>
  <c r="AN91" i="832"/>
  <c r="AO91" i="832" s="1"/>
  <c r="U91" i="832"/>
  <c r="V91" i="832" s="1"/>
  <c r="N91" i="832"/>
  <c r="AX90" i="832"/>
  <c r="AW90" i="832"/>
  <c r="AN90" i="832"/>
  <c r="AO90" i="832" s="1"/>
  <c r="U90" i="832"/>
  <c r="V90" i="832" s="1"/>
  <c r="N90" i="832"/>
  <c r="AX89" i="832"/>
  <c r="AW89" i="832"/>
  <c r="AN89" i="832"/>
  <c r="AO89" i="832" s="1"/>
  <c r="U89" i="832"/>
  <c r="V89" i="832" s="1"/>
  <c r="N89" i="832"/>
  <c r="AX88" i="832"/>
  <c r="AW88" i="832"/>
  <c r="AN88" i="832"/>
  <c r="AO88" i="832" s="1"/>
  <c r="U88" i="832"/>
  <c r="V88" i="832" s="1"/>
  <c r="N88" i="832"/>
  <c r="AX87" i="832"/>
  <c r="AW87" i="832"/>
  <c r="AN87" i="832"/>
  <c r="AO87" i="832" s="1"/>
  <c r="U87" i="832"/>
  <c r="V87" i="832" s="1"/>
  <c r="N87" i="832"/>
  <c r="AX86" i="832"/>
  <c r="AW86" i="832"/>
  <c r="AN86" i="832"/>
  <c r="AO86" i="832" s="1"/>
  <c r="U86" i="832"/>
  <c r="V86" i="832" s="1"/>
  <c r="N86" i="832"/>
  <c r="AX85" i="832"/>
  <c r="AW85" i="832"/>
  <c r="AN85" i="832"/>
  <c r="AO85" i="832" s="1"/>
  <c r="U85" i="832"/>
  <c r="V85" i="832" s="1"/>
  <c r="N85" i="832"/>
  <c r="AX84" i="832"/>
  <c r="AW84" i="832"/>
  <c r="AN84" i="832"/>
  <c r="AO84" i="832" s="1"/>
  <c r="U84" i="832"/>
  <c r="V84" i="832" s="1"/>
  <c r="N84" i="832"/>
  <c r="AX83" i="832"/>
  <c r="AW83" i="832"/>
  <c r="AN83" i="832"/>
  <c r="AO83" i="832" s="1"/>
  <c r="U83" i="832"/>
  <c r="V83" i="832" s="1"/>
  <c r="N83" i="832"/>
  <c r="AX82" i="832"/>
  <c r="AW82" i="832"/>
  <c r="AN82" i="832"/>
  <c r="AO82" i="832" s="1"/>
  <c r="U82" i="832"/>
  <c r="V82" i="832" s="1"/>
  <c r="N82" i="832"/>
  <c r="AX81" i="832"/>
  <c r="AW81" i="832"/>
  <c r="AN81" i="832"/>
  <c r="AO81" i="832" s="1"/>
  <c r="U81" i="832"/>
  <c r="V81" i="832" s="1"/>
  <c r="N81" i="832"/>
  <c r="AX80" i="832"/>
  <c r="AW80" i="832"/>
  <c r="AN80" i="832"/>
  <c r="AO80" i="832" s="1"/>
  <c r="U80" i="832"/>
  <c r="V80" i="832" s="1"/>
  <c r="N80" i="832"/>
  <c r="AX79" i="832"/>
  <c r="AW79" i="832"/>
  <c r="AN79" i="832"/>
  <c r="AO79" i="832" s="1"/>
  <c r="U79" i="832"/>
  <c r="V79" i="832" s="1"/>
  <c r="N79" i="832"/>
  <c r="AX78" i="832"/>
  <c r="AW78" i="832"/>
  <c r="AN78" i="832"/>
  <c r="AO78" i="832" s="1"/>
  <c r="U78" i="832"/>
  <c r="V78" i="832" s="1"/>
  <c r="N78" i="832"/>
  <c r="AX77" i="832"/>
  <c r="AW77" i="832"/>
  <c r="AN77" i="832"/>
  <c r="AO77" i="832" s="1"/>
  <c r="V77" i="832"/>
  <c r="U77" i="832"/>
  <c r="N77" i="832"/>
  <c r="AX76" i="832"/>
  <c r="AW76" i="832"/>
  <c r="AN76" i="832"/>
  <c r="AO76" i="832" s="1"/>
  <c r="U76" i="832"/>
  <c r="V76" i="832" s="1"/>
  <c r="N76" i="832"/>
  <c r="AX75" i="832"/>
  <c r="AW75" i="832"/>
  <c r="AN75" i="832"/>
  <c r="AO75" i="832" s="1"/>
  <c r="U75" i="832"/>
  <c r="V75" i="832" s="1"/>
  <c r="N75" i="832"/>
  <c r="AX74" i="832"/>
  <c r="AW74" i="832"/>
  <c r="AN74" i="832"/>
  <c r="AO74" i="832" s="1"/>
  <c r="U74" i="832"/>
  <c r="V74" i="832" s="1"/>
  <c r="N74" i="832"/>
  <c r="AX73" i="832"/>
  <c r="AW73" i="832"/>
  <c r="AN73" i="832"/>
  <c r="AO73" i="832" s="1"/>
  <c r="U73" i="832"/>
  <c r="V73" i="832" s="1"/>
  <c r="N73" i="832"/>
  <c r="AX72" i="832"/>
  <c r="AW72" i="832"/>
  <c r="AN72" i="832"/>
  <c r="AO72" i="832" s="1"/>
  <c r="U72" i="832"/>
  <c r="V72" i="832" s="1"/>
  <c r="N72" i="832"/>
  <c r="AX71" i="832"/>
  <c r="AW71" i="832"/>
  <c r="AN71" i="832"/>
  <c r="AO71" i="832" s="1"/>
  <c r="U71" i="832"/>
  <c r="V71" i="832" s="1"/>
  <c r="N71" i="832"/>
  <c r="AX70" i="832"/>
  <c r="AW70" i="832"/>
  <c r="AN70" i="832"/>
  <c r="AO70" i="832" s="1"/>
  <c r="U70" i="832"/>
  <c r="V70" i="832" s="1"/>
  <c r="N70" i="832"/>
  <c r="AX69" i="832"/>
  <c r="AW69" i="832"/>
  <c r="AN69" i="832"/>
  <c r="AO69" i="832" s="1"/>
  <c r="U69" i="832"/>
  <c r="V69" i="832" s="1"/>
  <c r="N69" i="832"/>
  <c r="AX68" i="832"/>
  <c r="AW68" i="832"/>
  <c r="AN68" i="832"/>
  <c r="AO68" i="832" s="1"/>
  <c r="U68" i="832"/>
  <c r="V68" i="832" s="1"/>
  <c r="N68" i="832"/>
  <c r="AX67" i="832"/>
  <c r="AW67" i="832"/>
  <c r="AN67" i="832"/>
  <c r="AO67" i="832" s="1"/>
  <c r="U67" i="832"/>
  <c r="V67" i="832" s="1"/>
  <c r="N67" i="832"/>
  <c r="AX66" i="832"/>
  <c r="AW66" i="832"/>
  <c r="AN66" i="832"/>
  <c r="AO66" i="832" s="1"/>
  <c r="U66" i="832"/>
  <c r="V66" i="832" s="1"/>
  <c r="N66" i="832"/>
  <c r="AX65" i="832"/>
  <c r="AW65" i="832"/>
  <c r="AO65" i="832"/>
  <c r="AN65" i="832"/>
  <c r="U65" i="832"/>
  <c r="V65" i="832" s="1"/>
  <c r="N65" i="832"/>
  <c r="AX64" i="832"/>
  <c r="AW64" i="832"/>
  <c r="AN64" i="832"/>
  <c r="AO64" i="832" s="1"/>
  <c r="U64" i="832"/>
  <c r="V64" i="832" s="1"/>
  <c r="N64" i="832"/>
  <c r="AX63" i="832"/>
  <c r="AW63" i="832"/>
  <c r="AO63" i="832"/>
  <c r="AN63" i="832"/>
  <c r="V63" i="832"/>
  <c r="U63" i="832"/>
  <c r="N63" i="832"/>
  <c r="AX62" i="832"/>
  <c r="AW62" i="832"/>
  <c r="AN62" i="832"/>
  <c r="AO62" i="832" s="1"/>
  <c r="U62" i="832"/>
  <c r="V62" i="832" s="1"/>
  <c r="N62" i="832"/>
  <c r="AX61" i="832"/>
  <c r="AW61" i="832"/>
  <c r="AN61" i="832"/>
  <c r="AO61" i="832" s="1"/>
  <c r="U61" i="832"/>
  <c r="V61" i="832" s="1"/>
  <c r="N61" i="832"/>
  <c r="AX60" i="832"/>
  <c r="AW60" i="832"/>
  <c r="AN60" i="832"/>
  <c r="AO60" i="832" s="1"/>
  <c r="U60" i="832"/>
  <c r="V60" i="832" s="1"/>
  <c r="N60" i="832"/>
  <c r="AX59" i="832"/>
  <c r="AW59" i="832"/>
  <c r="AN59" i="832"/>
  <c r="AO59" i="832" s="1"/>
  <c r="U59" i="832"/>
  <c r="V59" i="832" s="1"/>
  <c r="N59" i="832"/>
  <c r="AX58" i="832"/>
  <c r="AW58" i="832"/>
  <c r="AN58" i="832"/>
  <c r="AO58" i="832" s="1"/>
  <c r="U58" i="832"/>
  <c r="V58" i="832" s="1"/>
  <c r="N58" i="832"/>
  <c r="AX57" i="832"/>
  <c r="AW57" i="832"/>
  <c r="AO57" i="832"/>
  <c r="AN57" i="832"/>
  <c r="U57" i="832"/>
  <c r="V57" i="832" s="1"/>
  <c r="N57" i="832"/>
  <c r="AX56" i="832"/>
  <c r="AW56" i="832"/>
  <c r="AN56" i="832"/>
  <c r="AO56" i="832" s="1"/>
  <c r="V56" i="832"/>
  <c r="U56" i="832"/>
  <c r="N56" i="832"/>
  <c r="AX55" i="832"/>
  <c r="AW55" i="832"/>
  <c r="AN55" i="832"/>
  <c r="AO55" i="832" s="1"/>
  <c r="U55" i="832"/>
  <c r="V55" i="832" s="1"/>
  <c r="N55" i="832"/>
  <c r="AX54" i="832"/>
  <c r="AW54" i="832"/>
  <c r="AN54" i="832"/>
  <c r="AO54" i="832" s="1"/>
  <c r="U54" i="832"/>
  <c r="V54" i="832" s="1"/>
  <c r="N54" i="832"/>
  <c r="AX53" i="832"/>
  <c r="AW53" i="832"/>
  <c r="AN53" i="832"/>
  <c r="AO53" i="832" s="1"/>
  <c r="U53" i="832"/>
  <c r="V53" i="832" s="1"/>
  <c r="N53" i="832"/>
  <c r="AX52" i="832"/>
  <c r="AW52" i="832"/>
  <c r="AN52" i="832"/>
  <c r="AO52" i="832" s="1"/>
  <c r="U52" i="832"/>
  <c r="V52" i="832" s="1"/>
  <c r="N52" i="832"/>
  <c r="AX51" i="832"/>
  <c r="AW51" i="832"/>
  <c r="AN51" i="832"/>
  <c r="AO51" i="832" s="1"/>
  <c r="U51" i="832"/>
  <c r="V51" i="832" s="1"/>
  <c r="N51" i="832"/>
  <c r="AX50" i="832"/>
  <c r="AW50" i="832"/>
  <c r="AN50" i="832"/>
  <c r="AO50" i="832" s="1"/>
  <c r="U50" i="832"/>
  <c r="V50" i="832" s="1"/>
  <c r="N50" i="832"/>
  <c r="AX49" i="832"/>
  <c r="AW49" i="832"/>
  <c r="AN49" i="832"/>
  <c r="AO49" i="832" s="1"/>
  <c r="U49" i="832"/>
  <c r="V49" i="832" s="1"/>
  <c r="N49" i="832"/>
  <c r="AX48" i="832"/>
  <c r="AW48" i="832"/>
  <c r="AN48" i="832"/>
  <c r="AO48" i="832" s="1"/>
  <c r="U48" i="832"/>
  <c r="V48" i="832" s="1"/>
  <c r="N48" i="832"/>
  <c r="AX47" i="832"/>
  <c r="AW47" i="832"/>
  <c r="AN47" i="832"/>
  <c r="AO47" i="832" s="1"/>
  <c r="V47" i="832"/>
  <c r="U47" i="832"/>
  <c r="N47" i="832"/>
  <c r="AX46" i="832"/>
  <c r="AW46" i="832"/>
  <c r="AO46" i="832"/>
  <c r="AN46" i="832"/>
  <c r="U46" i="832"/>
  <c r="V46" i="832" s="1"/>
  <c r="N46" i="832"/>
  <c r="AX45" i="832"/>
  <c r="AW45" i="832"/>
  <c r="AN45" i="832"/>
  <c r="AO45" i="832" s="1"/>
  <c r="U45" i="832"/>
  <c r="V45" i="832" s="1"/>
  <c r="N45" i="832"/>
  <c r="AX44" i="832"/>
  <c r="AW44" i="832"/>
  <c r="AN44" i="832"/>
  <c r="AO44" i="832" s="1"/>
  <c r="U44" i="832"/>
  <c r="V44" i="832" s="1"/>
  <c r="N44" i="832"/>
  <c r="AX42" i="832"/>
  <c r="AW42" i="832"/>
  <c r="AN42" i="832"/>
  <c r="AO42" i="832" s="1"/>
  <c r="U42" i="832"/>
  <c r="V42" i="832" s="1"/>
  <c r="N42" i="832"/>
  <c r="AX40" i="832"/>
  <c r="AW40" i="832"/>
  <c r="AN40" i="832"/>
  <c r="AO40" i="832" s="1"/>
  <c r="U40" i="832"/>
  <c r="V40" i="832" s="1"/>
  <c r="N40" i="832"/>
  <c r="AX38" i="832"/>
  <c r="AW38" i="832"/>
  <c r="AN38" i="832"/>
  <c r="AO38" i="832" s="1"/>
  <c r="U38" i="832"/>
  <c r="V38" i="832" s="1"/>
  <c r="N38" i="832"/>
  <c r="AX37" i="832"/>
  <c r="AW37" i="832"/>
  <c r="AN37" i="832"/>
  <c r="AO37" i="832" s="1"/>
  <c r="U37" i="832"/>
  <c r="V37" i="832" s="1"/>
  <c r="N37" i="832"/>
  <c r="AX36" i="832"/>
  <c r="AW36" i="832"/>
  <c r="AN36" i="832"/>
  <c r="AO36" i="832" s="1"/>
  <c r="U36" i="832"/>
  <c r="V36" i="832" s="1"/>
  <c r="N36" i="832"/>
  <c r="AX34" i="832"/>
  <c r="AW34" i="832"/>
  <c r="AN34" i="832"/>
  <c r="AO34" i="832" s="1"/>
  <c r="U34" i="832"/>
  <c r="V34" i="832" s="1"/>
  <c r="N34" i="832"/>
  <c r="AX32" i="832"/>
  <c r="AW32" i="832"/>
  <c r="AN32" i="832"/>
  <c r="AO32" i="832" s="1"/>
  <c r="U32" i="832"/>
  <c r="V32" i="832" s="1"/>
  <c r="N32" i="832"/>
  <c r="AX31" i="832"/>
  <c r="AW31" i="832"/>
  <c r="AN31" i="832"/>
  <c r="AO31" i="832" s="1"/>
  <c r="U31" i="832"/>
  <c r="V31" i="832" s="1"/>
  <c r="N31" i="832"/>
  <c r="AX29" i="832"/>
  <c r="AW29" i="832"/>
  <c r="AN29" i="832"/>
  <c r="AO29" i="832" s="1"/>
  <c r="U29" i="832"/>
  <c r="V29" i="832" s="1"/>
  <c r="N29" i="832"/>
  <c r="AX27" i="832"/>
  <c r="AW27" i="832"/>
  <c r="AO27" i="832"/>
  <c r="AN27" i="832"/>
  <c r="U27" i="832"/>
  <c r="V27" i="832" s="1"/>
  <c r="N27" i="832"/>
  <c r="AX25" i="832"/>
  <c r="AW25" i="832"/>
  <c r="AN25" i="832"/>
  <c r="AO25" i="832" s="1"/>
  <c r="U25" i="832"/>
  <c r="V25" i="832" s="1"/>
  <c r="N25" i="832"/>
  <c r="N24" i="832"/>
  <c r="AX23" i="832"/>
  <c r="AW23" i="832"/>
  <c r="AN23" i="832"/>
  <c r="AO23" i="832" s="1"/>
  <c r="U23" i="832"/>
  <c r="V23" i="832" s="1"/>
  <c r="N23" i="832"/>
  <c r="N22" i="832"/>
  <c r="AX21" i="832"/>
  <c r="AW21" i="832"/>
  <c r="AN21" i="832"/>
  <c r="AO21" i="832" s="1"/>
  <c r="U21" i="832"/>
  <c r="V21" i="832" s="1"/>
  <c r="N21" i="832"/>
  <c r="N20" i="832"/>
  <c r="AX19" i="832"/>
  <c r="AW19" i="832"/>
  <c r="AN19" i="832"/>
  <c r="AO19" i="832" s="1"/>
  <c r="U19" i="832"/>
  <c r="V19" i="832" s="1"/>
  <c r="N19" i="832"/>
  <c r="N18" i="832"/>
  <c r="AX17" i="832"/>
  <c r="AW17" i="832"/>
  <c r="AN17" i="832"/>
  <c r="AO17" i="832" s="1"/>
  <c r="U17" i="832"/>
  <c r="V17" i="832" s="1"/>
  <c r="N17" i="832"/>
  <c r="N16" i="832"/>
  <c r="AX15" i="832"/>
  <c r="AW15" i="832"/>
  <c r="AN15" i="832"/>
  <c r="AO15" i="832" s="1"/>
  <c r="U15" i="832"/>
  <c r="V15" i="832" s="1"/>
  <c r="N15" i="832"/>
  <c r="N14" i="832"/>
  <c r="AX13" i="832"/>
  <c r="AW13" i="832"/>
  <c r="AN13" i="832"/>
  <c r="AO13" i="832" s="1"/>
  <c r="U13" i="832"/>
  <c r="V13" i="832" s="1"/>
  <c r="N13" i="832"/>
  <c r="N12" i="832"/>
  <c r="AX11" i="832"/>
  <c r="AW11" i="832"/>
  <c r="AN11" i="832"/>
  <c r="AO11" i="832" s="1"/>
  <c r="U11" i="832"/>
  <c r="V11" i="832" s="1"/>
  <c r="N11" i="832"/>
  <c r="N10" i="832"/>
  <c r="AX9" i="832"/>
  <c r="AW9" i="832"/>
  <c r="AN9" i="832"/>
  <c r="AO9" i="832" s="1"/>
  <c r="U9" i="832"/>
  <c r="V9" i="832" s="1"/>
  <c r="N9" i="832"/>
  <c r="N8" i="832"/>
  <c r="AX7" i="832"/>
  <c r="AW7" i="832"/>
  <c r="AN7" i="832"/>
  <c r="AO7" i="832" s="1"/>
  <c r="U7" i="832"/>
  <c r="V7" i="832" s="1"/>
  <c r="N7" i="832"/>
  <c r="N6" i="832"/>
  <c r="AX5" i="832"/>
  <c r="AW5" i="832"/>
  <c r="AN5" i="832"/>
  <c r="AO5" i="832" s="1"/>
  <c r="U5" i="832"/>
  <c r="V5" i="832" s="1"/>
  <c r="N5" i="832"/>
  <c r="AS2" i="832"/>
  <c r="AA2" i="832"/>
  <c r="AD2" i="832" s="1"/>
  <c r="I2" i="832"/>
  <c r="AB86" i="832" s="1"/>
  <c r="AC86" i="832" s="1"/>
  <c r="AE86" i="832" s="1"/>
  <c r="AJ86" i="832" l="1"/>
  <c r="AH139" i="832"/>
  <c r="AJ79" i="832"/>
  <c r="AH79" i="832"/>
  <c r="AJ53" i="832"/>
  <c r="AB98" i="832"/>
  <c r="AC98" i="832" s="1"/>
  <c r="AE98" i="832" s="1"/>
  <c r="AJ98" i="832" s="1"/>
  <c r="AB143" i="832"/>
  <c r="AC143" i="832" s="1"/>
  <c r="AE143" i="832" s="1"/>
  <c r="AB133" i="832"/>
  <c r="AC133" i="832" s="1"/>
  <c r="AE133" i="832" s="1"/>
  <c r="AB123" i="832"/>
  <c r="AC123" i="832" s="1"/>
  <c r="AE123" i="832" s="1"/>
  <c r="AB113" i="832"/>
  <c r="AC113" i="832" s="1"/>
  <c r="AE113" i="832" s="1"/>
  <c r="AB103" i="832"/>
  <c r="AC103" i="832" s="1"/>
  <c r="AE103" i="832" s="1"/>
  <c r="AB93" i="832"/>
  <c r="AC93" i="832" s="1"/>
  <c r="AE93" i="832" s="1"/>
  <c r="AB83" i="832"/>
  <c r="AC83" i="832" s="1"/>
  <c r="AE83" i="832" s="1"/>
  <c r="AB73" i="832"/>
  <c r="AC73" i="832" s="1"/>
  <c r="AE73" i="832" s="1"/>
  <c r="AB63" i="832"/>
  <c r="AC63" i="832" s="1"/>
  <c r="AE63" i="832" s="1"/>
  <c r="AJ63" i="832" s="1"/>
  <c r="AB53" i="832"/>
  <c r="AC53" i="832" s="1"/>
  <c r="AE53" i="832" s="1"/>
  <c r="AH53" i="832" s="1"/>
  <c r="AB42" i="832"/>
  <c r="AC42" i="832" s="1"/>
  <c r="AB25" i="832"/>
  <c r="AC25" i="832" s="1"/>
  <c r="AE25" i="832" s="1"/>
  <c r="AJ25" i="832" s="1"/>
  <c r="AB140" i="832"/>
  <c r="AC140" i="832" s="1"/>
  <c r="AE140" i="832" s="1"/>
  <c r="AB130" i="832"/>
  <c r="AC130" i="832" s="1"/>
  <c r="AE130" i="832" s="1"/>
  <c r="AB120" i="832"/>
  <c r="AC120" i="832" s="1"/>
  <c r="AE120" i="832" s="1"/>
  <c r="AB110" i="832"/>
  <c r="AC110" i="832" s="1"/>
  <c r="AE110" i="832" s="1"/>
  <c r="AB100" i="832"/>
  <c r="AC100" i="832" s="1"/>
  <c r="AE100" i="832" s="1"/>
  <c r="AH100" i="832" s="1"/>
  <c r="AB90" i="832"/>
  <c r="AC90" i="832" s="1"/>
  <c r="AE90" i="832" s="1"/>
  <c r="AJ90" i="832" s="1"/>
  <c r="AB80" i="832"/>
  <c r="AC80" i="832" s="1"/>
  <c r="AE80" i="832" s="1"/>
  <c r="AJ80" i="832" s="1"/>
  <c r="AB70" i="832"/>
  <c r="AC70" i="832" s="1"/>
  <c r="AE70" i="832" s="1"/>
  <c r="AJ70" i="832" s="1"/>
  <c r="AB60" i="832"/>
  <c r="AC60" i="832" s="1"/>
  <c r="AE60" i="832" s="1"/>
  <c r="AH60" i="832" s="1"/>
  <c r="AB50" i="832"/>
  <c r="AC50" i="832" s="1"/>
  <c r="AE50" i="832" s="1"/>
  <c r="AJ50" i="832" s="1"/>
  <c r="AB37" i="832"/>
  <c r="AC37" i="832" s="1"/>
  <c r="AE37" i="832" s="1"/>
  <c r="AJ37" i="832" s="1"/>
  <c r="AB147" i="832"/>
  <c r="AC147" i="832" s="1"/>
  <c r="AE147" i="832" s="1"/>
  <c r="AH147" i="832" s="1"/>
  <c r="AB137" i="832"/>
  <c r="AC137" i="832" s="1"/>
  <c r="AE137" i="832" s="1"/>
  <c r="AJ137" i="832" s="1"/>
  <c r="AB127" i="832"/>
  <c r="AC127" i="832" s="1"/>
  <c r="AE127" i="832" s="1"/>
  <c r="AH127" i="832" s="1"/>
  <c r="AB117" i="832"/>
  <c r="AC117" i="832" s="1"/>
  <c r="AE117" i="832" s="1"/>
  <c r="AH117" i="832" s="1"/>
  <c r="AB107" i="832"/>
  <c r="AC107" i="832" s="1"/>
  <c r="AE107" i="832" s="1"/>
  <c r="AH107" i="832" s="1"/>
  <c r="AB97" i="832"/>
  <c r="AC97" i="832" s="1"/>
  <c r="AE97" i="832" s="1"/>
  <c r="AJ97" i="832" s="1"/>
  <c r="AB144" i="832"/>
  <c r="AC144" i="832" s="1"/>
  <c r="AE144" i="832" s="1"/>
  <c r="AJ144" i="832" s="1"/>
  <c r="AB134" i="832"/>
  <c r="AC134" i="832" s="1"/>
  <c r="AE134" i="832" s="1"/>
  <c r="AJ134" i="832" s="1"/>
  <c r="AB124" i="832"/>
  <c r="AC124" i="832" s="1"/>
  <c r="AE124" i="832" s="1"/>
  <c r="AJ124" i="832" s="1"/>
  <c r="AB114" i="832"/>
  <c r="AC114" i="832" s="1"/>
  <c r="AE114" i="832" s="1"/>
  <c r="AH114" i="832" s="1"/>
  <c r="AB104" i="832"/>
  <c r="AC104" i="832" s="1"/>
  <c r="AE104" i="832" s="1"/>
  <c r="AJ104" i="832" s="1"/>
  <c r="AB94" i="832"/>
  <c r="AC94" i="832" s="1"/>
  <c r="AE94" i="832" s="1"/>
  <c r="AJ94" i="832" s="1"/>
  <c r="AB84" i="832"/>
  <c r="AC84" i="832" s="1"/>
  <c r="AE84" i="832" s="1"/>
  <c r="AJ84" i="832" s="1"/>
  <c r="AB74" i="832"/>
  <c r="AC74" i="832" s="1"/>
  <c r="AE74" i="832" s="1"/>
  <c r="AJ74" i="832" s="1"/>
  <c r="AB64" i="832"/>
  <c r="AC64" i="832" s="1"/>
  <c r="AE64" i="832" s="1"/>
  <c r="AH64" i="832" s="1"/>
  <c r="AB54" i="832"/>
  <c r="AC54" i="832" s="1"/>
  <c r="AE54" i="832" s="1"/>
  <c r="AH54" i="832" s="1"/>
  <c r="AB44" i="832"/>
  <c r="AC44" i="832" s="1"/>
  <c r="AE44" i="832" s="1"/>
  <c r="AJ44" i="832" s="1"/>
  <c r="AB27" i="832"/>
  <c r="AC27" i="832" s="1"/>
  <c r="AE27" i="832" s="1"/>
  <c r="AJ27" i="832" s="1"/>
  <c r="AB19" i="832"/>
  <c r="AC19" i="832" s="1"/>
  <c r="AE19" i="832" s="1"/>
  <c r="AJ19" i="832" s="1"/>
  <c r="AB13" i="832"/>
  <c r="AC13" i="832" s="1"/>
  <c r="AE13" i="832" s="1"/>
  <c r="AJ13" i="832" s="1"/>
  <c r="AB5" i="832"/>
  <c r="AC5" i="832" s="1"/>
  <c r="AE5" i="832" s="1"/>
  <c r="AH5" i="832" s="1"/>
  <c r="AB141" i="832"/>
  <c r="AC141" i="832" s="1"/>
  <c r="AE141" i="832" s="1"/>
  <c r="AH141" i="832" s="1"/>
  <c r="AB76" i="832"/>
  <c r="AC76" i="832" s="1"/>
  <c r="AE76" i="832" s="1"/>
  <c r="AB46" i="832"/>
  <c r="AC46" i="832" s="1"/>
  <c r="AE46" i="832" s="1"/>
  <c r="AB139" i="832"/>
  <c r="AC139" i="832" s="1"/>
  <c r="AE139" i="832" s="1"/>
  <c r="AJ139" i="832" s="1"/>
  <c r="AB126" i="832"/>
  <c r="AC126" i="832" s="1"/>
  <c r="AE126" i="832" s="1"/>
  <c r="AB106" i="832"/>
  <c r="AC106" i="832" s="1"/>
  <c r="AE106" i="832" s="1"/>
  <c r="AB95" i="832"/>
  <c r="AC95" i="832" s="1"/>
  <c r="AE95" i="832" s="1"/>
  <c r="AH95" i="832" s="1"/>
  <c r="AB31" i="832"/>
  <c r="AC31" i="832" s="1"/>
  <c r="AE31" i="832" s="1"/>
  <c r="AB11" i="832"/>
  <c r="AC11" i="832" s="1"/>
  <c r="AE11" i="832" s="1"/>
  <c r="AB69" i="832"/>
  <c r="AC69" i="832" s="1"/>
  <c r="AE69" i="832" s="1"/>
  <c r="AJ69" i="832" s="1"/>
  <c r="AB59" i="832"/>
  <c r="AC59" i="832" s="1"/>
  <c r="AE59" i="832" s="1"/>
  <c r="AB135" i="832"/>
  <c r="AC135" i="832" s="1"/>
  <c r="AE135" i="832" s="1"/>
  <c r="AH135" i="832" s="1"/>
  <c r="AB131" i="832"/>
  <c r="AC131" i="832" s="1"/>
  <c r="AE131" i="832" s="1"/>
  <c r="AJ131" i="832" s="1"/>
  <c r="AB111" i="832"/>
  <c r="AC111" i="832" s="1"/>
  <c r="AE111" i="832" s="1"/>
  <c r="AH111" i="832" s="1"/>
  <c r="AB115" i="832"/>
  <c r="AC115" i="832" s="1"/>
  <c r="AE115" i="832" s="1"/>
  <c r="AJ115" i="832" s="1"/>
  <c r="AB132" i="832"/>
  <c r="AC132" i="832" s="1"/>
  <c r="AE132" i="832" s="1"/>
  <c r="AB116" i="832"/>
  <c r="AC116" i="832" s="1"/>
  <c r="AE116" i="832" s="1"/>
  <c r="AB82" i="832"/>
  <c r="AC82" i="832" s="1"/>
  <c r="AE82" i="832" s="1"/>
  <c r="AJ82" i="832" s="1"/>
  <c r="AB47" i="832"/>
  <c r="AC47" i="832" s="1"/>
  <c r="AE47" i="832" s="1"/>
  <c r="AH47" i="832" s="1"/>
  <c r="AB148" i="832"/>
  <c r="AC148" i="832" s="1"/>
  <c r="AE148" i="832" s="1"/>
  <c r="AH148" i="832" s="1"/>
  <c r="AB136" i="832"/>
  <c r="AC136" i="832" s="1"/>
  <c r="AE136" i="832" s="1"/>
  <c r="AJ136" i="832" s="1"/>
  <c r="AB121" i="832"/>
  <c r="AC121" i="832" s="1"/>
  <c r="AE121" i="832" s="1"/>
  <c r="AH121" i="832" s="1"/>
  <c r="AB61" i="832"/>
  <c r="AC61" i="832" s="1"/>
  <c r="AE61" i="832" s="1"/>
  <c r="AH61" i="832" s="1"/>
  <c r="AB52" i="832"/>
  <c r="AC52" i="832" s="1"/>
  <c r="AE52" i="832" s="1"/>
  <c r="AH52" i="832" s="1"/>
  <c r="AB9" i="832"/>
  <c r="AC9" i="832" s="1"/>
  <c r="AE9" i="832" s="1"/>
  <c r="AJ9" i="832" s="1"/>
  <c r="AB34" i="832"/>
  <c r="AC34" i="832" s="1"/>
  <c r="AE34" i="832" s="1"/>
  <c r="AH34" i="832" s="1"/>
  <c r="AB21" i="832"/>
  <c r="AC21" i="832" s="1"/>
  <c r="AE21" i="832" s="1"/>
  <c r="AJ21" i="832" s="1"/>
  <c r="AB99" i="832"/>
  <c r="AC99" i="832" s="1"/>
  <c r="AE99" i="832" s="1"/>
  <c r="AJ99" i="832" s="1"/>
  <c r="AB87" i="832"/>
  <c r="AC87" i="832" s="1"/>
  <c r="AE87" i="832" s="1"/>
  <c r="AJ87" i="832" s="1"/>
  <c r="AB65" i="832"/>
  <c r="AC65" i="832" s="1"/>
  <c r="AE65" i="832" s="1"/>
  <c r="AH65" i="832" s="1"/>
  <c r="AB45" i="832"/>
  <c r="AC45" i="832" s="1"/>
  <c r="AE45" i="832" s="1"/>
  <c r="AH45" i="832" s="1"/>
  <c r="AB91" i="832"/>
  <c r="AC91" i="832" s="1"/>
  <c r="AE91" i="832" s="1"/>
  <c r="AH91" i="832" s="1"/>
  <c r="AB78" i="832"/>
  <c r="AC78" i="832" s="1"/>
  <c r="AE78" i="832" s="1"/>
  <c r="AH78" i="832" s="1"/>
  <c r="AB56" i="832"/>
  <c r="AC56" i="832" s="1"/>
  <c r="AE56" i="832" s="1"/>
  <c r="AB89" i="832"/>
  <c r="AC89" i="832" s="1"/>
  <c r="AE89" i="832" s="1"/>
  <c r="AH89" i="832" s="1"/>
  <c r="AB146" i="832"/>
  <c r="AC146" i="832" s="1"/>
  <c r="AE146" i="832" s="1"/>
  <c r="AJ146" i="832" s="1"/>
  <c r="AB57" i="832"/>
  <c r="AC57" i="832" s="1"/>
  <c r="AE57" i="832" s="1"/>
  <c r="AJ57" i="832" s="1"/>
  <c r="AB138" i="832"/>
  <c r="AC138" i="832" s="1"/>
  <c r="AE138" i="832" s="1"/>
  <c r="AJ138" i="832" s="1"/>
  <c r="AB101" i="832"/>
  <c r="AC101" i="832" s="1"/>
  <c r="AE101" i="832" s="1"/>
  <c r="AH101" i="832" s="1"/>
  <c r="AB109" i="832"/>
  <c r="AC109" i="832" s="1"/>
  <c r="AE109" i="832" s="1"/>
  <c r="AJ109" i="832" s="1"/>
  <c r="AB129" i="832"/>
  <c r="AC129" i="832" s="1"/>
  <c r="AE129" i="832" s="1"/>
  <c r="AH129" i="832" s="1"/>
  <c r="AB119" i="832"/>
  <c r="AC119" i="832" s="1"/>
  <c r="AE119" i="832" s="1"/>
  <c r="AH119" i="832" s="1"/>
  <c r="AB142" i="832"/>
  <c r="AC142" i="832" s="1"/>
  <c r="AE142" i="832" s="1"/>
  <c r="AJ142" i="832" s="1"/>
  <c r="AB105" i="832"/>
  <c r="AC105" i="832" s="1"/>
  <c r="AE105" i="832" s="1"/>
  <c r="AH105" i="832" s="1"/>
  <c r="AB85" i="832"/>
  <c r="AC85" i="832" s="1"/>
  <c r="AE85" i="832" s="1"/>
  <c r="AH85" i="832" s="1"/>
  <c r="AB72" i="832"/>
  <c r="AC72" i="832" s="1"/>
  <c r="AE72" i="832" s="1"/>
  <c r="AH72" i="832" s="1"/>
  <c r="AB38" i="832"/>
  <c r="AC38" i="832" s="1"/>
  <c r="AE38" i="832" s="1"/>
  <c r="AH38" i="832" s="1"/>
  <c r="AB66" i="832"/>
  <c r="AC66" i="832" s="1"/>
  <c r="AE66" i="832" s="1"/>
  <c r="AJ66" i="832" s="1"/>
  <c r="AB71" i="832"/>
  <c r="AC71" i="832" s="1"/>
  <c r="AE71" i="832" s="1"/>
  <c r="AH71" i="832" s="1"/>
  <c r="AB79" i="832"/>
  <c r="AC79" i="832" s="1"/>
  <c r="AE79" i="832" s="1"/>
  <c r="AB92" i="832"/>
  <c r="AC92" i="832" s="1"/>
  <c r="AE92" i="832" s="1"/>
  <c r="AH92" i="832" s="1"/>
  <c r="AB75" i="832"/>
  <c r="AC75" i="832" s="1"/>
  <c r="AE75" i="832" s="1"/>
  <c r="AJ75" i="832" s="1"/>
  <c r="AB108" i="832"/>
  <c r="AC108" i="832" s="1"/>
  <c r="AE108" i="832" s="1"/>
  <c r="AJ108" i="832" s="1"/>
  <c r="AB118" i="832"/>
  <c r="AC118" i="832" s="1"/>
  <c r="AE118" i="832" s="1"/>
  <c r="AJ118" i="832" s="1"/>
  <c r="AJ58" i="832"/>
  <c r="AH58" i="832"/>
  <c r="AJ148" i="832"/>
  <c r="AB96" i="832"/>
  <c r="AC96" i="832" s="1"/>
  <c r="AE96" i="832" s="1"/>
  <c r="AH96" i="832" s="1"/>
  <c r="AB29" i="832"/>
  <c r="AC29" i="832" s="1"/>
  <c r="AE29" i="832" s="1"/>
  <c r="AJ29" i="832" s="1"/>
  <c r="AB40" i="832"/>
  <c r="AC40" i="832" s="1"/>
  <c r="AE40" i="832" s="1"/>
  <c r="AJ40" i="832" s="1"/>
  <c r="AB125" i="832"/>
  <c r="AC125" i="832" s="1"/>
  <c r="AE125" i="832" s="1"/>
  <c r="AJ125" i="832" s="1"/>
  <c r="AB81" i="832"/>
  <c r="AC81" i="832" s="1"/>
  <c r="AE81" i="832" s="1"/>
  <c r="AJ81" i="832" s="1"/>
  <c r="AB15" i="832"/>
  <c r="AC15" i="832" s="1"/>
  <c r="AE15" i="832" s="1"/>
  <c r="AH15" i="832" s="1"/>
  <c r="AB55" i="832"/>
  <c r="AC55" i="832" s="1"/>
  <c r="AE55" i="832" s="1"/>
  <c r="AH55" i="832" s="1"/>
  <c r="AB102" i="832"/>
  <c r="AC102" i="832" s="1"/>
  <c r="AE102" i="832" s="1"/>
  <c r="AJ102" i="832" s="1"/>
  <c r="AB128" i="832"/>
  <c r="AC128" i="832" s="1"/>
  <c r="AE128" i="832" s="1"/>
  <c r="AJ128" i="832" s="1"/>
  <c r="AH131" i="832"/>
  <c r="AB145" i="832"/>
  <c r="AC145" i="832" s="1"/>
  <c r="AE145" i="832" s="1"/>
  <c r="AJ145" i="832" s="1"/>
  <c r="AB58" i="832"/>
  <c r="AC58" i="832" s="1"/>
  <c r="AE58" i="832" s="1"/>
  <c r="AH145" i="832"/>
  <c r="AB68" i="832"/>
  <c r="AC68" i="832" s="1"/>
  <c r="AE68" i="832" s="1"/>
  <c r="AJ68" i="832" s="1"/>
  <c r="AH59" i="832"/>
  <c r="AJ59" i="832"/>
  <c r="AB62" i="832"/>
  <c r="AC62" i="832" s="1"/>
  <c r="AE62" i="832" s="1"/>
  <c r="AJ62" i="832" s="1"/>
  <c r="AB17" i="832"/>
  <c r="AC17" i="832" s="1"/>
  <c r="AE17" i="832" s="1"/>
  <c r="AJ17" i="832" s="1"/>
  <c r="AB51" i="832"/>
  <c r="AC51" i="832" s="1"/>
  <c r="AE51" i="832" s="1"/>
  <c r="AH51" i="832" s="1"/>
  <c r="AB88" i="832"/>
  <c r="AC88" i="832" s="1"/>
  <c r="AE88" i="832" s="1"/>
  <c r="AJ88" i="832" s="1"/>
  <c r="AH86" i="832"/>
  <c r="AB32" i="832"/>
  <c r="AC32" i="832" s="1"/>
  <c r="AE32" i="832" s="1"/>
  <c r="AH32" i="832" s="1"/>
  <c r="AB49" i="832"/>
  <c r="AC49" i="832" s="1"/>
  <c r="AE49" i="832" s="1"/>
  <c r="AJ49" i="832" s="1"/>
  <c r="AB122" i="832"/>
  <c r="AC122" i="832" s="1"/>
  <c r="AE122" i="832" s="1"/>
  <c r="AJ122" i="832" s="1"/>
  <c r="AB112" i="832"/>
  <c r="AC112" i="832" s="1"/>
  <c r="AE112" i="832" s="1"/>
  <c r="AJ112" i="832" s="1"/>
  <c r="AJ72" i="832"/>
  <c r="AB67" i="832"/>
  <c r="AC67" i="832" s="1"/>
  <c r="AE67" i="832" s="1"/>
  <c r="AJ67" i="832" s="1"/>
  <c r="AB7" i="832"/>
  <c r="AC7" i="832" s="1"/>
  <c r="AE7" i="832" s="1"/>
  <c r="AJ7" i="832" s="1"/>
  <c r="AB23" i="832"/>
  <c r="AC23" i="832" s="1"/>
  <c r="AE23" i="832" s="1"/>
  <c r="AH23" i="832" s="1"/>
  <c r="AB77" i="832"/>
  <c r="AC77" i="832" s="1"/>
  <c r="AE77" i="832" s="1"/>
  <c r="AJ77" i="832" s="1"/>
  <c r="AB48" i="832"/>
  <c r="AC48" i="832" s="1"/>
  <c r="AE48" i="832" s="1"/>
  <c r="AJ48" i="832" s="1"/>
  <c r="AB36" i="832"/>
  <c r="AC36" i="832" s="1"/>
  <c r="AE36" i="832" s="1"/>
  <c r="AJ36" i="832" s="1"/>
  <c r="AJ107" i="832"/>
  <c r="N42" i="831"/>
  <c r="N40" i="831"/>
  <c r="AE42" i="832" l="1"/>
  <c r="AH42" i="832" s="1"/>
  <c r="AH19" i="832"/>
  <c r="AL19" i="832" s="1"/>
  <c r="AH118" i="832"/>
  <c r="AJ141" i="832"/>
  <c r="AH137" i="832"/>
  <c r="AJ101" i="832"/>
  <c r="AJ147" i="832"/>
  <c r="AH82" i="832"/>
  <c r="AH36" i="832"/>
  <c r="AL36" i="832" s="1"/>
  <c r="AJ5" i="832"/>
  <c r="AH13" i="832"/>
  <c r="AH142" i="832"/>
  <c r="AK142" i="832" s="1"/>
  <c r="AH146" i="832"/>
  <c r="AK146" i="832" s="1"/>
  <c r="AJ117" i="832"/>
  <c r="AJ92" i="832"/>
  <c r="AH109" i="832"/>
  <c r="AK109" i="832" s="1"/>
  <c r="AJ78" i="832"/>
  <c r="AH136" i="832"/>
  <c r="AL136" i="832" s="1"/>
  <c r="AH69" i="832"/>
  <c r="AL69" i="832" s="1"/>
  <c r="AJ91" i="832"/>
  <c r="AH57" i="832"/>
  <c r="AK57" i="832" s="1"/>
  <c r="AJ51" i="832"/>
  <c r="AH27" i="832"/>
  <c r="AL27" i="832" s="1"/>
  <c r="AH66" i="832"/>
  <c r="AJ95" i="832"/>
  <c r="AJ129" i="832"/>
  <c r="AJ52" i="832"/>
  <c r="AH134" i="832"/>
  <c r="AJ121" i="832"/>
  <c r="AJ119" i="832"/>
  <c r="AH37" i="832"/>
  <c r="AK37" i="832" s="1"/>
  <c r="AH138" i="832"/>
  <c r="AH68" i="832"/>
  <c r="AL68" i="832" s="1"/>
  <c r="AH9" i="832"/>
  <c r="AL9" i="832" s="1"/>
  <c r="AJ61" i="832"/>
  <c r="AJ55" i="832"/>
  <c r="AH63" i="832"/>
  <c r="AK63" i="832" s="1"/>
  <c r="AJ34" i="832"/>
  <c r="AH77" i="832"/>
  <c r="AJ114" i="832"/>
  <c r="AJ23" i="832"/>
  <c r="AH124" i="832"/>
  <c r="AK124" i="832" s="1"/>
  <c r="AJ127" i="832"/>
  <c r="AJ47" i="832"/>
  <c r="AH81" i="832"/>
  <c r="AK81" i="832" s="1"/>
  <c r="AH144" i="832"/>
  <c r="AJ105" i="832"/>
  <c r="AH62" i="832"/>
  <c r="AK62" i="832" s="1"/>
  <c r="AH49" i="832"/>
  <c r="AL49" i="832" s="1"/>
  <c r="AH50" i="832"/>
  <c r="AL50" i="832" s="1"/>
  <c r="AH112" i="832"/>
  <c r="AK112" i="832" s="1"/>
  <c r="AJ60" i="832"/>
  <c r="AL85" i="832"/>
  <c r="AK85" i="832"/>
  <c r="AL60" i="832"/>
  <c r="AK60" i="832"/>
  <c r="AL51" i="832"/>
  <c r="AK51" i="832"/>
  <c r="AL54" i="832"/>
  <c r="AK54" i="832"/>
  <c r="AL100" i="832"/>
  <c r="AK100" i="832"/>
  <c r="AL89" i="832"/>
  <c r="AK89" i="832"/>
  <c r="AL111" i="832"/>
  <c r="AK111" i="832"/>
  <c r="AL45" i="832"/>
  <c r="AK45" i="832"/>
  <c r="AL135" i="832"/>
  <c r="AK135" i="832"/>
  <c r="AL114" i="832"/>
  <c r="AK114" i="832"/>
  <c r="AL38" i="832"/>
  <c r="AK38" i="832"/>
  <c r="AL95" i="832"/>
  <c r="AK95" i="832"/>
  <c r="AL53" i="832"/>
  <c r="AK53" i="832"/>
  <c r="AL32" i="832"/>
  <c r="AK32" i="832"/>
  <c r="AK15" i="832"/>
  <c r="AL15" i="832"/>
  <c r="AL78" i="832"/>
  <c r="AK78" i="832"/>
  <c r="AL96" i="832"/>
  <c r="AK96" i="832"/>
  <c r="AL65" i="832"/>
  <c r="AK65" i="832"/>
  <c r="AL52" i="832"/>
  <c r="AK52" i="832"/>
  <c r="AL92" i="832"/>
  <c r="AK92" i="832"/>
  <c r="AL71" i="832"/>
  <c r="AK71" i="832"/>
  <c r="AL117" i="832"/>
  <c r="AK117" i="832"/>
  <c r="AK129" i="832"/>
  <c r="AL129" i="832"/>
  <c r="AL138" i="832"/>
  <c r="AK138" i="832"/>
  <c r="AK66" i="832"/>
  <c r="AL66" i="832"/>
  <c r="AL55" i="832"/>
  <c r="AK55" i="832"/>
  <c r="AL144" i="832"/>
  <c r="AK144" i="832"/>
  <c r="AL105" i="832"/>
  <c r="AK105" i="832"/>
  <c r="AL141" i="832"/>
  <c r="AK141" i="832"/>
  <c r="AJ54" i="832"/>
  <c r="AH98" i="832"/>
  <c r="AL127" i="832"/>
  <c r="AK127" i="832"/>
  <c r="AL148" i="832"/>
  <c r="AK148" i="832"/>
  <c r="AK107" i="832"/>
  <c r="AL107" i="832"/>
  <c r="AL77" i="832"/>
  <c r="AK77" i="832"/>
  <c r="AJ111" i="832"/>
  <c r="AK58" i="832"/>
  <c r="AL58" i="832"/>
  <c r="AJ126" i="832"/>
  <c r="AH126" i="832"/>
  <c r="AJ38" i="832"/>
  <c r="AH115" i="832"/>
  <c r="AH73" i="832"/>
  <c r="AJ73" i="832"/>
  <c r="AH125" i="832"/>
  <c r="AJ76" i="832"/>
  <c r="AH76" i="832"/>
  <c r="AJ135" i="832"/>
  <c r="AL13" i="832"/>
  <c r="AK13" i="832"/>
  <c r="AH128" i="832"/>
  <c r="AH25" i="832"/>
  <c r="AH103" i="832"/>
  <c r="AJ103" i="832"/>
  <c r="AH70" i="832"/>
  <c r="AL81" i="832"/>
  <c r="AL5" i="832"/>
  <c r="AK5" i="832"/>
  <c r="AH113" i="832"/>
  <c r="AJ113" i="832"/>
  <c r="AJ15" i="832"/>
  <c r="AH17" i="832"/>
  <c r="AL82" i="832"/>
  <c r="AK82" i="832"/>
  <c r="AL72" i="832"/>
  <c r="AK72" i="832"/>
  <c r="AH90" i="832"/>
  <c r="AJ110" i="832"/>
  <c r="AH110" i="832"/>
  <c r="AL119" i="832"/>
  <c r="AK119" i="832"/>
  <c r="AK34" i="832"/>
  <c r="AL34" i="832"/>
  <c r="AH31" i="832"/>
  <c r="AJ31" i="832"/>
  <c r="AH7" i="832"/>
  <c r="AL145" i="832"/>
  <c r="AK145" i="832"/>
  <c r="AH84" i="832"/>
  <c r="AH87" i="832"/>
  <c r="AH40" i="832"/>
  <c r="AJ89" i="832"/>
  <c r="AH67" i="832"/>
  <c r="AL101" i="832"/>
  <c r="AK101" i="832"/>
  <c r="AJ83" i="832"/>
  <c r="AH83" i="832"/>
  <c r="AJ85" i="832"/>
  <c r="AL86" i="832"/>
  <c r="AK86" i="832"/>
  <c r="AJ45" i="832"/>
  <c r="AL47" i="832"/>
  <c r="AK47" i="832"/>
  <c r="AJ123" i="832"/>
  <c r="AH123" i="832"/>
  <c r="AH102" i="832"/>
  <c r="AH48" i="832"/>
  <c r="AJ96" i="832"/>
  <c r="AL134" i="832"/>
  <c r="AK134" i="832"/>
  <c r="AL131" i="832"/>
  <c r="AK131" i="832"/>
  <c r="AH132" i="832"/>
  <c r="AJ132" i="832"/>
  <c r="AK79" i="832"/>
  <c r="AL79" i="832"/>
  <c r="AK59" i="832"/>
  <c r="AL59" i="832"/>
  <c r="AH56" i="832"/>
  <c r="AJ56" i="832"/>
  <c r="AL64" i="832"/>
  <c r="AK64" i="832"/>
  <c r="AK147" i="832"/>
  <c r="AL147" i="832"/>
  <c r="AK139" i="832"/>
  <c r="AL139" i="832"/>
  <c r="AL137" i="832"/>
  <c r="AK137" i="832"/>
  <c r="AH74" i="832"/>
  <c r="AL61" i="832"/>
  <c r="AK61" i="832"/>
  <c r="AJ65" i="832"/>
  <c r="AH11" i="832"/>
  <c r="AJ11" i="832"/>
  <c r="AL142" i="832"/>
  <c r="AH75" i="832"/>
  <c r="AH104" i="832"/>
  <c r="AH21" i="832"/>
  <c r="AJ100" i="832"/>
  <c r="AH29" i="832"/>
  <c r="AK50" i="832"/>
  <c r="AH88" i="832"/>
  <c r="AJ71" i="832"/>
  <c r="AH93" i="832"/>
  <c r="AJ93" i="832"/>
  <c r="AH99" i="832"/>
  <c r="AH97" i="832"/>
  <c r="AJ32" i="832"/>
  <c r="AH94" i="832"/>
  <c r="AH108" i="832"/>
  <c r="AJ133" i="832"/>
  <c r="AH133" i="832"/>
  <c r="AL91" i="832"/>
  <c r="AK91" i="832"/>
  <c r="AL118" i="832"/>
  <c r="AK118" i="832"/>
  <c r="AL62" i="832"/>
  <c r="AJ120" i="832"/>
  <c r="AH120" i="832"/>
  <c r="AH44" i="832"/>
  <c r="AJ130" i="832"/>
  <c r="AH130" i="832"/>
  <c r="AH140" i="832"/>
  <c r="AJ140" i="832"/>
  <c r="AL121" i="832"/>
  <c r="AK121" i="832"/>
  <c r="AH80" i="832"/>
  <c r="AJ106" i="832"/>
  <c r="AH106" i="832"/>
  <c r="AH122" i="832"/>
  <c r="AK23" i="832"/>
  <c r="AL23" i="832"/>
  <c r="AJ64" i="832"/>
  <c r="AJ46" i="832"/>
  <c r="AH46" i="832"/>
  <c r="AH116" i="832"/>
  <c r="AJ116" i="832"/>
  <c r="AH143" i="832"/>
  <c r="AJ143" i="832"/>
  <c r="AB5" i="831"/>
  <c r="AJ42" i="832" l="1"/>
  <c r="AL42" i="832"/>
  <c r="AK42" i="832"/>
  <c r="AK19" i="832"/>
  <c r="AK9" i="832"/>
  <c r="AL57" i="832"/>
  <c r="AL109" i="832"/>
  <c r="AK36" i="832"/>
  <c r="AL63" i="832"/>
  <c r="AL146" i="832"/>
  <c r="AK136" i="832"/>
  <c r="AK69" i="832"/>
  <c r="AK49" i="832"/>
  <c r="AK27" i="832"/>
  <c r="AL112" i="832"/>
  <c r="AL37" i="832"/>
  <c r="AL124" i="832"/>
  <c r="AK68" i="832"/>
  <c r="AL17" i="832"/>
  <c r="AK17" i="832"/>
  <c r="AL97" i="832"/>
  <c r="AK97" i="832"/>
  <c r="AK73" i="832"/>
  <c r="AL73" i="832"/>
  <c r="AL116" i="832"/>
  <c r="AK116" i="832"/>
  <c r="AL93" i="832"/>
  <c r="AK93" i="832"/>
  <c r="AL44" i="832"/>
  <c r="AK44" i="832"/>
  <c r="AL88" i="832"/>
  <c r="AK88" i="832"/>
  <c r="AL83" i="832"/>
  <c r="AK83" i="832"/>
  <c r="AL70" i="832"/>
  <c r="AK70" i="832"/>
  <c r="AK110" i="832"/>
  <c r="AL110" i="832"/>
  <c r="AL128" i="832"/>
  <c r="AK128" i="832"/>
  <c r="AL40" i="832"/>
  <c r="AK40" i="832"/>
  <c r="AL87" i="832"/>
  <c r="AK87" i="832"/>
  <c r="AL104" i="832"/>
  <c r="AK104" i="832"/>
  <c r="AK102" i="832"/>
  <c r="AL102" i="832"/>
  <c r="AL76" i="832"/>
  <c r="AK76" i="832"/>
  <c r="AL115" i="832"/>
  <c r="AK115" i="832"/>
  <c r="AL140" i="832"/>
  <c r="AK140" i="832"/>
  <c r="AK56" i="832"/>
  <c r="AL56" i="832"/>
  <c r="AL46" i="832"/>
  <c r="AK46" i="832"/>
  <c r="AL132" i="832"/>
  <c r="AK132" i="832"/>
  <c r="AK21" i="832"/>
  <c r="AL21" i="832"/>
  <c r="AK106" i="832"/>
  <c r="AL106" i="832"/>
  <c r="AL75" i="832"/>
  <c r="AK75" i="832"/>
  <c r="AL123" i="832"/>
  <c r="AK123" i="832"/>
  <c r="AL31" i="832"/>
  <c r="AK31" i="832"/>
  <c r="AL126" i="832"/>
  <c r="AK126" i="832"/>
  <c r="AL103" i="832"/>
  <c r="AK103" i="832"/>
  <c r="AL25" i="832"/>
  <c r="AK25" i="832"/>
  <c r="AK122" i="832"/>
  <c r="AL122" i="832"/>
  <c r="AL84" i="832"/>
  <c r="AK84" i="832"/>
  <c r="AL108" i="832"/>
  <c r="AK108" i="832"/>
  <c r="AK7" i="832"/>
  <c r="AL7" i="832"/>
  <c r="AL125" i="832"/>
  <c r="AK125" i="832"/>
  <c r="AL98" i="832"/>
  <c r="AK98" i="832"/>
  <c r="AK143" i="832"/>
  <c r="AL143" i="832"/>
  <c r="AL11" i="832"/>
  <c r="AK11" i="832"/>
  <c r="AL99" i="832"/>
  <c r="AK99" i="832"/>
  <c r="AL130" i="832"/>
  <c r="AK130" i="832"/>
  <c r="AL113" i="832"/>
  <c r="AK113" i="832"/>
  <c r="AL120" i="832"/>
  <c r="AK120" i="832"/>
  <c r="AL74" i="832"/>
  <c r="AK74" i="832"/>
  <c r="AL67" i="832"/>
  <c r="AK67" i="832"/>
  <c r="AL29" i="832"/>
  <c r="AK29" i="832"/>
  <c r="AL90" i="832"/>
  <c r="AK90" i="832"/>
  <c r="AL48" i="832"/>
  <c r="AK48" i="832"/>
  <c r="AK133" i="832"/>
  <c r="AL133" i="832"/>
  <c r="AL80" i="832"/>
  <c r="AK80" i="832"/>
  <c r="AL94" i="832"/>
  <c r="AK94" i="832"/>
  <c r="N38" i="831"/>
  <c r="N36" i="831"/>
  <c r="I2" i="831"/>
  <c r="AA2" i="831"/>
  <c r="AD2" i="831"/>
  <c r="AS2" i="831"/>
  <c r="N5" i="831"/>
  <c r="U5" i="831"/>
  <c r="V5" i="831" s="1"/>
  <c r="AC5" i="831"/>
  <c r="AE5" i="831"/>
  <c r="AN5" i="831"/>
  <c r="AO5" i="831"/>
  <c r="AW5" i="831"/>
  <c r="AX5" i="831"/>
  <c r="N6" i="831"/>
  <c r="N7" i="831"/>
  <c r="U7" i="831"/>
  <c r="V7" i="831" s="1"/>
  <c r="AB7" i="831"/>
  <c r="AC7" i="831" s="1"/>
  <c r="AE7" i="831" s="1"/>
  <c r="AN7" i="831"/>
  <c r="AO7" i="831"/>
  <c r="AW7" i="831"/>
  <c r="AX7" i="831"/>
  <c r="N8" i="831"/>
  <c r="N9" i="831"/>
  <c r="U9" i="831"/>
  <c r="V9" i="831"/>
  <c r="AB9" i="831"/>
  <c r="AC9" i="831"/>
  <c r="AE9" i="831" s="1"/>
  <c r="AN9" i="831"/>
  <c r="AO9" i="831" s="1"/>
  <c r="AW9" i="831"/>
  <c r="AX9" i="831"/>
  <c r="N10" i="831"/>
  <c r="N11" i="831"/>
  <c r="U11" i="831"/>
  <c r="V11" i="831"/>
  <c r="AB11" i="831"/>
  <c r="AC11" i="831" s="1"/>
  <c r="AE11" i="831" s="1"/>
  <c r="AN11" i="831"/>
  <c r="AO11" i="831"/>
  <c r="AW11" i="831"/>
  <c r="AX11" i="831"/>
  <c r="N12" i="831"/>
  <c r="N13" i="831"/>
  <c r="U13" i="831"/>
  <c r="V13" i="831"/>
  <c r="AB13" i="831"/>
  <c r="AC13" i="831"/>
  <c r="AE13" i="831"/>
  <c r="AH13" i="831"/>
  <c r="AL13" i="831" s="1"/>
  <c r="AJ13" i="831"/>
  <c r="AK13" i="831"/>
  <c r="AN13" i="831"/>
  <c r="AO13" i="831"/>
  <c r="AW13" i="831"/>
  <c r="AX13" i="831"/>
  <c r="N14" i="831"/>
  <c r="N15" i="831"/>
  <c r="U15" i="831"/>
  <c r="V15" i="831"/>
  <c r="AB15" i="831"/>
  <c r="AC15" i="831" s="1"/>
  <c r="AE15" i="831" s="1"/>
  <c r="AJ15" i="831" s="1"/>
  <c r="AN15" i="831"/>
  <c r="AO15" i="831"/>
  <c r="AW15" i="831"/>
  <c r="AX15" i="831"/>
  <c r="N16" i="831"/>
  <c r="N17" i="831"/>
  <c r="U17" i="831"/>
  <c r="V17" i="831"/>
  <c r="AB17" i="831"/>
  <c r="AC17" i="831" s="1"/>
  <c r="AE17" i="831" s="1"/>
  <c r="AN17" i="831"/>
  <c r="AO17" i="831" s="1"/>
  <c r="AW17" i="831"/>
  <c r="AX17" i="831"/>
  <c r="N18" i="831"/>
  <c r="N19" i="831"/>
  <c r="U19" i="831"/>
  <c r="V19" i="831"/>
  <c r="AB19" i="831"/>
  <c r="AC19" i="831" s="1"/>
  <c r="AE19" i="831" s="1"/>
  <c r="AN19" i="831"/>
  <c r="AO19" i="831"/>
  <c r="AW19" i="831"/>
  <c r="AX19" i="831"/>
  <c r="N20" i="831"/>
  <c r="N21" i="831"/>
  <c r="U21" i="831"/>
  <c r="V21" i="831"/>
  <c r="AB21" i="831"/>
  <c r="AC21" i="831"/>
  <c r="AE21" i="831"/>
  <c r="AH21" i="831"/>
  <c r="AL21" i="831" s="1"/>
  <c r="AJ21" i="831"/>
  <c r="AK21" i="831"/>
  <c r="AN21" i="831"/>
  <c r="AO21" i="831"/>
  <c r="AW21" i="831"/>
  <c r="AX21" i="831"/>
  <c r="N22" i="831"/>
  <c r="N23" i="831"/>
  <c r="U23" i="831"/>
  <c r="V23" i="831"/>
  <c r="AB23" i="831"/>
  <c r="AC23" i="831"/>
  <c r="AE23" i="831"/>
  <c r="AJ23" i="831" s="1"/>
  <c r="AN23" i="831"/>
  <c r="AO23" i="831"/>
  <c r="AW23" i="831"/>
  <c r="AX23" i="831"/>
  <c r="N24" i="831"/>
  <c r="N25" i="831"/>
  <c r="U25" i="831"/>
  <c r="V25" i="831" s="1"/>
  <c r="AB25" i="831"/>
  <c r="AC25" i="831"/>
  <c r="AE25" i="831" s="1"/>
  <c r="AN25" i="831"/>
  <c r="AO25" i="831" s="1"/>
  <c r="AW25" i="831"/>
  <c r="AX25" i="831"/>
  <c r="N26" i="831"/>
  <c r="N27" i="831"/>
  <c r="U27" i="831"/>
  <c r="V27" i="831"/>
  <c r="AB27" i="831"/>
  <c r="AC27" i="831"/>
  <c r="AE27" i="831"/>
  <c r="AH27" i="831"/>
  <c r="AJ27" i="831"/>
  <c r="AK27" i="831"/>
  <c r="AL27" i="831"/>
  <c r="AN27" i="831"/>
  <c r="AO27" i="831"/>
  <c r="AW27" i="831"/>
  <c r="AX27" i="831"/>
  <c r="N28" i="831"/>
  <c r="N29" i="831"/>
  <c r="U29" i="831"/>
  <c r="V29" i="831"/>
  <c r="AB29" i="831"/>
  <c r="AC29" i="831"/>
  <c r="AE29" i="831"/>
  <c r="AH29" i="831"/>
  <c r="AJ29" i="831"/>
  <c r="AK29" i="831"/>
  <c r="AL29" i="831"/>
  <c r="AN29" i="831"/>
  <c r="AO29" i="831"/>
  <c r="AW29" i="831"/>
  <c r="AX29" i="831"/>
  <c r="N30" i="831"/>
  <c r="N31" i="831"/>
  <c r="U31" i="831"/>
  <c r="V31" i="831"/>
  <c r="AB31" i="831"/>
  <c r="AC31" i="831" s="1"/>
  <c r="AE31" i="831" s="1"/>
  <c r="AJ31" i="831" s="1"/>
  <c r="AN31" i="831"/>
  <c r="AO31" i="831"/>
  <c r="AW31" i="831"/>
  <c r="AX31" i="831"/>
  <c r="N32" i="831"/>
  <c r="N33" i="831"/>
  <c r="U33" i="831"/>
  <c r="V33" i="831" s="1"/>
  <c r="AB33" i="831"/>
  <c r="AC33" i="831" s="1"/>
  <c r="AE33" i="831" s="1"/>
  <c r="AN33" i="831"/>
  <c r="AO33" i="831" s="1"/>
  <c r="AW33" i="831"/>
  <c r="AX33" i="831"/>
  <c r="N34" i="831"/>
  <c r="N35" i="831"/>
  <c r="U35" i="831"/>
  <c r="V35" i="831"/>
  <c r="AB35" i="831"/>
  <c r="AC35" i="831" s="1"/>
  <c r="AE35" i="831" s="1"/>
  <c r="AN35" i="831"/>
  <c r="AO35" i="831"/>
  <c r="AW35" i="831"/>
  <c r="AX35" i="831"/>
  <c r="N37" i="831"/>
  <c r="U37" i="831"/>
  <c r="V37" i="831" s="1"/>
  <c r="AB37" i="831"/>
  <c r="AC37" i="831" s="1"/>
  <c r="AE37" i="831" s="1"/>
  <c r="AN37" i="831"/>
  <c r="AO37" i="831"/>
  <c r="AW37" i="831"/>
  <c r="AX37" i="831"/>
  <c r="N39" i="831"/>
  <c r="U39" i="831"/>
  <c r="V39" i="831" s="1"/>
  <c r="AB39" i="831"/>
  <c r="AC39" i="831" s="1"/>
  <c r="AE39" i="831" s="1"/>
  <c r="AN39" i="831"/>
  <c r="AO39" i="831"/>
  <c r="AW39" i="831"/>
  <c r="AX39" i="831"/>
  <c r="N41" i="831"/>
  <c r="U41" i="831"/>
  <c r="V41" i="831" s="1"/>
  <c r="AB41" i="831"/>
  <c r="AC41" i="831" s="1"/>
  <c r="AE41" i="831" s="1"/>
  <c r="AN41" i="831"/>
  <c r="AO41" i="831"/>
  <c r="AW41" i="831"/>
  <c r="AX41" i="831"/>
  <c r="N43" i="831"/>
  <c r="U43" i="831"/>
  <c r="V43" i="831"/>
  <c r="AB43" i="831"/>
  <c r="AC43" i="831" s="1"/>
  <c r="AE43" i="831" s="1"/>
  <c r="AN43" i="831"/>
  <c r="AO43" i="831"/>
  <c r="AW43" i="831"/>
  <c r="AX43" i="831"/>
  <c r="N44" i="831"/>
  <c r="U44" i="831"/>
  <c r="V44" i="831"/>
  <c r="AB44" i="831"/>
  <c r="AC44" i="831" s="1"/>
  <c r="AE44" i="831" s="1"/>
  <c r="AN44" i="831"/>
  <c r="AO44" i="831"/>
  <c r="AW44" i="831"/>
  <c r="AX44" i="831"/>
  <c r="N45" i="831"/>
  <c r="U45" i="831"/>
  <c r="V45" i="831" s="1"/>
  <c r="AH45" i="831" s="1"/>
  <c r="AB45" i="831"/>
  <c r="AC45" i="831"/>
  <c r="AE45" i="831"/>
  <c r="AJ45" i="831"/>
  <c r="AK45" i="831"/>
  <c r="AL45" i="831"/>
  <c r="AN45" i="831"/>
  <c r="AO45" i="831"/>
  <c r="AW45" i="831"/>
  <c r="AX45" i="831"/>
  <c r="N46" i="831"/>
  <c r="U46" i="831"/>
  <c r="V46" i="831" s="1"/>
  <c r="AH46" i="831" s="1"/>
  <c r="AL46" i="831" s="1"/>
  <c r="AB46" i="831"/>
  <c r="AC46" i="831"/>
  <c r="AE46" i="831"/>
  <c r="AN46" i="831"/>
  <c r="AO46" i="831"/>
  <c r="AW46" i="831"/>
  <c r="AX46" i="831"/>
  <c r="N47" i="831"/>
  <c r="U47" i="831"/>
  <c r="V47" i="831" s="1"/>
  <c r="AB47" i="831"/>
  <c r="AC47" i="831"/>
  <c r="AE47" i="831"/>
  <c r="AH47" i="831"/>
  <c r="AJ47" i="831"/>
  <c r="AN47" i="831"/>
  <c r="AO47" i="831"/>
  <c r="AW47" i="831"/>
  <c r="AX47" i="831"/>
  <c r="N48" i="831"/>
  <c r="U48" i="831"/>
  <c r="V48" i="831"/>
  <c r="AB48" i="831"/>
  <c r="AC48" i="831" s="1"/>
  <c r="AE48" i="831" s="1"/>
  <c r="AN48" i="831"/>
  <c r="AO48" i="831"/>
  <c r="AW48" i="831"/>
  <c r="AX48" i="831"/>
  <c r="N49" i="831"/>
  <c r="U49" i="831"/>
  <c r="V49" i="831"/>
  <c r="AB49" i="831"/>
  <c r="AC49" i="831"/>
  <c r="AE49" i="831"/>
  <c r="AN49" i="831"/>
  <c r="AO49" i="831"/>
  <c r="AW49" i="831"/>
  <c r="AX49" i="831"/>
  <c r="N50" i="831"/>
  <c r="U50" i="831"/>
  <c r="V50" i="831"/>
  <c r="AB50" i="831"/>
  <c r="AC50" i="831"/>
  <c r="AE50" i="831" s="1"/>
  <c r="AJ50" i="831" s="1"/>
  <c r="AN50" i="831"/>
  <c r="AO50" i="831"/>
  <c r="AW50" i="831"/>
  <c r="AX50" i="831"/>
  <c r="N51" i="831"/>
  <c r="U51" i="831"/>
  <c r="V51" i="831"/>
  <c r="AB51" i="831"/>
  <c r="AC51" i="831"/>
  <c r="AE51" i="831"/>
  <c r="AN51" i="831"/>
  <c r="AO51" i="831"/>
  <c r="AW51" i="831"/>
  <c r="AX51" i="831"/>
  <c r="N52" i="831"/>
  <c r="U52" i="831"/>
  <c r="V52" i="831"/>
  <c r="AH52" i="831" s="1"/>
  <c r="AB52" i="831"/>
  <c r="AC52" i="831"/>
  <c r="AE52" i="831"/>
  <c r="AN52" i="831"/>
  <c r="AO52" i="831"/>
  <c r="AW52" i="831"/>
  <c r="AX52" i="831"/>
  <c r="N53" i="831"/>
  <c r="U53" i="831"/>
  <c r="V53" i="831"/>
  <c r="AB53" i="831"/>
  <c r="AC53" i="831" s="1"/>
  <c r="AE53" i="831" s="1"/>
  <c r="AH53" i="831"/>
  <c r="AJ53" i="831"/>
  <c r="AK53" i="831"/>
  <c r="AL53" i="831"/>
  <c r="AN53" i="831"/>
  <c r="AO53" i="831" s="1"/>
  <c r="AW53" i="831"/>
  <c r="AX53" i="831"/>
  <c r="N54" i="831"/>
  <c r="U54" i="831"/>
  <c r="V54" i="831"/>
  <c r="AB54" i="831"/>
  <c r="AC54" i="831" s="1"/>
  <c r="AE54" i="831" s="1"/>
  <c r="AN54" i="831"/>
  <c r="AO54" i="831"/>
  <c r="AW54" i="831"/>
  <c r="AX54" i="831"/>
  <c r="N55" i="831"/>
  <c r="U55" i="831"/>
  <c r="V55" i="831"/>
  <c r="AB55" i="831"/>
  <c r="AC55" i="831"/>
  <c r="AE55" i="831"/>
  <c r="AH55" i="831"/>
  <c r="AL55" i="831" s="1"/>
  <c r="AJ55" i="831"/>
  <c r="AK55" i="831"/>
  <c r="AN55" i="831"/>
  <c r="AO55" i="831"/>
  <c r="AW55" i="831"/>
  <c r="AX55" i="831"/>
  <c r="N56" i="831"/>
  <c r="U56" i="831"/>
  <c r="V56" i="831" s="1"/>
  <c r="AB56" i="831"/>
  <c r="AC56" i="831"/>
  <c r="AE56" i="831"/>
  <c r="AH56" i="831"/>
  <c r="AN56" i="831"/>
  <c r="AO56" i="831"/>
  <c r="AW56" i="831"/>
  <c r="AX56" i="831"/>
  <c r="N57" i="831"/>
  <c r="U57" i="831"/>
  <c r="V57" i="831" s="1"/>
  <c r="AH57" i="831" s="1"/>
  <c r="AB57" i="831"/>
  <c r="AC57" i="831"/>
  <c r="AE57" i="831"/>
  <c r="AN57" i="831"/>
  <c r="AO57" i="831"/>
  <c r="AW57" i="831"/>
  <c r="AX57" i="831"/>
  <c r="N58" i="831"/>
  <c r="U58" i="831"/>
  <c r="V58" i="831" s="1"/>
  <c r="AH58" i="831" s="1"/>
  <c r="AB58" i="831"/>
  <c r="AC58" i="831"/>
  <c r="AE58" i="831"/>
  <c r="AJ58" i="831"/>
  <c r="AN58" i="831"/>
  <c r="AO58" i="831"/>
  <c r="AW58" i="831"/>
  <c r="AX58" i="831"/>
  <c r="N59" i="831"/>
  <c r="U59" i="831"/>
  <c r="V59" i="831"/>
  <c r="AB59" i="831"/>
  <c r="AC59" i="831" s="1"/>
  <c r="AE59" i="831" s="1"/>
  <c r="AN59" i="831"/>
  <c r="AO59" i="831"/>
  <c r="AW59" i="831"/>
  <c r="AX59" i="831"/>
  <c r="N60" i="831"/>
  <c r="U60" i="831"/>
  <c r="V60" i="831"/>
  <c r="AB60" i="831"/>
  <c r="AC60" i="831"/>
  <c r="AE60" i="831"/>
  <c r="AJ60" i="831" s="1"/>
  <c r="AN60" i="831"/>
  <c r="AO60" i="831"/>
  <c r="AW60" i="831"/>
  <c r="AX60" i="831"/>
  <c r="N61" i="831"/>
  <c r="U61" i="831"/>
  <c r="V61" i="831"/>
  <c r="AB61" i="831"/>
  <c r="AC61" i="831" s="1"/>
  <c r="AE61" i="831" s="1"/>
  <c r="AN61" i="831"/>
  <c r="AO61" i="831"/>
  <c r="AW61" i="831"/>
  <c r="AX61" i="831"/>
  <c r="N62" i="831"/>
  <c r="U62" i="831"/>
  <c r="V62" i="831"/>
  <c r="AB62" i="831"/>
  <c r="AC62" i="831"/>
  <c r="AE62" i="831"/>
  <c r="AH62" i="831"/>
  <c r="AJ62" i="831"/>
  <c r="AN62" i="831"/>
  <c r="AO62" i="831"/>
  <c r="AW62" i="831"/>
  <c r="AX62" i="831"/>
  <c r="N63" i="831"/>
  <c r="U63" i="831"/>
  <c r="V63" i="831"/>
  <c r="AB63" i="831"/>
  <c r="AC63" i="831" s="1"/>
  <c r="AE63" i="831" s="1"/>
  <c r="AH63" i="831"/>
  <c r="AJ63" i="831"/>
  <c r="AK63" i="831"/>
  <c r="AL63" i="831"/>
  <c r="AN63" i="831"/>
  <c r="AO63" i="831"/>
  <c r="AW63" i="831"/>
  <c r="AX63" i="831"/>
  <c r="N64" i="831"/>
  <c r="U64" i="831"/>
  <c r="V64" i="831" s="1"/>
  <c r="AB64" i="831"/>
  <c r="AC64" i="831" s="1"/>
  <c r="AE64" i="831" s="1"/>
  <c r="AN64" i="831"/>
  <c r="AO64" i="831"/>
  <c r="AW64" i="831"/>
  <c r="AX64" i="831"/>
  <c r="N65" i="831"/>
  <c r="U65" i="831"/>
  <c r="V65" i="831"/>
  <c r="AB65" i="831"/>
  <c r="AC65" i="831"/>
  <c r="AE65" i="831"/>
  <c r="AH65" i="831" s="1"/>
  <c r="AN65" i="831"/>
  <c r="AO65" i="831"/>
  <c r="AW65" i="831"/>
  <c r="AX65" i="831"/>
  <c r="N66" i="831"/>
  <c r="U66" i="831"/>
  <c r="V66" i="831" s="1"/>
  <c r="AB66" i="831"/>
  <c r="AC66" i="831"/>
  <c r="AE66" i="831" s="1"/>
  <c r="AN66" i="831"/>
  <c r="AO66" i="831"/>
  <c r="AW66" i="831"/>
  <c r="AX66" i="831"/>
  <c r="N67" i="831"/>
  <c r="U67" i="831"/>
  <c r="V67" i="831" s="1"/>
  <c r="AB67" i="831"/>
  <c r="AC67" i="831"/>
  <c r="AE67" i="831"/>
  <c r="AN67" i="831"/>
  <c r="AO67" i="831"/>
  <c r="AW67" i="831"/>
  <c r="AX67" i="831"/>
  <c r="N68" i="831"/>
  <c r="U68" i="831"/>
  <c r="V68" i="831"/>
  <c r="AB68" i="831"/>
  <c r="AC68" i="831"/>
  <c r="AE68" i="831"/>
  <c r="AH68" i="831"/>
  <c r="AJ68" i="831"/>
  <c r="AN68" i="831"/>
  <c r="AO68" i="831"/>
  <c r="AW68" i="831"/>
  <c r="AX68" i="831"/>
  <c r="N69" i="831"/>
  <c r="U69" i="831"/>
  <c r="V69" i="831"/>
  <c r="AB69" i="831"/>
  <c r="AC69" i="831"/>
  <c r="AE69" i="831"/>
  <c r="AH69" i="831"/>
  <c r="AJ69" i="831"/>
  <c r="AN69" i="831"/>
  <c r="AO69" i="831"/>
  <c r="AW69" i="831"/>
  <c r="AX69" i="831"/>
  <c r="N70" i="831"/>
  <c r="U70" i="831"/>
  <c r="V70" i="831"/>
  <c r="AB70" i="831"/>
  <c r="AC70" i="831"/>
  <c r="AE70" i="831"/>
  <c r="AJ70" i="831" s="1"/>
  <c r="AN70" i="831"/>
  <c r="AO70" i="831"/>
  <c r="AW70" i="831"/>
  <c r="AX70" i="831"/>
  <c r="N71" i="831"/>
  <c r="U71" i="831"/>
  <c r="V71" i="831" s="1"/>
  <c r="AB71" i="831"/>
  <c r="AC71" i="831"/>
  <c r="AE71" i="831"/>
  <c r="AN71" i="831"/>
  <c r="AO71" i="831"/>
  <c r="AW71" i="831"/>
  <c r="AX71" i="831"/>
  <c r="N72" i="831"/>
  <c r="U72" i="831"/>
  <c r="V72" i="831"/>
  <c r="AB72" i="831"/>
  <c r="AC72" i="831"/>
  <c r="AE72" i="831"/>
  <c r="AN72" i="831"/>
  <c r="AO72" i="831" s="1"/>
  <c r="AW72" i="831"/>
  <c r="AX72" i="831"/>
  <c r="N73" i="831"/>
  <c r="U73" i="831"/>
  <c r="V73" i="831"/>
  <c r="AB73" i="831"/>
  <c r="AC73" i="831" s="1"/>
  <c r="AE73" i="831" s="1"/>
  <c r="AH73" i="831"/>
  <c r="AJ73" i="831"/>
  <c r="AK73" i="831"/>
  <c r="AL73" i="831"/>
  <c r="AN73" i="831"/>
  <c r="AO73" i="831"/>
  <c r="AW73" i="831"/>
  <c r="AX73" i="831"/>
  <c r="N74" i="831"/>
  <c r="U74" i="831"/>
  <c r="V74" i="831"/>
  <c r="AB74" i="831"/>
  <c r="AC74" i="831" s="1"/>
  <c r="AE74" i="831" s="1"/>
  <c r="AN74" i="831"/>
  <c r="AO74" i="831"/>
  <c r="AW74" i="831"/>
  <c r="AX74" i="831"/>
  <c r="N75" i="831"/>
  <c r="U75" i="831"/>
  <c r="V75" i="831"/>
  <c r="AB75" i="831"/>
  <c r="AC75" i="831"/>
  <c r="AE75" i="831"/>
  <c r="AH75" i="831"/>
  <c r="AJ75" i="831"/>
  <c r="AK75" i="831"/>
  <c r="AL75" i="831"/>
  <c r="AN75" i="831"/>
  <c r="AO75" i="831"/>
  <c r="AW75" i="831"/>
  <c r="AX75" i="831"/>
  <c r="N76" i="831"/>
  <c r="U76" i="831"/>
  <c r="V76" i="831" s="1"/>
  <c r="AB76" i="831"/>
  <c r="AC76" i="831"/>
  <c r="AE76" i="831"/>
  <c r="AN76" i="831"/>
  <c r="AO76" i="831"/>
  <c r="AW76" i="831"/>
  <c r="AX76" i="831"/>
  <c r="N77" i="831"/>
  <c r="U77" i="831"/>
  <c r="V77" i="831" s="1"/>
  <c r="AB77" i="831"/>
  <c r="AC77" i="831"/>
  <c r="AE77" i="831"/>
  <c r="AN77" i="831"/>
  <c r="AO77" i="831"/>
  <c r="AW77" i="831"/>
  <c r="AX77" i="831"/>
  <c r="N78" i="831"/>
  <c r="U78" i="831"/>
  <c r="V78" i="831"/>
  <c r="AB78" i="831"/>
  <c r="AC78" i="831" s="1"/>
  <c r="AE78" i="831" s="1"/>
  <c r="AN78" i="831"/>
  <c r="AO78" i="831"/>
  <c r="AW78" i="831"/>
  <c r="AX78" i="831"/>
  <c r="N79" i="831"/>
  <c r="U79" i="831"/>
  <c r="V79" i="831"/>
  <c r="AB79" i="831"/>
  <c r="AC79" i="831"/>
  <c r="AE79" i="831"/>
  <c r="AN79" i="831"/>
  <c r="AO79" i="831"/>
  <c r="AW79" i="831"/>
  <c r="AX79" i="831"/>
  <c r="N80" i="831"/>
  <c r="U80" i="831"/>
  <c r="V80" i="831"/>
  <c r="AB80" i="831"/>
  <c r="AC80" i="831"/>
  <c r="AE80" i="831"/>
  <c r="AJ80" i="831" s="1"/>
  <c r="AN80" i="831"/>
  <c r="AO80" i="831"/>
  <c r="AW80" i="831"/>
  <c r="AX80" i="831"/>
  <c r="N81" i="831"/>
  <c r="U81" i="831"/>
  <c r="V81" i="831"/>
  <c r="AB81" i="831"/>
  <c r="AC81" i="831"/>
  <c r="AE81" i="831"/>
  <c r="AN81" i="831"/>
  <c r="AO81" i="831"/>
  <c r="AW81" i="831"/>
  <c r="AX81" i="831"/>
  <c r="N82" i="831"/>
  <c r="U82" i="831"/>
  <c r="V82" i="831" s="1"/>
  <c r="AB82" i="831"/>
  <c r="AC82" i="831" s="1"/>
  <c r="AE82" i="831" s="1"/>
  <c r="AN82" i="831"/>
  <c r="AO82" i="831"/>
  <c r="AW82" i="831"/>
  <c r="AX82" i="831"/>
  <c r="N83" i="831"/>
  <c r="U83" i="831"/>
  <c r="V83" i="831"/>
  <c r="AB83" i="831"/>
  <c r="AC83" i="831" s="1"/>
  <c r="AE83" i="831" s="1"/>
  <c r="AH83" i="831"/>
  <c r="AJ83" i="831"/>
  <c r="AK83" i="831"/>
  <c r="AL83" i="831"/>
  <c r="AN83" i="831"/>
  <c r="AO83" i="831" s="1"/>
  <c r="AW83" i="831"/>
  <c r="AX83" i="831"/>
  <c r="N84" i="831"/>
  <c r="U84" i="831"/>
  <c r="V84" i="831"/>
  <c r="AB84" i="831"/>
  <c r="AC84" i="831" s="1"/>
  <c r="AE84" i="831" s="1"/>
  <c r="AN84" i="831"/>
  <c r="AO84" i="831"/>
  <c r="AW84" i="831"/>
  <c r="AX84" i="831"/>
  <c r="N85" i="831"/>
  <c r="U85" i="831"/>
  <c r="V85" i="831"/>
  <c r="AB85" i="831"/>
  <c r="AC85" i="831"/>
  <c r="AE85" i="831"/>
  <c r="AH85" i="831"/>
  <c r="AJ85" i="831"/>
  <c r="AN85" i="831"/>
  <c r="AO85" i="831"/>
  <c r="AW85" i="831"/>
  <c r="AX85" i="831"/>
  <c r="N86" i="831"/>
  <c r="U86" i="831"/>
  <c r="V86" i="831" s="1"/>
  <c r="AB86" i="831"/>
  <c r="AC86" i="831"/>
  <c r="AE86" i="831"/>
  <c r="AH86" i="831"/>
  <c r="AJ86" i="831"/>
  <c r="AK86" i="831"/>
  <c r="AL86" i="831"/>
  <c r="AN86" i="831"/>
  <c r="AO86" i="831"/>
  <c r="AW86" i="831"/>
  <c r="AX86" i="831"/>
  <c r="N87" i="831"/>
  <c r="U87" i="831"/>
  <c r="V87" i="831" s="1"/>
  <c r="AB87" i="831"/>
  <c r="AC87" i="831"/>
  <c r="AE87" i="831"/>
  <c r="AH87" i="831"/>
  <c r="AJ87" i="831"/>
  <c r="AN87" i="831"/>
  <c r="AO87" i="831"/>
  <c r="AW87" i="831"/>
  <c r="AX87" i="831"/>
  <c r="N88" i="831"/>
  <c r="U88" i="831"/>
  <c r="V88" i="831"/>
  <c r="AB88" i="831"/>
  <c r="AC88" i="831"/>
  <c r="AE88" i="831"/>
  <c r="AH88" i="831"/>
  <c r="AJ88" i="831"/>
  <c r="AN88" i="831"/>
  <c r="AO88" i="831"/>
  <c r="AW88" i="831"/>
  <c r="AX88" i="831"/>
  <c r="N89" i="831"/>
  <c r="U89" i="831"/>
  <c r="V89" i="831"/>
  <c r="AB89" i="831"/>
  <c r="AC89" i="831" s="1"/>
  <c r="AE89" i="831" s="1"/>
  <c r="AN89" i="831"/>
  <c r="AO89" i="831"/>
  <c r="AW89" i="831"/>
  <c r="AX89" i="831"/>
  <c r="N90" i="831"/>
  <c r="U90" i="831"/>
  <c r="V90" i="831"/>
  <c r="AB90" i="831"/>
  <c r="AC90" i="831" s="1"/>
  <c r="AE90" i="831" s="1"/>
  <c r="AJ90" i="831" s="1"/>
  <c r="AN90" i="831"/>
  <c r="AO90" i="831"/>
  <c r="AW90" i="831"/>
  <c r="AX90" i="831"/>
  <c r="N91" i="831"/>
  <c r="U91" i="831"/>
  <c r="V91" i="831"/>
  <c r="AB91" i="831"/>
  <c r="AC91" i="831"/>
  <c r="AE91" i="831"/>
  <c r="AN91" i="831"/>
  <c r="AO91" i="831"/>
  <c r="AW91" i="831"/>
  <c r="AX91" i="831"/>
  <c r="N92" i="831"/>
  <c r="U92" i="831"/>
  <c r="V92" i="831"/>
  <c r="AB92" i="831"/>
  <c r="AC92" i="831"/>
  <c r="AE92" i="831"/>
  <c r="AH92" i="831"/>
  <c r="AN92" i="831"/>
  <c r="AO92" i="831"/>
  <c r="AW92" i="831"/>
  <c r="AX92" i="831"/>
  <c r="N93" i="831"/>
  <c r="U93" i="831"/>
  <c r="V93" i="831"/>
  <c r="AH93" i="831" s="1"/>
  <c r="AB93" i="831"/>
  <c r="AC93" i="831" s="1"/>
  <c r="AE93" i="831" s="1"/>
  <c r="AN93" i="831"/>
  <c r="AO93" i="831"/>
  <c r="AW93" i="831"/>
  <c r="AX93" i="831"/>
  <c r="N94" i="831"/>
  <c r="U94" i="831"/>
  <c r="V94" i="831"/>
  <c r="AB94" i="831"/>
  <c r="AC94" i="831" s="1"/>
  <c r="AE94" i="831" s="1"/>
  <c r="AJ94" i="831"/>
  <c r="AN94" i="831"/>
  <c r="AO94" i="831"/>
  <c r="AW94" i="831"/>
  <c r="AX94" i="831"/>
  <c r="N95" i="831"/>
  <c r="U95" i="831"/>
  <c r="V95" i="831"/>
  <c r="AH95" i="831" s="1"/>
  <c r="AK95" i="831" s="1"/>
  <c r="AB95" i="831"/>
  <c r="AC95" i="831" s="1"/>
  <c r="AE95" i="831" s="1"/>
  <c r="AN95" i="831"/>
  <c r="AO95" i="831"/>
  <c r="AW95" i="831"/>
  <c r="AX95" i="831"/>
  <c r="N96" i="831"/>
  <c r="U96" i="831"/>
  <c r="V96" i="831" s="1"/>
  <c r="AB96" i="831"/>
  <c r="AC96" i="831"/>
  <c r="AE96" i="831"/>
  <c r="AH96" i="831"/>
  <c r="AJ96" i="831"/>
  <c r="AK96" i="831"/>
  <c r="AL96" i="831"/>
  <c r="AN96" i="831"/>
  <c r="AO96" i="831" s="1"/>
  <c r="AW96" i="831"/>
  <c r="AX96" i="831"/>
  <c r="N97" i="831"/>
  <c r="U97" i="831"/>
  <c r="V97" i="831" s="1"/>
  <c r="AB97" i="831"/>
  <c r="AC97" i="831"/>
  <c r="AE97" i="831"/>
  <c r="AN97" i="831"/>
  <c r="AO97" i="831"/>
  <c r="AW97" i="831"/>
  <c r="AX97" i="831"/>
  <c r="N98" i="831"/>
  <c r="U98" i="831"/>
  <c r="V98" i="831"/>
  <c r="AB98" i="831"/>
  <c r="AC98" i="831"/>
  <c r="AE98" i="831"/>
  <c r="AN98" i="831"/>
  <c r="AO98" i="831"/>
  <c r="AW98" i="831"/>
  <c r="AX98" i="831"/>
  <c r="N99" i="831"/>
  <c r="U99" i="831"/>
  <c r="V99" i="831"/>
  <c r="AB99" i="831"/>
  <c r="AC99" i="831"/>
  <c r="AE99" i="831"/>
  <c r="AH99" i="831"/>
  <c r="AJ99" i="831"/>
  <c r="AK99" i="831"/>
  <c r="AL99" i="831"/>
  <c r="AN99" i="831"/>
  <c r="AO99" i="831"/>
  <c r="AW99" i="831"/>
  <c r="AX99" i="831"/>
  <c r="N100" i="831"/>
  <c r="U100" i="831"/>
  <c r="V100" i="831"/>
  <c r="AB100" i="831"/>
  <c r="AC100" i="831" s="1"/>
  <c r="AE100" i="831" s="1"/>
  <c r="AJ100" i="831" s="1"/>
  <c r="AN100" i="831"/>
  <c r="AO100" i="831"/>
  <c r="AW100" i="831"/>
  <c r="AX100" i="831"/>
  <c r="N101" i="831"/>
  <c r="U101" i="831"/>
  <c r="V101" i="831"/>
  <c r="AB101" i="831"/>
  <c r="AC101" i="831"/>
  <c r="AE101" i="831"/>
  <c r="AN101" i="831"/>
  <c r="AO101" i="831" s="1"/>
  <c r="AW101" i="831"/>
  <c r="AX101" i="831"/>
  <c r="N102" i="831"/>
  <c r="U102" i="831"/>
  <c r="V102" i="831"/>
  <c r="AB102" i="831"/>
  <c r="AC102" i="831"/>
  <c r="AE102" i="831"/>
  <c r="AN102" i="831"/>
  <c r="AO102" i="831"/>
  <c r="AW102" i="831"/>
  <c r="AX102" i="831"/>
  <c r="N103" i="831"/>
  <c r="U103" i="831"/>
  <c r="V103" i="831"/>
  <c r="AB103" i="831"/>
  <c r="AC103" i="831" s="1"/>
  <c r="AE103" i="831" s="1"/>
  <c r="AN103" i="831"/>
  <c r="AO103" i="831" s="1"/>
  <c r="AW103" i="831"/>
  <c r="AX103" i="831"/>
  <c r="N104" i="831"/>
  <c r="U104" i="831"/>
  <c r="V104" i="831"/>
  <c r="AH104" i="831" s="1"/>
  <c r="AK104" i="831" s="1"/>
  <c r="AB104" i="831"/>
  <c r="AC104" i="831" s="1"/>
  <c r="AE104" i="831" s="1"/>
  <c r="AN104" i="831"/>
  <c r="AO104" i="831"/>
  <c r="AW104" i="831"/>
  <c r="AX104" i="831"/>
  <c r="N105" i="831"/>
  <c r="U105" i="831"/>
  <c r="V105" i="831"/>
  <c r="AB105" i="831"/>
  <c r="AC105" i="831"/>
  <c r="AE105" i="831"/>
  <c r="AN105" i="831"/>
  <c r="AO105" i="831"/>
  <c r="AW105" i="831"/>
  <c r="AX105" i="831"/>
  <c r="N106" i="831"/>
  <c r="U106" i="831"/>
  <c r="V106" i="831" s="1"/>
  <c r="AJ106" i="831" s="1"/>
  <c r="AB106" i="831"/>
  <c r="AC106" i="831"/>
  <c r="AE106" i="831"/>
  <c r="AN106" i="831"/>
  <c r="AO106" i="831"/>
  <c r="AW106" i="831"/>
  <c r="AX106" i="831"/>
  <c r="N107" i="831"/>
  <c r="U107" i="831"/>
  <c r="V107" i="831" s="1"/>
  <c r="AB107" i="831"/>
  <c r="AC107" i="831"/>
  <c r="AE107" i="831"/>
  <c r="AH107" i="831"/>
  <c r="AJ107" i="831"/>
  <c r="AN107" i="831"/>
  <c r="AO107" i="831"/>
  <c r="AW107" i="831"/>
  <c r="AX107" i="831"/>
  <c r="N108" i="831"/>
  <c r="U108" i="831"/>
  <c r="V108" i="831" s="1"/>
  <c r="AB108" i="831"/>
  <c r="AC108" i="831"/>
  <c r="AE108" i="831"/>
  <c r="AH108" i="831"/>
  <c r="AJ108" i="831"/>
  <c r="AN108" i="831"/>
  <c r="AO108" i="831"/>
  <c r="AW108" i="831"/>
  <c r="AX108" i="831"/>
  <c r="N109" i="831"/>
  <c r="U109" i="831"/>
  <c r="V109" i="831"/>
  <c r="AB109" i="831"/>
  <c r="AC109" i="831"/>
  <c r="AE109" i="831"/>
  <c r="AH109" i="831"/>
  <c r="AJ109" i="831"/>
  <c r="AK109" i="831"/>
  <c r="AL109" i="831"/>
  <c r="AN109" i="831"/>
  <c r="AO109" i="831"/>
  <c r="AW109" i="831"/>
  <c r="AX109" i="831"/>
  <c r="N110" i="831"/>
  <c r="U110" i="831"/>
  <c r="V110" i="831"/>
  <c r="AB110" i="831"/>
  <c r="AC110" i="831"/>
  <c r="AE110" i="831"/>
  <c r="AJ110" i="831" s="1"/>
  <c r="AN110" i="831"/>
  <c r="AO110" i="831"/>
  <c r="AW110" i="831"/>
  <c r="AX110" i="831"/>
  <c r="N111" i="831"/>
  <c r="U111" i="831"/>
  <c r="V111" i="831"/>
  <c r="AB111" i="831"/>
  <c r="AC111" i="831" s="1"/>
  <c r="AE111" i="831" s="1"/>
  <c r="AN111" i="831"/>
  <c r="AO111" i="831" s="1"/>
  <c r="AW111" i="831"/>
  <c r="AX111" i="831"/>
  <c r="N112" i="831"/>
  <c r="U112" i="831"/>
  <c r="V112" i="831"/>
  <c r="AB112" i="831"/>
  <c r="AC112" i="831"/>
  <c r="AE112" i="831"/>
  <c r="AH112" i="831"/>
  <c r="AJ112" i="831"/>
  <c r="AK112" i="831"/>
  <c r="AL112" i="831"/>
  <c r="AN112" i="831"/>
  <c r="AO112" i="831"/>
  <c r="AW112" i="831"/>
  <c r="AX112" i="831"/>
  <c r="N113" i="831"/>
  <c r="U113" i="831"/>
  <c r="V113" i="831"/>
  <c r="AJ113" i="831" s="1"/>
  <c r="AB113" i="831"/>
  <c r="AC113" i="831" s="1"/>
  <c r="AE113" i="831" s="1"/>
  <c r="AN113" i="831"/>
  <c r="AO113" i="831"/>
  <c r="AW113" i="831"/>
  <c r="AX113" i="831"/>
  <c r="N114" i="831"/>
  <c r="U114" i="831"/>
  <c r="V114" i="831"/>
  <c r="AB114" i="831"/>
  <c r="AC114" i="831" s="1"/>
  <c r="AE114" i="831" s="1"/>
  <c r="AJ114" i="831"/>
  <c r="AN114" i="831"/>
  <c r="AO114" i="831"/>
  <c r="AW114" i="831"/>
  <c r="AX114" i="831"/>
  <c r="N115" i="831"/>
  <c r="U115" i="831"/>
  <c r="V115" i="831" s="1"/>
  <c r="AH115" i="831" s="1"/>
  <c r="AK115" i="831" s="1"/>
  <c r="AB115" i="831"/>
  <c r="AC115" i="831"/>
  <c r="AE115" i="831"/>
  <c r="AN115" i="831"/>
  <c r="AO115" i="831"/>
  <c r="AW115" i="831"/>
  <c r="AX115" i="831"/>
  <c r="N116" i="831"/>
  <c r="U116" i="831"/>
  <c r="V116" i="831" s="1"/>
  <c r="AB116" i="831"/>
  <c r="AC116" i="831"/>
  <c r="AE116" i="831"/>
  <c r="AH116" i="831"/>
  <c r="AL116" i="831" s="1"/>
  <c r="AJ116" i="831"/>
  <c r="AK116" i="831"/>
  <c r="AN116" i="831"/>
  <c r="AO116" i="831"/>
  <c r="AW116" i="831"/>
  <c r="AX116" i="831"/>
  <c r="N117" i="831"/>
  <c r="U117" i="831"/>
  <c r="V117" i="831" s="1"/>
  <c r="AH117" i="831" s="1"/>
  <c r="AB117" i="831"/>
  <c r="AC117" i="831"/>
  <c r="AE117" i="831"/>
  <c r="AN117" i="831"/>
  <c r="AO117" i="831"/>
  <c r="AW117" i="831"/>
  <c r="AX117" i="831"/>
  <c r="N118" i="831"/>
  <c r="U118" i="831"/>
  <c r="V118" i="831"/>
  <c r="AB118" i="831"/>
  <c r="AC118" i="831" s="1"/>
  <c r="AE118" i="831" s="1"/>
  <c r="AN118" i="831"/>
  <c r="AO118" i="831"/>
  <c r="AW118" i="831"/>
  <c r="AX118" i="831"/>
  <c r="N119" i="831"/>
  <c r="U119" i="831"/>
  <c r="V119" i="831"/>
  <c r="AB119" i="831"/>
  <c r="AC119" i="831"/>
  <c r="AE119" i="831"/>
  <c r="AN119" i="831"/>
  <c r="AO119" i="831"/>
  <c r="AW119" i="831"/>
  <c r="AX119" i="831"/>
  <c r="N120" i="831"/>
  <c r="U120" i="831"/>
  <c r="V120" i="831"/>
  <c r="AB120" i="831"/>
  <c r="AC120" i="831"/>
  <c r="AE120" i="831"/>
  <c r="AJ120" i="831" s="1"/>
  <c r="AN120" i="831"/>
  <c r="AO120" i="831" s="1"/>
  <c r="AW120" i="831"/>
  <c r="AX120" i="831"/>
  <c r="N121" i="831"/>
  <c r="U121" i="831"/>
  <c r="V121" i="831"/>
  <c r="AB121" i="831"/>
  <c r="AC121" i="831"/>
  <c r="AE121" i="831"/>
  <c r="AN121" i="831"/>
  <c r="AO121" i="831"/>
  <c r="AW121" i="831"/>
  <c r="AX121" i="831"/>
  <c r="N122" i="831"/>
  <c r="U122" i="831"/>
  <c r="V122" i="831"/>
  <c r="AJ122" i="831" s="1"/>
  <c r="AB122" i="831"/>
  <c r="AC122" i="831"/>
  <c r="AE122" i="831"/>
  <c r="AH122" i="831"/>
  <c r="AL122" i="831" s="1"/>
  <c r="AN122" i="831"/>
  <c r="AO122" i="831"/>
  <c r="AW122" i="831"/>
  <c r="AX122" i="831"/>
  <c r="N123" i="831"/>
  <c r="U123" i="831"/>
  <c r="V123" i="831"/>
  <c r="AB123" i="831"/>
  <c r="AC123" i="831" s="1"/>
  <c r="AE123" i="831" s="1"/>
  <c r="AH123" i="831"/>
  <c r="AJ123" i="831"/>
  <c r="AK123" i="831"/>
  <c r="AL123" i="831"/>
  <c r="AN123" i="831"/>
  <c r="AO123" i="831"/>
  <c r="AW123" i="831"/>
  <c r="AX123" i="831"/>
  <c r="N124" i="831"/>
  <c r="U124" i="831"/>
  <c r="V124" i="831" s="1"/>
  <c r="AB124" i="831"/>
  <c r="AC124" i="831" s="1"/>
  <c r="AE124" i="831" s="1"/>
  <c r="AN124" i="831"/>
  <c r="AO124" i="831"/>
  <c r="AW124" i="831"/>
  <c r="AX124" i="831"/>
  <c r="N125" i="831"/>
  <c r="U125" i="831"/>
  <c r="V125" i="831"/>
  <c r="AB125" i="831"/>
  <c r="AC125" i="831"/>
  <c r="AE125" i="831"/>
  <c r="AH125" i="831"/>
  <c r="AJ125" i="831"/>
  <c r="AK125" i="831"/>
  <c r="AL125" i="831"/>
  <c r="AN125" i="831"/>
  <c r="AO125" i="831"/>
  <c r="AW125" i="831"/>
  <c r="AX125" i="831"/>
  <c r="N126" i="831"/>
  <c r="U126" i="831"/>
  <c r="V126" i="831" s="1"/>
  <c r="AB126" i="831"/>
  <c r="AC126" i="831"/>
  <c r="AE126" i="831" s="1"/>
  <c r="AN126" i="831"/>
  <c r="AO126" i="831"/>
  <c r="AW126" i="831"/>
  <c r="AX126" i="831"/>
  <c r="N127" i="831"/>
  <c r="U127" i="831"/>
  <c r="V127" i="831" s="1"/>
  <c r="AB127" i="831"/>
  <c r="AC127" i="831"/>
  <c r="AE127" i="831"/>
  <c r="AN127" i="831"/>
  <c r="AO127" i="831"/>
  <c r="AW127" i="831"/>
  <c r="AX127" i="831"/>
  <c r="N128" i="831"/>
  <c r="U128" i="831"/>
  <c r="V128" i="831"/>
  <c r="AB128" i="831"/>
  <c r="AC128" i="831"/>
  <c r="AE128" i="831"/>
  <c r="AH128" i="831"/>
  <c r="AJ128" i="831"/>
  <c r="AN128" i="831"/>
  <c r="AO128" i="831"/>
  <c r="AW128" i="831"/>
  <c r="AX128" i="831"/>
  <c r="N129" i="831"/>
  <c r="U129" i="831"/>
  <c r="V129" i="831"/>
  <c r="AB129" i="831"/>
  <c r="AC129" i="831"/>
  <c r="AE129" i="831"/>
  <c r="AH129" i="831"/>
  <c r="AJ129" i="831"/>
  <c r="AN129" i="831"/>
  <c r="AO129" i="831"/>
  <c r="AW129" i="831"/>
  <c r="AX129" i="831"/>
  <c r="N130" i="831"/>
  <c r="U130" i="831"/>
  <c r="V130" i="831"/>
  <c r="AB130" i="831"/>
  <c r="AC130" i="831"/>
  <c r="AE130" i="831"/>
  <c r="AJ130" i="831" s="1"/>
  <c r="AN130" i="831"/>
  <c r="AO130" i="831"/>
  <c r="AW130" i="831"/>
  <c r="AX130" i="831"/>
  <c r="N131" i="831"/>
  <c r="U131" i="831"/>
  <c r="V131" i="831" s="1"/>
  <c r="AB131" i="831"/>
  <c r="AC131" i="831"/>
  <c r="AE131" i="831"/>
  <c r="AN131" i="831"/>
  <c r="AO131" i="831" s="1"/>
  <c r="AW131" i="831"/>
  <c r="AX131" i="831"/>
  <c r="N132" i="831"/>
  <c r="U132" i="831"/>
  <c r="V132" i="831"/>
  <c r="AB132" i="831"/>
  <c r="AC132" i="831"/>
  <c r="AE132" i="831" s="1"/>
  <c r="AN132" i="831"/>
  <c r="AO132" i="831" s="1"/>
  <c r="AW132" i="831"/>
  <c r="AX132" i="831"/>
  <c r="N133" i="831"/>
  <c r="U133" i="831"/>
  <c r="V133" i="831"/>
  <c r="AB133" i="831"/>
  <c r="AC133" i="831" s="1"/>
  <c r="AE133" i="831"/>
  <c r="AH133" i="831"/>
  <c r="AK133" i="831" s="1"/>
  <c r="AJ133" i="831"/>
  <c r="AN133" i="831"/>
  <c r="AO133" i="831" s="1"/>
  <c r="AW133" i="831"/>
  <c r="AX133" i="831"/>
  <c r="N134" i="831"/>
  <c r="U134" i="831"/>
  <c r="V134" i="831"/>
  <c r="AB134" i="831"/>
  <c r="AC134" i="831" s="1"/>
  <c r="AE134" i="831" s="1"/>
  <c r="AN134" i="831"/>
  <c r="AO134" i="831"/>
  <c r="AW134" i="831"/>
  <c r="AX134" i="831"/>
  <c r="N135" i="831"/>
  <c r="U135" i="831"/>
  <c r="V135" i="831"/>
  <c r="AB135" i="831"/>
  <c r="AC135" i="831"/>
  <c r="AE135" i="831"/>
  <c r="AN135" i="831"/>
  <c r="AO135" i="831"/>
  <c r="AW135" i="831"/>
  <c r="AX135" i="831"/>
  <c r="N136" i="831"/>
  <c r="U136" i="831"/>
  <c r="V136" i="831" s="1"/>
  <c r="AB136" i="831"/>
  <c r="AC136" i="831"/>
  <c r="AE136" i="831"/>
  <c r="AH136" i="831"/>
  <c r="AJ136" i="831"/>
  <c r="AK136" i="831"/>
  <c r="AL136" i="831"/>
  <c r="AN136" i="831"/>
  <c r="AO136" i="831"/>
  <c r="AW136" i="831"/>
  <c r="AX136" i="831"/>
  <c r="N137" i="831"/>
  <c r="U137" i="831"/>
  <c r="V137" i="831" s="1"/>
  <c r="AJ137" i="831" s="1"/>
  <c r="AB137" i="831"/>
  <c r="AC137" i="831"/>
  <c r="AE137" i="831"/>
  <c r="AH137" i="831" s="1"/>
  <c r="AN137" i="831"/>
  <c r="AO137" i="831"/>
  <c r="AW137" i="831"/>
  <c r="AX137" i="831"/>
  <c r="N138" i="831"/>
  <c r="U138" i="831"/>
  <c r="V138" i="831"/>
  <c r="AB138" i="831"/>
  <c r="AC138" i="831"/>
  <c r="AE138" i="831"/>
  <c r="AH138" i="831"/>
  <c r="AJ138" i="831"/>
  <c r="AN138" i="831"/>
  <c r="AO138" i="831"/>
  <c r="AW138" i="831"/>
  <c r="AX138" i="831"/>
  <c r="N139" i="831"/>
  <c r="U139" i="831"/>
  <c r="V139" i="831" s="1"/>
  <c r="AH139" i="831" s="1"/>
  <c r="AB139" i="831"/>
  <c r="AC139" i="831"/>
  <c r="AE139" i="831"/>
  <c r="AK139" i="831"/>
  <c r="AL139" i="831"/>
  <c r="AN139" i="831"/>
  <c r="AO139" i="831"/>
  <c r="AW139" i="831"/>
  <c r="AX139" i="831"/>
  <c r="N140" i="831"/>
  <c r="U140" i="831"/>
  <c r="V140" i="831"/>
  <c r="AB140" i="831"/>
  <c r="AC140" i="831"/>
  <c r="AE140" i="831"/>
  <c r="AJ140" i="831"/>
  <c r="AN140" i="831"/>
  <c r="AO140" i="831"/>
  <c r="AW140" i="831"/>
  <c r="AX140" i="831"/>
  <c r="N141" i="831"/>
  <c r="U141" i="831"/>
  <c r="V141" i="831"/>
  <c r="AB141" i="831"/>
  <c r="AC141" i="831"/>
  <c r="AE141" i="831"/>
  <c r="AN141" i="831"/>
  <c r="AO141" i="831"/>
  <c r="AW141" i="831"/>
  <c r="AX141" i="831"/>
  <c r="N142" i="831"/>
  <c r="U142" i="831"/>
  <c r="V142" i="831"/>
  <c r="AB142" i="831"/>
  <c r="AC142" i="831" s="1"/>
  <c r="AE142" i="831" s="1"/>
  <c r="AN142" i="831"/>
  <c r="AO142" i="831"/>
  <c r="AW142" i="831"/>
  <c r="AX142" i="831"/>
  <c r="AJ37" i="831" l="1"/>
  <c r="AH37" i="831"/>
  <c r="AK37" i="831" s="1"/>
  <c r="AH82" i="831"/>
  <c r="AJ82" i="831"/>
  <c r="AH39" i="831"/>
  <c r="AJ39" i="831"/>
  <c r="AH78" i="831"/>
  <c r="AJ78" i="831"/>
  <c r="AK52" i="831"/>
  <c r="AL52" i="831"/>
  <c r="AH124" i="831"/>
  <c r="AJ124" i="831"/>
  <c r="AK137" i="831"/>
  <c r="AL137" i="831"/>
  <c r="AK117" i="831"/>
  <c r="AL117" i="831"/>
  <c r="AK65" i="831"/>
  <c r="AL65" i="831"/>
  <c r="AK57" i="831"/>
  <c r="AL57" i="831"/>
  <c r="AL93" i="831"/>
  <c r="AK93" i="831"/>
  <c r="AH48" i="831"/>
  <c r="AJ48" i="831"/>
  <c r="AH111" i="831"/>
  <c r="AJ111" i="831"/>
  <c r="AK85" i="831"/>
  <c r="AL85" i="831"/>
  <c r="AK129" i="831"/>
  <c r="AL129" i="831"/>
  <c r="AK138" i="831"/>
  <c r="AL138" i="831"/>
  <c r="AH98" i="831"/>
  <c r="AJ98" i="831"/>
  <c r="AK92" i="831"/>
  <c r="AL92" i="831"/>
  <c r="AH70" i="831"/>
  <c r="AK88" i="831"/>
  <c r="AL88" i="831"/>
  <c r="AH66" i="831"/>
  <c r="AH77" i="831"/>
  <c r="AJ77" i="831"/>
  <c r="AH64" i="831"/>
  <c r="AJ64" i="831"/>
  <c r="AK47" i="831"/>
  <c r="AL47" i="831"/>
  <c r="AJ33" i="831"/>
  <c r="AH33" i="831"/>
  <c r="AH103" i="831"/>
  <c r="AJ103" i="831"/>
  <c r="AH25" i="831"/>
  <c r="AJ25" i="831"/>
  <c r="AH102" i="831"/>
  <c r="AJ102" i="831"/>
  <c r="AH59" i="831"/>
  <c r="AJ59" i="831"/>
  <c r="AH142" i="831"/>
  <c r="AJ142" i="831"/>
  <c r="AJ135" i="831"/>
  <c r="AH131" i="831"/>
  <c r="AJ131" i="831"/>
  <c r="AH72" i="831"/>
  <c r="AJ72" i="831"/>
  <c r="AH44" i="831"/>
  <c r="AJ44" i="831"/>
  <c r="AH118" i="831"/>
  <c r="AJ118" i="831"/>
  <c r="AK68" i="831"/>
  <c r="AL68" i="831"/>
  <c r="AK107" i="831"/>
  <c r="AL107" i="831"/>
  <c r="AH79" i="831"/>
  <c r="AK62" i="831"/>
  <c r="AL62" i="831"/>
  <c r="AH90" i="831"/>
  <c r="AH114" i="831"/>
  <c r="AH60" i="831"/>
  <c r="AJ117" i="831"/>
  <c r="AK58" i="831"/>
  <c r="AL58" i="831"/>
  <c r="AH49" i="831"/>
  <c r="AJ49" i="831"/>
  <c r="AH43" i="831"/>
  <c r="AJ43" i="831"/>
  <c r="AH9" i="831"/>
  <c r="AJ9" i="831"/>
  <c r="AH141" i="831"/>
  <c r="AJ141" i="831"/>
  <c r="AL95" i="831"/>
  <c r="AK69" i="831"/>
  <c r="AL69" i="831"/>
  <c r="AJ56" i="831"/>
  <c r="AJ139" i="831"/>
  <c r="AH132" i="831"/>
  <c r="AJ132" i="831"/>
  <c r="AH84" i="831"/>
  <c r="AJ84" i="831"/>
  <c r="AH71" i="831"/>
  <c r="AJ71" i="831"/>
  <c r="AH54" i="831"/>
  <c r="AJ54" i="831"/>
  <c r="AH130" i="831"/>
  <c r="AK128" i="831"/>
  <c r="AL128" i="831"/>
  <c r="AL115" i="831"/>
  <c r="AK108" i="831"/>
  <c r="AL108" i="831"/>
  <c r="AH97" i="831"/>
  <c r="AJ97" i="831"/>
  <c r="AJ95" i="831"/>
  <c r="AJ93" i="831"/>
  <c r="AJ65" i="831"/>
  <c r="AJ52" i="831"/>
  <c r="AH106" i="831"/>
  <c r="AL104" i="831"/>
  <c r="AH80" i="831"/>
  <c r="AH41" i="831"/>
  <c r="AJ41" i="831"/>
  <c r="AH11" i="831"/>
  <c r="AJ11" i="831"/>
  <c r="AH127" i="831"/>
  <c r="AJ127" i="831"/>
  <c r="AH105" i="831"/>
  <c r="AJ92" i="831"/>
  <c r="AK56" i="831"/>
  <c r="AL56" i="831"/>
  <c r="AH134" i="831"/>
  <c r="AJ134" i="831"/>
  <c r="AH101" i="831"/>
  <c r="AJ101" i="831"/>
  <c r="AH126" i="831"/>
  <c r="AJ126" i="831"/>
  <c r="AH119" i="831"/>
  <c r="AJ119" i="831"/>
  <c r="AJ115" i="831"/>
  <c r="AH35" i="831"/>
  <c r="AJ35" i="831"/>
  <c r="AH19" i="831"/>
  <c r="AJ19" i="831"/>
  <c r="AH5" i="831"/>
  <c r="AJ5" i="831"/>
  <c r="AL133" i="831"/>
  <c r="AK122" i="831"/>
  <c r="AH113" i="831"/>
  <c r="AJ104" i="831"/>
  <c r="AH89" i="831"/>
  <c r="AJ89" i="831"/>
  <c r="AK87" i="831"/>
  <c r="AL87" i="831"/>
  <c r="AJ57" i="831"/>
  <c r="AK46" i="831"/>
  <c r="AH135" i="831"/>
  <c r="AH76" i="831"/>
  <c r="AJ76" i="831"/>
  <c r="AH67" i="831"/>
  <c r="AJ67" i="831"/>
  <c r="AH61" i="831"/>
  <c r="AJ61" i="831"/>
  <c r="AJ46" i="831"/>
  <c r="AH15" i="831"/>
  <c r="AH120" i="831"/>
  <c r="AH91" i="831"/>
  <c r="AJ91" i="831"/>
  <c r="AH50" i="831"/>
  <c r="AH81" i="831"/>
  <c r="AJ81" i="831"/>
  <c r="AJ66" i="831"/>
  <c r="AJ105" i="831"/>
  <c r="AH94" i="831"/>
  <c r="AJ79" i="831"/>
  <c r="AH23" i="831"/>
  <c r="AH17" i="831"/>
  <c r="AJ17" i="831"/>
  <c r="AH110" i="831"/>
  <c r="AJ7" i="831"/>
  <c r="AH121" i="831"/>
  <c r="AJ121" i="831"/>
  <c r="AH100" i="831"/>
  <c r="AH74" i="831"/>
  <c r="AJ74" i="831"/>
  <c r="AH51" i="831"/>
  <c r="AJ51" i="831"/>
  <c r="AH140" i="831"/>
  <c r="AH31" i="831"/>
  <c r="AH7" i="831"/>
  <c r="AL37" i="831" l="1"/>
  <c r="AK72" i="831"/>
  <c r="AL72" i="831"/>
  <c r="AK66" i="831"/>
  <c r="AL66" i="831"/>
  <c r="AK23" i="831"/>
  <c r="AL23" i="831"/>
  <c r="AK60" i="831"/>
  <c r="AL60" i="831"/>
  <c r="AK142" i="831"/>
  <c r="AL142" i="831"/>
  <c r="AK84" i="831"/>
  <c r="AL84" i="831"/>
  <c r="AK90" i="831"/>
  <c r="AL90" i="831"/>
  <c r="AK31" i="831"/>
  <c r="AL31" i="831"/>
  <c r="AK89" i="831"/>
  <c r="AL89" i="831"/>
  <c r="AK124" i="831"/>
  <c r="AL124" i="831"/>
  <c r="AL140" i="831"/>
  <c r="AK140" i="831"/>
  <c r="AK81" i="831"/>
  <c r="AL81" i="831"/>
  <c r="AK134" i="831"/>
  <c r="AL134" i="831"/>
  <c r="AK61" i="831"/>
  <c r="AL61" i="831"/>
  <c r="AK110" i="831"/>
  <c r="AL110" i="831"/>
  <c r="AK49" i="831"/>
  <c r="AL49" i="831"/>
  <c r="AK76" i="831"/>
  <c r="AL76" i="831"/>
  <c r="AK135" i="831"/>
  <c r="AL135" i="831"/>
  <c r="AL70" i="831"/>
  <c r="AK70" i="831"/>
  <c r="AK80" i="831"/>
  <c r="AL80" i="831"/>
  <c r="AK126" i="831"/>
  <c r="AL126" i="831"/>
  <c r="AK106" i="831"/>
  <c r="AL106" i="831"/>
  <c r="AK132" i="831"/>
  <c r="AL132" i="831"/>
  <c r="AK102" i="831"/>
  <c r="AL102" i="831"/>
  <c r="AK98" i="831"/>
  <c r="AL98" i="831"/>
  <c r="AL7" i="831"/>
  <c r="AK7" i="831"/>
  <c r="AK101" i="831"/>
  <c r="AL101" i="831"/>
  <c r="AK79" i="831"/>
  <c r="AL79" i="831"/>
  <c r="AK25" i="831"/>
  <c r="AL25" i="831"/>
  <c r="AK50" i="831"/>
  <c r="AL50" i="831"/>
  <c r="AK113" i="831"/>
  <c r="AL113" i="831"/>
  <c r="AK103" i="831"/>
  <c r="AL103" i="831"/>
  <c r="AL130" i="831"/>
  <c r="AK130" i="831"/>
  <c r="AK35" i="831"/>
  <c r="AL35" i="831"/>
  <c r="AK127" i="831"/>
  <c r="AL127" i="831"/>
  <c r="AK54" i="831"/>
  <c r="AL54" i="831"/>
  <c r="AK131" i="831"/>
  <c r="AL131" i="831"/>
  <c r="AK17" i="831"/>
  <c r="AL17" i="831"/>
  <c r="AK11" i="831"/>
  <c r="AL11" i="831"/>
  <c r="AK71" i="831"/>
  <c r="AL71" i="831"/>
  <c r="AK59" i="831"/>
  <c r="AL59" i="831"/>
  <c r="AK51" i="831"/>
  <c r="AL51" i="831"/>
  <c r="AK33" i="831"/>
  <c r="AL33" i="831"/>
  <c r="AK91" i="831"/>
  <c r="AL91" i="831"/>
  <c r="AK141" i="831"/>
  <c r="AL141" i="831"/>
  <c r="AL74" i="831"/>
  <c r="AK74" i="831"/>
  <c r="AK118" i="831"/>
  <c r="AL118" i="831"/>
  <c r="AK100" i="831"/>
  <c r="AL100" i="831"/>
  <c r="AK15" i="831"/>
  <c r="AL15" i="831"/>
  <c r="AK5" i="831"/>
  <c r="AL5" i="831"/>
  <c r="AK9" i="831"/>
  <c r="AL9" i="831"/>
  <c r="AK111" i="831"/>
  <c r="AL111" i="831"/>
  <c r="AK39" i="831"/>
  <c r="AL39" i="831"/>
  <c r="AL44" i="831"/>
  <c r="AK44" i="831"/>
  <c r="AK77" i="831"/>
  <c r="AL77" i="831"/>
  <c r="AK67" i="831"/>
  <c r="AL67" i="831"/>
  <c r="AK41" i="831"/>
  <c r="AL41" i="831"/>
  <c r="AK119" i="831"/>
  <c r="AL119" i="831"/>
  <c r="AK114" i="831"/>
  <c r="AL114" i="831"/>
  <c r="AK94" i="831"/>
  <c r="AL94" i="831"/>
  <c r="AK97" i="831"/>
  <c r="AL97" i="831"/>
  <c r="AK78" i="831"/>
  <c r="AL78" i="831"/>
  <c r="AK120" i="831"/>
  <c r="AL120" i="831"/>
  <c r="AK121" i="831"/>
  <c r="AL121" i="831"/>
  <c r="AK19" i="831"/>
  <c r="AL19" i="831"/>
  <c r="AK105" i="831"/>
  <c r="AL105" i="831"/>
  <c r="AK43" i="831"/>
  <c r="AL43" i="831"/>
  <c r="AK64" i="831"/>
  <c r="AL64" i="831"/>
  <c r="AK48" i="831"/>
  <c r="AL48" i="831"/>
  <c r="AK82" i="831"/>
  <c r="AL82" i="831"/>
  <c r="AX136" i="830" l="1"/>
  <c r="AW136" i="830"/>
  <c r="AN136" i="830"/>
  <c r="AO136" i="830" s="1"/>
  <c r="V136" i="830"/>
  <c r="U136" i="830"/>
  <c r="N136" i="830"/>
  <c r="AX135" i="830"/>
  <c r="AW135" i="830"/>
  <c r="AN135" i="830"/>
  <c r="AO135" i="830" s="1"/>
  <c r="U135" i="830"/>
  <c r="V135" i="830" s="1"/>
  <c r="N135" i="830"/>
  <c r="AX134" i="830"/>
  <c r="AW134" i="830"/>
  <c r="AN134" i="830"/>
  <c r="AO134" i="830" s="1"/>
  <c r="AB134" i="830"/>
  <c r="AC134" i="830" s="1"/>
  <c r="AE134" i="830" s="1"/>
  <c r="V134" i="830"/>
  <c r="AH134" i="830" s="1"/>
  <c r="U134" i="830"/>
  <c r="N134" i="830"/>
  <c r="AX133" i="830"/>
  <c r="AW133" i="830"/>
  <c r="AN133" i="830"/>
  <c r="AO133" i="830" s="1"/>
  <c r="V133" i="830"/>
  <c r="U133" i="830"/>
  <c r="N133" i="830"/>
  <c r="AX132" i="830"/>
  <c r="AW132" i="830"/>
  <c r="AO132" i="830"/>
  <c r="AN132" i="830"/>
  <c r="AB132" i="830"/>
  <c r="AC132" i="830" s="1"/>
  <c r="AE132" i="830" s="1"/>
  <c r="U132" i="830"/>
  <c r="V132" i="830" s="1"/>
  <c r="N132" i="830"/>
  <c r="AX131" i="830"/>
  <c r="AW131" i="830"/>
  <c r="AO131" i="830"/>
  <c r="AN131" i="830"/>
  <c r="U131" i="830"/>
  <c r="V131" i="830" s="1"/>
  <c r="N131" i="830"/>
  <c r="AX130" i="830"/>
  <c r="AW130" i="830"/>
  <c r="AN130" i="830"/>
  <c r="AO130" i="830" s="1"/>
  <c r="U130" i="830"/>
  <c r="V130" i="830" s="1"/>
  <c r="N130" i="830"/>
  <c r="AX129" i="830"/>
  <c r="AW129" i="830"/>
  <c r="AO129" i="830"/>
  <c r="AN129" i="830"/>
  <c r="AB129" i="830"/>
  <c r="AC129" i="830" s="1"/>
  <c r="AE129" i="830" s="1"/>
  <c r="U129" i="830"/>
  <c r="V129" i="830" s="1"/>
  <c r="N129" i="830"/>
  <c r="AX128" i="830"/>
  <c r="AW128" i="830"/>
  <c r="AN128" i="830"/>
  <c r="AO128" i="830" s="1"/>
  <c r="U128" i="830"/>
  <c r="V128" i="830" s="1"/>
  <c r="N128" i="830"/>
  <c r="AX127" i="830"/>
  <c r="AW127" i="830"/>
  <c r="AN127" i="830"/>
  <c r="AO127" i="830" s="1"/>
  <c r="U127" i="830"/>
  <c r="V127" i="830" s="1"/>
  <c r="N127" i="830"/>
  <c r="AX126" i="830"/>
  <c r="AW126" i="830"/>
  <c r="AN126" i="830"/>
  <c r="AO126" i="830" s="1"/>
  <c r="U126" i="830"/>
  <c r="V126" i="830" s="1"/>
  <c r="N126" i="830"/>
  <c r="AX125" i="830"/>
  <c r="AW125" i="830"/>
  <c r="AO125" i="830"/>
  <c r="AN125" i="830"/>
  <c r="U125" i="830"/>
  <c r="V125" i="830" s="1"/>
  <c r="N125" i="830"/>
  <c r="AX124" i="830"/>
  <c r="AW124" i="830"/>
  <c r="AN124" i="830"/>
  <c r="AO124" i="830" s="1"/>
  <c r="AB124" i="830"/>
  <c r="AC124" i="830" s="1"/>
  <c r="AE124" i="830" s="1"/>
  <c r="V124" i="830"/>
  <c r="U124" i="830"/>
  <c r="N124" i="830"/>
  <c r="AX123" i="830"/>
  <c r="AW123" i="830"/>
  <c r="AN123" i="830"/>
  <c r="AO123" i="830" s="1"/>
  <c r="U123" i="830"/>
  <c r="V123" i="830" s="1"/>
  <c r="N123" i="830"/>
  <c r="AX122" i="830"/>
  <c r="AW122" i="830"/>
  <c r="AN122" i="830"/>
  <c r="AO122" i="830" s="1"/>
  <c r="U122" i="830"/>
  <c r="V122" i="830" s="1"/>
  <c r="N122" i="830"/>
  <c r="AX121" i="830"/>
  <c r="AW121" i="830"/>
  <c r="AN121" i="830"/>
  <c r="AO121" i="830" s="1"/>
  <c r="U121" i="830"/>
  <c r="V121" i="830" s="1"/>
  <c r="N121" i="830"/>
  <c r="AX120" i="830"/>
  <c r="AW120" i="830"/>
  <c r="AN120" i="830"/>
  <c r="AO120" i="830" s="1"/>
  <c r="U120" i="830"/>
  <c r="V120" i="830" s="1"/>
  <c r="N120" i="830"/>
  <c r="AX119" i="830"/>
  <c r="AW119" i="830"/>
  <c r="AO119" i="830"/>
  <c r="AN119" i="830"/>
  <c r="AB119" i="830"/>
  <c r="AC119" i="830" s="1"/>
  <c r="AE119" i="830" s="1"/>
  <c r="U119" i="830"/>
  <c r="V119" i="830" s="1"/>
  <c r="N119" i="830"/>
  <c r="AX118" i="830"/>
  <c r="AW118" i="830"/>
  <c r="AN118" i="830"/>
  <c r="AO118" i="830" s="1"/>
  <c r="U118" i="830"/>
  <c r="V118" i="830" s="1"/>
  <c r="N118" i="830"/>
  <c r="AX117" i="830"/>
  <c r="AW117" i="830"/>
  <c r="AN117" i="830"/>
  <c r="AO117" i="830" s="1"/>
  <c r="U117" i="830"/>
  <c r="V117" i="830" s="1"/>
  <c r="N117" i="830"/>
  <c r="AX116" i="830"/>
  <c r="AW116" i="830"/>
  <c r="AN116" i="830"/>
  <c r="AO116" i="830" s="1"/>
  <c r="V116" i="830"/>
  <c r="U116" i="830"/>
  <c r="N116" i="830"/>
  <c r="AX115" i="830"/>
  <c r="AW115" i="830"/>
  <c r="AN115" i="830"/>
  <c r="AO115" i="830" s="1"/>
  <c r="U115" i="830"/>
  <c r="V115" i="830" s="1"/>
  <c r="N115" i="830"/>
  <c r="AX114" i="830"/>
  <c r="AW114" i="830"/>
  <c r="AO114" i="830"/>
  <c r="AN114" i="830"/>
  <c r="V114" i="830"/>
  <c r="U114" i="830"/>
  <c r="N114" i="830"/>
  <c r="AX113" i="830"/>
  <c r="AW113" i="830"/>
  <c r="AN113" i="830"/>
  <c r="AO113" i="830" s="1"/>
  <c r="U113" i="830"/>
  <c r="V113" i="830" s="1"/>
  <c r="N113" i="830"/>
  <c r="AX112" i="830"/>
  <c r="AW112" i="830"/>
  <c r="AN112" i="830"/>
  <c r="AO112" i="830" s="1"/>
  <c r="AB112" i="830"/>
  <c r="AC112" i="830" s="1"/>
  <c r="AE112" i="830" s="1"/>
  <c r="U112" i="830"/>
  <c r="V112" i="830" s="1"/>
  <c r="N112" i="830"/>
  <c r="AX111" i="830"/>
  <c r="AW111" i="830"/>
  <c r="AN111" i="830"/>
  <c r="AO111" i="830" s="1"/>
  <c r="U111" i="830"/>
  <c r="V111" i="830" s="1"/>
  <c r="N111" i="830"/>
  <c r="AX110" i="830"/>
  <c r="AW110" i="830"/>
  <c r="AN110" i="830"/>
  <c r="AO110" i="830" s="1"/>
  <c r="V110" i="830"/>
  <c r="U110" i="830"/>
  <c r="N110" i="830"/>
  <c r="AX109" i="830"/>
  <c r="AW109" i="830"/>
  <c r="AO109" i="830"/>
  <c r="AN109" i="830"/>
  <c r="AB109" i="830"/>
  <c r="AC109" i="830" s="1"/>
  <c r="AE109" i="830" s="1"/>
  <c r="U109" i="830"/>
  <c r="V109" i="830" s="1"/>
  <c r="N109" i="830"/>
  <c r="AX108" i="830"/>
  <c r="AW108" i="830"/>
  <c r="AN108" i="830"/>
  <c r="AO108" i="830" s="1"/>
  <c r="U108" i="830"/>
  <c r="V108" i="830" s="1"/>
  <c r="N108" i="830"/>
  <c r="AX107" i="830"/>
  <c r="AW107" i="830"/>
  <c r="AN107" i="830"/>
  <c r="AO107" i="830" s="1"/>
  <c r="AB107" i="830"/>
  <c r="AC107" i="830" s="1"/>
  <c r="AE107" i="830" s="1"/>
  <c r="U107" i="830"/>
  <c r="V107" i="830" s="1"/>
  <c r="N107" i="830"/>
  <c r="AX106" i="830"/>
  <c r="AW106" i="830"/>
  <c r="AN106" i="830"/>
  <c r="AO106" i="830" s="1"/>
  <c r="U106" i="830"/>
  <c r="V106" i="830" s="1"/>
  <c r="N106" i="830"/>
  <c r="AX105" i="830"/>
  <c r="AW105" i="830"/>
  <c r="AN105" i="830"/>
  <c r="AO105" i="830" s="1"/>
  <c r="V105" i="830"/>
  <c r="U105" i="830"/>
  <c r="N105" i="830"/>
  <c r="AX104" i="830"/>
  <c r="AW104" i="830"/>
  <c r="AN104" i="830"/>
  <c r="AO104" i="830" s="1"/>
  <c r="V104" i="830"/>
  <c r="U104" i="830"/>
  <c r="N104" i="830"/>
  <c r="AX103" i="830"/>
  <c r="AW103" i="830"/>
  <c r="AN103" i="830"/>
  <c r="AO103" i="830" s="1"/>
  <c r="AB103" i="830"/>
  <c r="AC103" i="830" s="1"/>
  <c r="AE103" i="830" s="1"/>
  <c r="AJ103" i="830" s="1"/>
  <c r="V103" i="830"/>
  <c r="U103" i="830"/>
  <c r="N103" i="830"/>
  <c r="AX102" i="830"/>
  <c r="AW102" i="830"/>
  <c r="AN102" i="830"/>
  <c r="AO102" i="830" s="1"/>
  <c r="AB102" i="830"/>
  <c r="AC102" i="830" s="1"/>
  <c r="AE102" i="830" s="1"/>
  <c r="U102" i="830"/>
  <c r="V102" i="830" s="1"/>
  <c r="N102" i="830"/>
  <c r="AX101" i="830"/>
  <c r="AW101" i="830"/>
  <c r="AN101" i="830"/>
  <c r="AO101" i="830" s="1"/>
  <c r="U101" i="830"/>
  <c r="V101" i="830" s="1"/>
  <c r="N101" i="830"/>
  <c r="AX100" i="830"/>
  <c r="AW100" i="830"/>
  <c r="AO100" i="830"/>
  <c r="AN100" i="830"/>
  <c r="AB100" i="830"/>
  <c r="AC100" i="830" s="1"/>
  <c r="AE100" i="830" s="1"/>
  <c r="U100" i="830"/>
  <c r="V100" i="830" s="1"/>
  <c r="N100" i="830"/>
  <c r="AX99" i="830"/>
  <c r="AW99" i="830"/>
  <c r="AO99" i="830"/>
  <c r="AN99" i="830"/>
  <c r="AB99" i="830"/>
  <c r="AC99" i="830" s="1"/>
  <c r="AE99" i="830" s="1"/>
  <c r="V99" i="830"/>
  <c r="U99" i="830"/>
  <c r="N99" i="830"/>
  <c r="AX98" i="830"/>
  <c r="AW98" i="830"/>
  <c r="AO98" i="830"/>
  <c r="AN98" i="830"/>
  <c r="U98" i="830"/>
  <c r="V98" i="830" s="1"/>
  <c r="N98" i="830"/>
  <c r="AX97" i="830"/>
  <c r="AW97" i="830"/>
  <c r="AN97" i="830"/>
  <c r="AO97" i="830" s="1"/>
  <c r="AB97" i="830"/>
  <c r="AC97" i="830" s="1"/>
  <c r="AE97" i="830" s="1"/>
  <c r="U97" i="830"/>
  <c r="V97" i="830" s="1"/>
  <c r="N97" i="830"/>
  <c r="AX96" i="830"/>
  <c r="AW96" i="830"/>
  <c r="AN96" i="830"/>
  <c r="AO96" i="830" s="1"/>
  <c r="U96" i="830"/>
  <c r="V96" i="830" s="1"/>
  <c r="N96" i="830"/>
  <c r="AX95" i="830"/>
  <c r="AW95" i="830"/>
  <c r="AN95" i="830"/>
  <c r="AO95" i="830" s="1"/>
  <c r="U95" i="830"/>
  <c r="V95" i="830" s="1"/>
  <c r="N95" i="830"/>
  <c r="AX94" i="830"/>
  <c r="AW94" i="830"/>
  <c r="AN94" i="830"/>
  <c r="AO94" i="830" s="1"/>
  <c r="V94" i="830"/>
  <c r="U94" i="830"/>
  <c r="N94" i="830"/>
  <c r="AX93" i="830"/>
  <c r="AW93" i="830"/>
  <c r="AN93" i="830"/>
  <c r="AO93" i="830" s="1"/>
  <c r="AB93" i="830"/>
  <c r="AC93" i="830" s="1"/>
  <c r="AE93" i="830" s="1"/>
  <c r="U93" i="830"/>
  <c r="V93" i="830" s="1"/>
  <c r="N93" i="830"/>
  <c r="AX92" i="830"/>
  <c r="AW92" i="830"/>
  <c r="AN92" i="830"/>
  <c r="AO92" i="830" s="1"/>
  <c r="U92" i="830"/>
  <c r="V92" i="830" s="1"/>
  <c r="N92" i="830"/>
  <c r="AX91" i="830"/>
  <c r="AW91" i="830"/>
  <c r="AN91" i="830"/>
  <c r="AO91" i="830" s="1"/>
  <c r="U91" i="830"/>
  <c r="V91" i="830" s="1"/>
  <c r="N91" i="830"/>
  <c r="AX90" i="830"/>
  <c r="AW90" i="830"/>
  <c r="AN90" i="830"/>
  <c r="AO90" i="830" s="1"/>
  <c r="U90" i="830"/>
  <c r="V90" i="830" s="1"/>
  <c r="N90" i="830"/>
  <c r="AX89" i="830"/>
  <c r="AW89" i="830"/>
  <c r="AO89" i="830"/>
  <c r="AN89" i="830"/>
  <c r="U89" i="830"/>
  <c r="V89" i="830" s="1"/>
  <c r="N89" i="830"/>
  <c r="AX88" i="830"/>
  <c r="AW88" i="830"/>
  <c r="AN88" i="830"/>
  <c r="AO88" i="830" s="1"/>
  <c r="U88" i="830"/>
  <c r="V88" i="830" s="1"/>
  <c r="N88" i="830"/>
  <c r="AX87" i="830"/>
  <c r="AW87" i="830"/>
  <c r="AN87" i="830"/>
  <c r="AO87" i="830" s="1"/>
  <c r="AB87" i="830"/>
  <c r="AC87" i="830" s="1"/>
  <c r="AE87" i="830" s="1"/>
  <c r="U87" i="830"/>
  <c r="V87" i="830" s="1"/>
  <c r="N87" i="830"/>
  <c r="AX86" i="830"/>
  <c r="AW86" i="830"/>
  <c r="AN86" i="830"/>
  <c r="AO86" i="830" s="1"/>
  <c r="AB86" i="830"/>
  <c r="AC86" i="830" s="1"/>
  <c r="AE86" i="830" s="1"/>
  <c r="AH86" i="830" s="1"/>
  <c r="V86" i="830"/>
  <c r="AJ86" i="830" s="1"/>
  <c r="U86" i="830"/>
  <c r="N86" i="830"/>
  <c r="AX85" i="830"/>
  <c r="AW85" i="830"/>
  <c r="AN85" i="830"/>
  <c r="AO85" i="830" s="1"/>
  <c r="U85" i="830"/>
  <c r="V85" i="830" s="1"/>
  <c r="N85" i="830"/>
  <c r="AX84" i="830"/>
  <c r="AW84" i="830"/>
  <c r="AN84" i="830"/>
  <c r="AO84" i="830" s="1"/>
  <c r="V84" i="830"/>
  <c r="U84" i="830"/>
  <c r="N84" i="830"/>
  <c r="AX83" i="830"/>
  <c r="AW83" i="830"/>
  <c r="AN83" i="830"/>
  <c r="AO83" i="830" s="1"/>
  <c r="AB83" i="830"/>
  <c r="AC83" i="830" s="1"/>
  <c r="AE83" i="830" s="1"/>
  <c r="U83" i="830"/>
  <c r="V83" i="830" s="1"/>
  <c r="N83" i="830"/>
  <c r="AX82" i="830"/>
  <c r="AW82" i="830"/>
  <c r="AO82" i="830"/>
  <c r="AN82" i="830"/>
  <c r="U82" i="830"/>
  <c r="V82" i="830" s="1"/>
  <c r="N82" i="830"/>
  <c r="AX81" i="830"/>
  <c r="AW81" i="830"/>
  <c r="AN81" i="830"/>
  <c r="AO81" i="830" s="1"/>
  <c r="U81" i="830"/>
  <c r="V81" i="830" s="1"/>
  <c r="N81" i="830"/>
  <c r="AX80" i="830"/>
  <c r="AW80" i="830"/>
  <c r="AN80" i="830"/>
  <c r="AO80" i="830" s="1"/>
  <c r="V80" i="830"/>
  <c r="U80" i="830"/>
  <c r="N80" i="830"/>
  <c r="AX79" i="830"/>
  <c r="AW79" i="830"/>
  <c r="AO79" i="830"/>
  <c r="AN79" i="830"/>
  <c r="U79" i="830"/>
  <c r="V79" i="830" s="1"/>
  <c r="N79" i="830"/>
  <c r="AX78" i="830"/>
  <c r="AW78" i="830"/>
  <c r="AN78" i="830"/>
  <c r="AO78" i="830" s="1"/>
  <c r="U78" i="830"/>
  <c r="V78" i="830" s="1"/>
  <c r="N78" i="830"/>
  <c r="AX77" i="830"/>
  <c r="AW77" i="830"/>
  <c r="AN77" i="830"/>
  <c r="AO77" i="830" s="1"/>
  <c r="AB77" i="830"/>
  <c r="AC77" i="830" s="1"/>
  <c r="AE77" i="830" s="1"/>
  <c r="V77" i="830"/>
  <c r="U77" i="830"/>
  <c r="N77" i="830"/>
  <c r="AX76" i="830"/>
  <c r="AW76" i="830"/>
  <c r="AN76" i="830"/>
  <c r="AO76" i="830" s="1"/>
  <c r="AB76" i="830"/>
  <c r="AC76" i="830" s="1"/>
  <c r="AE76" i="830" s="1"/>
  <c r="V76" i="830"/>
  <c r="AJ76" i="830" s="1"/>
  <c r="U76" i="830"/>
  <c r="N76" i="830"/>
  <c r="AX75" i="830"/>
  <c r="AW75" i="830"/>
  <c r="AN75" i="830"/>
  <c r="AO75" i="830" s="1"/>
  <c r="U75" i="830"/>
  <c r="V75" i="830" s="1"/>
  <c r="N75" i="830"/>
  <c r="AX74" i="830"/>
  <c r="AW74" i="830"/>
  <c r="AN74" i="830"/>
  <c r="AO74" i="830" s="1"/>
  <c r="AB74" i="830"/>
  <c r="AC74" i="830" s="1"/>
  <c r="AE74" i="830" s="1"/>
  <c r="V74" i="830"/>
  <c r="U74" i="830"/>
  <c r="N74" i="830"/>
  <c r="AX73" i="830"/>
  <c r="AW73" i="830"/>
  <c r="AN73" i="830"/>
  <c r="AO73" i="830" s="1"/>
  <c r="AB73" i="830"/>
  <c r="AC73" i="830" s="1"/>
  <c r="AE73" i="830" s="1"/>
  <c r="U73" i="830"/>
  <c r="V73" i="830" s="1"/>
  <c r="N73" i="830"/>
  <c r="AX72" i="830"/>
  <c r="AW72" i="830"/>
  <c r="AN72" i="830"/>
  <c r="AO72" i="830" s="1"/>
  <c r="U72" i="830"/>
  <c r="V72" i="830" s="1"/>
  <c r="N72" i="830"/>
  <c r="AX71" i="830"/>
  <c r="AW71" i="830"/>
  <c r="AN71" i="830"/>
  <c r="AO71" i="830" s="1"/>
  <c r="U71" i="830"/>
  <c r="V71" i="830" s="1"/>
  <c r="N71" i="830"/>
  <c r="AX70" i="830"/>
  <c r="AW70" i="830"/>
  <c r="AO70" i="830"/>
  <c r="AN70" i="830"/>
  <c r="AB70" i="830"/>
  <c r="AC70" i="830" s="1"/>
  <c r="AE70" i="830" s="1"/>
  <c r="U70" i="830"/>
  <c r="V70" i="830" s="1"/>
  <c r="N70" i="830"/>
  <c r="AX69" i="830"/>
  <c r="AW69" i="830"/>
  <c r="AO69" i="830"/>
  <c r="AN69" i="830"/>
  <c r="V69" i="830"/>
  <c r="U69" i="830"/>
  <c r="N69" i="830"/>
  <c r="AX68" i="830"/>
  <c r="AW68" i="830"/>
  <c r="AN68" i="830"/>
  <c r="AO68" i="830" s="1"/>
  <c r="U68" i="830"/>
  <c r="V68" i="830" s="1"/>
  <c r="N68" i="830"/>
  <c r="AX67" i="830"/>
  <c r="AW67" i="830"/>
  <c r="AO67" i="830"/>
  <c r="AN67" i="830"/>
  <c r="AB67" i="830"/>
  <c r="AC67" i="830" s="1"/>
  <c r="AE67" i="830" s="1"/>
  <c r="U67" i="830"/>
  <c r="V67" i="830" s="1"/>
  <c r="AH67" i="830" s="1"/>
  <c r="N67" i="830"/>
  <c r="AX66" i="830"/>
  <c r="AW66" i="830"/>
  <c r="AO66" i="830"/>
  <c r="AN66" i="830"/>
  <c r="U66" i="830"/>
  <c r="V66" i="830" s="1"/>
  <c r="N66" i="830"/>
  <c r="AX65" i="830"/>
  <c r="AW65" i="830"/>
  <c r="AN65" i="830"/>
  <c r="AO65" i="830" s="1"/>
  <c r="V65" i="830"/>
  <c r="U65" i="830"/>
  <c r="N65" i="830"/>
  <c r="AX64" i="830"/>
  <c r="AW64" i="830"/>
  <c r="AN64" i="830"/>
  <c r="AO64" i="830" s="1"/>
  <c r="AB64" i="830"/>
  <c r="AC64" i="830" s="1"/>
  <c r="AE64" i="830" s="1"/>
  <c r="AJ64" i="830" s="1"/>
  <c r="V64" i="830"/>
  <c r="AH64" i="830" s="1"/>
  <c r="AL64" i="830" s="1"/>
  <c r="U64" i="830"/>
  <c r="N64" i="830"/>
  <c r="AX63" i="830"/>
  <c r="AW63" i="830"/>
  <c r="AN63" i="830"/>
  <c r="AO63" i="830" s="1"/>
  <c r="AB63" i="830"/>
  <c r="AC63" i="830" s="1"/>
  <c r="AE63" i="830" s="1"/>
  <c r="U63" i="830"/>
  <c r="V63" i="830" s="1"/>
  <c r="N63" i="830"/>
  <c r="AX62" i="830"/>
  <c r="AW62" i="830"/>
  <c r="AN62" i="830"/>
  <c r="AO62" i="830" s="1"/>
  <c r="U62" i="830"/>
  <c r="V62" i="830" s="1"/>
  <c r="N62" i="830"/>
  <c r="AX61" i="830"/>
  <c r="AW61" i="830"/>
  <c r="AN61" i="830"/>
  <c r="AO61" i="830" s="1"/>
  <c r="U61" i="830"/>
  <c r="V61" i="830" s="1"/>
  <c r="N61" i="830"/>
  <c r="AX60" i="830"/>
  <c r="AW60" i="830"/>
  <c r="AN60" i="830"/>
  <c r="AO60" i="830" s="1"/>
  <c r="AB60" i="830"/>
  <c r="AC60" i="830" s="1"/>
  <c r="AE60" i="830" s="1"/>
  <c r="U60" i="830"/>
  <c r="V60" i="830" s="1"/>
  <c r="N60" i="830"/>
  <c r="AX59" i="830"/>
  <c r="AW59" i="830"/>
  <c r="AO59" i="830"/>
  <c r="AN59" i="830"/>
  <c r="U59" i="830"/>
  <c r="V59" i="830" s="1"/>
  <c r="N59" i="830"/>
  <c r="AX58" i="830"/>
  <c r="AW58" i="830"/>
  <c r="AN58" i="830"/>
  <c r="AO58" i="830" s="1"/>
  <c r="U58" i="830"/>
  <c r="V58" i="830" s="1"/>
  <c r="N58" i="830"/>
  <c r="AX57" i="830"/>
  <c r="AW57" i="830"/>
  <c r="AN57" i="830"/>
  <c r="AO57" i="830" s="1"/>
  <c r="U57" i="830"/>
  <c r="V57" i="830" s="1"/>
  <c r="N57" i="830"/>
  <c r="AX56" i="830"/>
  <c r="AW56" i="830"/>
  <c r="AO56" i="830"/>
  <c r="AN56" i="830"/>
  <c r="U56" i="830"/>
  <c r="V56" i="830" s="1"/>
  <c r="N56" i="830"/>
  <c r="AX55" i="830"/>
  <c r="AW55" i="830"/>
  <c r="AO55" i="830"/>
  <c r="AN55" i="830"/>
  <c r="U55" i="830"/>
  <c r="V55" i="830" s="1"/>
  <c r="N55" i="830"/>
  <c r="AX54" i="830"/>
  <c r="AW54" i="830"/>
  <c r="AN54" i="830"/>
  <c r="AO54" i="830" s="1"/>
  <c r="AB54" i="830"/>
  <c r="AC54" i="830" s="1"/>
  <c r="AE54" i="830" s="1"/>
  <c r="AJ54" i="830" s="1"/>
  <c r="V54" i="830"/>
  <c r="U54" i="830"/>
  <c r="N54" i="830"/>
  <c r="AX53" i="830"/>
  <c r="AW53" i="830"/>
  <c r="AN53" i="830"/>
  <c r="AO53" i="830" s="1"/>
  <c r="AB53" i="830"/>
  <c r="AC53" i="830" s="1"/>
  <c r="AE53" i="830" s="1"/>
  <c r="U53" i="830"/>
  <c r="V53" i="830" s="1"/>
  <c r="N53" i="830"/>
  <c r="AX52" i="830"/>
  <c r="AW52" i="830"/>
  <c r="AN52" i="830"/>
  <c r="AO52" i="830" s="1"/>
  <c r="U52" i="830"/>
  <c r="V52" i="830" s="1"/>
  <c r="N52" i="830"/>
  <c r="AX51" i="830"/>
  <c r="AW51" i="830"/>
  <c r="AO51" i="830"/>
  <c r="AN51" i="830"/>
  <c r="U51" i="830"/>
  <c r="V51" i="830" s="1"/>
  <c r="N51" i="830"/>
  <c r="AX50" i="830"/>
  <c r="AW50" i="830"/>
  <c r="AN50" i="830"/>
  <c r="AO50" i="830" s="1"/>
  <c r="AB50" i="830"/>
  <c r="AC50" i="830" s="1"/>
  <c r="AE50" i="830" s="1"/>
  <c r="U50" i="830"/>
  <c r="V50" i="830" s="1"/>
  <c r="N50" i="830"/>
  <c r="AX49" i="830"/>
  <c r="AW49" i="830"/>
  <c r="AO49" i="830"/>
  <c r="AN49" i="830"/>
  <c r="AB49" i="830"/>
  <c r="AC49" i="830" s="1"/>
  <c r="AE49" i="830" s="1"/>
  <c r="U49" i="830"/>
  <c r="V49" i="830" s="1"/>
  <c r="N49" i="830"/>
  <c r="AX48" i="830"/>
  <c r="AW48" i="830"/>
  <c r="AN48" i="830"/>
  <c r="AO48" i="830" s="1"/>
  <c r="U48" i="830"/>
  <c r="V48" i="830" s="1"/>
  <c r="N48" i="830"/>
  <c r="AX47" i="830"/>
  <c r="AW47" i="830"/>
  <c r="AN47" i="830"/>
  <c r="AO47" i="830" s="1"/>
  <c r="U47" i="830"/>
  <c r="V47" i="830" s="1"/>
  <c r="N47" i="830"/>
  <c r="AX46" i="830"/>
  <c r="AW46" i="830"/>
  <c r="AO46" i="830"/>
  <c r="AN46" i="830"/>
  <c r="U46" i="830"/>
  <c r="V46" i="830" s="1"/>
  <c r="N46" i="830"/>
  <c r="AX45" i="830"/>
  <c r="AW45" i="830"/>
  <c r="AO45" i="830"/>
  <c r="AN45" i="830"/>
  <c r="U45" i="830"/>
  <c r="V45" i="830" s="1"/>
  <c r="N45" i="830"/>
  <c r="AX44" i="830"/>
  <c r="AW44" i="830"/>
  <c r="AN44" i="830"/>
  <c r="AO44" i="830" s="1"/>
  <c r="AB44" i="830"/>
  <c r="AC44" i="830" s="1"/>
  <c r="AE44" i="830" s="1"/>
  <c r="AJ44" i="830" s="1"/>
  <c r="V44" i="830"/>
  <c r="U44" i="830"/>
  <c r="N44" i="830"/>
  <c r="AX43" i="830"/>
  <c r="AW43" i="830"/>
  <c r="AN43" i="830"/>
  <c r="AO43" i="830" s="1"/>
  <c r="U43" i="830"/>
  <c r="V43" i="830" s="1"/>
  <c r="N43" i="830"/>
  <c r="AX42" i="830"/>
  <c r="AW42" i="830"/>
  <c r="AN42" i="830"/>
  <c r="AO42" i="830" s="1"/>
  <c r="V42" i="830"/>
  <c r="U42" i="830"/>
  <c r="N42" i="830"/>
  <c r="AX41" i="830"/>
  <c r="AW41" i="830"/>
  <c r="AN41" i="830"/>
  <c r="AO41" i="830" s="1"/>
  <c r="U41" i="830"/>
  <c r="V41" i="830" s="1"/>
  <c r="N41" i="830"/>
  <c r="AX40" i="830"/>
  <c r="AW40" i="830"/>
  <c r="AN40" i="830"/>
  <c r="AO40" i="830" s="1"/>
  <c r="AB40" i="830"/>
  <c r="AC40" i="830" s="1"/>
  <c r="AE40" i="830" s="1"/>
  <c r="V40" i="830"/>
  <c r="U40" i="830"/>
  <c r="N40" i="830"/>
  <c r="AX39" i="830"/>
  <c r="AW39" i="830"/>
  <c r="AO39" i="830"/>
  <c r="AN39" i="830"/>
  <c r="U39" i="830"/>
  <c r="V39" i="830" s="1"/>
  <c r="N39" i="830"/>
  <c r="AX38" i="830"/>
  <c r="AW38" i="830"/>
  <c r="AN38" i="830"/>
  <c r="AO38" i="830" s="1"/>
  <c r="U38" i="830"/>
  <c r="V38" i="830" s="1"/>
  <c r="N38" i="830"/>
  <c r="AX37" i="830"/>
  <c r="AW37" i="830"/>
  <c r="AO37" i="830"/>
  <c r="AN37" i="830"/>
  <c r="U37" i="830"/>
  <c r="V37" i="830" s="1"/>
  <c r="N37" i="830"/>
  <c r="AX36" i="830"/>
  <c r="AW36" i="830"/>
  <c r="AO36" i="830"/>
  <c r="AN36" i="830"/>
  <c r="AB36" i="830"/>
  <c r="AC36" i="830" s="1"/>
  <c r="AE36" i="830" s="1"/>
  <c r="V36" i="830"/>
  <c r="U36" i="830"/>
  <c r="N36" i="830"/>
  <c r="AX35" i="830"/>
  <c r="AW35" i="830"/>
  <c r="AO35" i="830"/>
  <c r="AN35" i="830"/>
  <c r="U35" i="830"/>
  <c r="V35" i="830" s="1"/>
  <c r="N35" i="830"/>
  <c r="AX34" i="830"/>
  <c r="AW34" i="830"/>
  <c r="AN34" i="830"/>
  <c r="AO34" i="830" s="1"/>
  <c r="AB34" i="830"/>
  <c r="AC34" i="830" s="1"/>
  <c r="AE34" i="830" s="1"/>
  <c r="V34" i="830"/>
  <c r="U34" i="830"/>
  <c r="N34" i="830"/>
  <c r="AX33" i="830"/>
  <c r="AW33" i="830"/>
  <c r="AN33" i="830"/>
  <c r="AO33" i="830" s="1"/>
  <c r="U33" i="830"/>
  <c r="V33" i="830" s="1"/>
  <c r="N33" i="830"/>
  <c r="AX32" i="830"/>
  <c r="AW32" i="830"/>
  <c r="AN32" i="830"/>
  <c r="AO32" i="830" s="1"/>
  <c r="V32" i="830"/>
  <c r="U32" i="830"/>
  <c r="N32" i="830"/>
  <c r="AX31" i="830"/>
  <c r="AW31" i="830"/>
  <c r="AN31" i="830"/>
  <c r="AO31" i="830" s="1"/>
  <c r="U31" i="830"/>
  <c r="V31" i="830" s="1"/>
  <c r="N31" i="830"/>
  <c r="AX30" i="830"/>
  <c r="AW30" i="830"/>
  <c r="AO30" i="830"/>
  <c r="AN30" i="830"/>
  <c r="AB30" i="830"/>
  <c r="AC30" i="830" s="1"/>
  <c r="AE30" i="830" s="1"/>
  <c r="V30" i="830"/>
  <c r="U30" i="830"/>
  <c r="N30" i="830"/>
  <c r="AX29" i="830"/>
  <c r="AW29" i="830"/>
  <c r="AO29" i="830"/>
  <c r="AN29" i="830"/>
  <c r="AB29" i="830"/>
  <c r="AC29" i="830" s="1"/>
  <c r="AE29" i="830" s="1"/>
  <c r="U29" i="830"/>
  <c r="V29" i="830" s="1"/>
  <c r="N29" i="830"/>
  <c r="AX28" i="830"/>
  <c r="AW28" i="830"/>
  <c r="AN28" i="830"/>
  <c r="AO28" i="830" s="1"/>
  <c r="U28" i="830"/>
  <c r="V28" i="830" s="1"/>
  <c r="N28" i="830"/>
  <c r="AX27" i="830"/>
  <c r="AW27" i="830"/>
  <c r="AN27" i="830"/>
  <c r="AO27" i="830" s="1"/>
  <c r="V27" i="830"/>
  <c r="U27" i="830"/>
  <c r="N27" i="830"/>
  <c r="AX26" i="830"/>
  <c r="AW26" i="830"/>
  <c r="AO26" i="830"/>
  <c r="AN26" i="830"/>
  <c r="U26" i="830"/>
  <c r="V26" i="830" s="1"/>
  <c r="N26" i="830"/>
  <c r="AX25" i="830"/>
  <c r="AW25" i="830"/>
  <c r="AN25" i="830"/>
  <c r="AO25" i="830" s="1"/>
  <c r="U25" i="830"/>
  <c r="V25" i="830" s="1"/>
  <c r="N25" i="830"/>
  <c r="AX24" i="830"/>
  <c r="AW24" i="830"/>
  <c r="AN24" i="830"/>
  <c r="AO24" i="830" s="1"/>
  <c r="V24" i="830"/>
  <c r="U24" i="830"/>
  <c r="N24" i="830"/>
  <c r="AX23" i="830"/>
  <c r="AW23" i="830"/>
  <c r="AN23" i="830"/>
  <c r="AO23" i="830" s="1"/>
  <c r="AB23" i="830"/>
  <c r="AC23" i="830" s="1"/>
  <c r="AE23" i="830" s="1"/>
  <c r="V23" i="830"/>
  <c r="U23" i="830"/>
  <c r="N23" i="830"/>
  <c r="AX22" i="830"/>
  <c r="AW22" i="830"/>
  <c r="AN22" i="830"/>
  <c r="AO22" i="830" s="1"/>
  <c r="AB22" i="830"/>
  <c r="AC22" i="830" s="1"/>
  <c r="AE22" i="830" s="1"/>
  <c r="V22" i="830"/>
  <c r="U22" i="830"/>
  <c r="N22" i="830"/>
  <c r="AX21" i="830"/>
  <c r="AW21" i="830"/>
  <c r="AN21" i="830"/>
  <c r="AO21" i="830" s="1"/>
  <c r="U21" i="830"/>
  <c r="V21" i="830" s="1"/>
  <c r="N21" i="830"/>
  <c r="AX20" i="830"/>
  <c r="AW20" i="830"/>
  <c r="AO20" i="830"/>
  <c r="AN20" i="830"/>
  <c r="AB20" i="830"/>
  <c r="AC20" i="830" s="1"/>
  <c r="AE20" i="830" s="1"/>
  <c r="V20" i="830"/>
  <c r="U20" i="830"/>
  <c r="N20" i="830"/>
  <c r="AX19" i="830"/>
  <c r="AW19" i="830"/>
  <c r="AO19" i="830"/>
  <c r="AN19" i="830"/>
  <c r="AB19" i="830"/>
  <c r="AC19" i="830" s="1"/>
  <c r="AE19" i="830" s="1"/>
  <c r="U19" i="830"/>
  <c r="V19" i="830" s="1"/>
  <c r="N19" i="830"/>
  <c r="AX18" i="830"/>
  <c r="AW18" i="830"/>
  <c r="AN18" i="830"/>
  <c r="AO18" i="830" s="1"/>
  <c r="U18" i="830"/>
  <c r="V18" i="830" s="1"/>
  <c r="N18" i="830"/>
  <c r="AX17" i="830"/>
  <c r="AW17" i="830"/>
  <c r="AN17" i="830"/>
  <c r="AO17" i="830" s="1"/>
  <c r="AB17" i="830"/>
  <c r="AC17" i="830" s="1"/>
  <c r="AE17" i="830" s="1"/>
  <c r="V17" i="830"/>
  <c r="U17" i="830"/>
  <c r="N17" i="830"/>
  <c r="AX16" i="830"/>
  <c r="AW16" i="830"/>
  <c r="AO16" i="830"/>
  <c r="AN16" i="830"/>
  <c r="AB16" i="830"/>
  <c r="AC16" i="830" s="1"/>
  <c r="AE16" i="830" s="1"/>
  <c r="U16" i="830"/>
  <c r="V16" i="830" s="1"/>
  <c r="N16" i="830"/>
  <c r="AX15" i="830"/>
  <c r="AW15" i="830"/>
  <c r="AN15" i="830"/>
  <c r="AO15" i="830" s="1"/>
  <c r="U15" i="830"/>
  <c r="V15" i="830" s="1"/>
  <c r="N15" i="830"/>
  <c r="AX14" i="830"/>
  <c r="AW14" i="830"/>
  <c r="AN14" i="830"/>
  <c r="AO14" i="830" s="1"/>
  <c r="AB14" i="830"/>
  <c r="AC14" i="830" s="1"/>
  <c r="AE14" i="830" s="1"/>
  <c r="V14" i="830"/>
  <c r="AJ14" i="830" s="1"/>
  <c r="U14" i="830"/>
  <c r="N14" i="830"/>
  <c r="AX13" i="830"/>
  <c r="AW13" i="830"/>
  <c r="AN13" i="830"/>
  <c r="AO13" i="830" s="1"/>
  <c r="AB13" i="830"/>
  <c r="AC13" i="830" s="1"/>
  <c r="AE13" i="830" s="1"/>
  <c r="U13" i="830"/>
  <c r="V13" i="830" s="1"/>
  <c r="N13" i="830"/>
  <c r="AX12" i="830"/>
  <c r="AW12" i="830"/>
  <c r="AN12" i="830"/>
  <c r="AO12" i="830" s="1"/>
  <c r="V12" i="830"/>
  <c r="U12" i="830"/>
  <c r="N12" i="830"/>
  <c r="AX11" i="830"/>
  <c r="AW11" i="830"/>
  <c r="AO11" i="830"/>
  <c r="AN11" i="830"/>
  <c r="U11" i="830"/>
  <c r="V11" i="830" s="1"/>
  <c r="N11" i="830"/>
  <c r="N10" i="830"/>
  <c r="AX9" i="830"/>
  <c r="AW9" i="830"/>
  <c r="AO9" i="830"/>
  <c r="AN9" i="830"/>
  <c r="AB9" i="830"/>
  <c r="AC9" i="830" s="1"/>
  <c r="AE9" i="830" s="1"/>
  <c r="U9" i="830"/>
  <c r="V9" i="830" s="1"/>
  <c r="N9" i="830"/>
  <c r="N8" i="830"/>
  <c r="AX7" i="830"/>
  <c r="AW7" i="830"/>
  <c r="AO7" i="830"/>
  <c r="AN7" i="830"/>
  <c r="AF7" i="830"/>
  <c r="AB7" i="830"/>
  <c r="AC7" i="830" s="1"/>
  <c r="AE7" i="830" s="1"/>
  <c r="AJ7" i="830" s="1"/>
  <c r="U7" i="830"/>
  <c r="V7" i="830" s="1"/>
  <c r="AH7" i="830" s="1"/>
  <c r="AL7" i="830" s="1"/>
  <c r="N7" i="830"/>
  <c r="N6" i="830"/>
  <c r="AX5" i="830"/>
  <c r="AW5" i="830"/>
  <c r="AN5" i="830"/>
  <c r="AO5" i="830" s="1"/>
  <c r="AF5" i="830"/>
  <c r="AB5" i="830"/>
  <c r="AC5" i="830" s="1"/>
  <c r="AE5" i="830" s="1"/>
  <c r="U5" i="830"/>
  <c r="V5" i="830" s="1"/>
  <c r="N5" i="830"/>
  <c r="AS2" i="830"/>
  <c r="AA2" i="830"/>
  <c r="AD2" i="830" s="1"/>
  <c r="I2" i="830"/>
  <c r="AB123" i="830" s="1"/>
  <c r="AC123" i="830" s="1"/>
  <c r="AE123" i="830" s="1"/>
  <c r="AJ80" i="830" l="1"/>
  <c r="AJ17" i="830"/>
  <c r="AH20" i="830"/>
  <c r="AL20" i="830" s="1"/>
  <c r="AJ23" i="830"/>
  <c r="AB26" i="830"/>
  <c r="AC26" i="830" s="1"/>
  <c r="AE26" i="830" s="1"/>
  <c r="AB32" i="830"/>
  <c r="AC32" i="830" s="1"/>
  <c r="AE32" i="830" s="1"/>
  <c r="AB80" i="830"/>
  <c r="AC80" i="830" s="1"/>
  <c r="AE80" i="830" s="1"/>
  <c r="AB90" i="830"/>
  <c r="AC90" i="830" s="1"/>
  <c r="AE90" i="830" s="1"/>
  <c r="AH90" i="830" s="1"/>
  <c r="AB122" i="830"/>
  <c r="AC122" i="830" s="1"/>
  <c r="AE122" i="830" s="1"/>
  <c r="AB94" i="830"/>
  <c r="AC94" i="830" s="1"/>
  <c r="AE94" i="830" s="1"/>
  <c r="AJ94" i="830" s="1"/>
  <c r="AK7" i="830"/>
  <c r="AB39" i="830"/>
  <c r="AC39" i="830" s="1"/>
  <c r="AE39" i="830" s="1"/>
  <c r="AJ39" i="830" s="1"/>
  <c r="AB42" i="830"/>
  <c r="AC42" i="830" s="1"/>
  <c r="AE42" i="830" s="1"/>
  <c r="AJ42" i="830" s="1"/>
  <c r="AJ123" i="830"/>
  <c r="AB116" i="830"/>
  <c r="AC116" i="830" s="1"/>
  <c r="AE116" i="830" s="1"/>
  <c r="AB33" i="830"/>
  <c r="AC33" i="830" s="1"/>
  <c r="AE33" i="830" s="1"/>
  <c r="AH33" i="830" s="1"/>
  <c r="AJ36" i="830"/>
  <c r="AB52" i="830"/>
  <c r="AC52" i="830" s="1"/>
  <c r="AE52" i="830" s="1"/>
  <c r="AJ52" i="830" s="1"/>
  <c r="AH24" i="830"/>
  <c r="AK24" i="830" s="1"/>
  <c r="AH130" i="830"/>
  <c r="AL130" i="830" s="1"/>
  <c r="AB24" i="830"/>
  <c r="AC24" i="830" s="1"/>
  <c r="AE24" i="830" s="1"/>
  <c r="AB27" i="830"/>
  <c r="AC27" i="830" s="1"/>
  <c r="AE27" i="830" s="1"/>
  <c r="AB59" i="830"/>
  <c r="AC59" i="830" s="1"/>
  <c r="AE59" i="830" s="1"/>
  <c r="AB110" i="830"/>
  <c r="AC110" i="830" s="1"/>
  <c r="AE110" i="830" s="1"/>
  <c r="AB130" i="830"/>
  <c r="AC130" i="830" s="1"/>
  <c r="AE130" i="830" s="1"/>
  <c r="AJ130" i="830" s="1"/>
  <c r="AB136" i="830"/>
  <c r="AC136" i="830" s="1"/>
  <c r="AE136" i="830" s="1"/>
  <c r="AJ136" i="830" s="1"/>
  <c r="AB12" i="830"/>
  <c r="AC12" i="830" s="1"/>
  <c r="AE12" i="830" s="1"/>
  <c r="AB120" i="830"/>
  <c r="AC120" i="830" s="1"/>
  <c r="AE120" i="830" s="1"/>
  <c r="AB133" i="830"/>
  <c r="AC133" i="830" s="1"/>
  <c r="AE133" i="830" s="1"/>
  <c r="AJ133" i="830" s="1"/>
  <c r="AB46" i="830"/>
  <c r="AC46" i="830" s="1"/>
  <c r="AE46" i="830" s="1"/>
  <c r="AJ46" i="830" s="1"/>
  <c r="AH66" i="830"/>
  <c r="AL66" i="830" s="1"/>
  <c r="AB104" i="830"/>
  <c r="AC104" i="830" s="1"/>
  <c r="AE104" i="830" s="1"/>
  <c r="AJ104" i="830" s="1"/>
  <c r="AB117" i="830"/>
  <c r="AC117" i="830" s="1"/>
  <c r="AE117" i="830" s="1"/>
  <c r="AB127" i="830"/>
  <c r="AC127" i="830" s="1"/>
  <c r="AE127" i="830" s="1"/>
  <c r="AH127" i="830" s="1"/>
  <c r="AB43" i="830"/>
  <c r="AC43" i="830" s="1"/>
  <c r="AE43" i="830" s="1"/>
  <c r="AH43" i="830" s="1"/>
  <c r="AB56" i="830"/>
  <c r="AC56" i="830" s="1"/>
  <c r="AE56" i="830" s="1"/>
  <c r="AH56" i="830" s="1"/>
  <c r="AB66" i="830"/>
  <c r="AC66" i="830" s="1"/>
  <c r="AE66" i="830" s="1"/>
  <c r="AB69" i="830"/>
  <c r="AC69" i="830" s="1"/>
  <c r="AE69" i="830" s="1"/>
  <c r="AB82" i="830"/>
  <c r="AC82" i="830" s="1"/>
  <c r="AE82" i="830" s="1"/>
  <c r="AB92" i="830"/>
  <c r="AC92" i="830" s="1"/>
  <c r="AE92" i="830" s="1"/>
  <c r="AB114" i="830"/>
  <c r="AC114" i="830" s="1"/>
  <c r="AE114" i="830" s="1"/>
  <c r="AH124" i="830"/>
  <c r="AJ5" i="830"/>
  <c r="AH5" i="830"/>
  <c r="AH13" i="830"/>
  <c r="AJ13" i="830"/>
  <c r="AJ27" i="830"/>
  <c r="AH27" i="830"/>
  <c r="AJ83" i="830"/>
  <c r="AH83" i="830"/>
  <c r="AJ129" i="830"/>
  <c r="AH129" i="830"/>
  <c r="AH73" i="830"/>
  <c r="AJ73" i="830"/>
  <c r="AJ93" i="830"/>
  <c r="AH93" i="830"/>
  <c r="AJ29" i="830"/>
  <c r="AH29" i="830"/>
  <c r="AJ122" i="830"/>
  <c r="AH122" i="830"/>
  <c r="AJ97" i="830"/>
  <c r="AH97" i="830"/>
  <c r="AJ120" i="830"/>
  <c r="AH120" i="830"/>
  <c r="AJ19" i="830"/>
  <c r="AH19" i="830"/>
  <c r="AJ53" i="830"/>
  <c r="AH53" i="830"/>
  <c r="AJ63" i="830"/>
  <c r="AH63" i="830"/>
  <c r="AJ35" i="830"/>
  <c r="AJ102" i="830"/>
  <c r="AH102" i="830"/>
  <c r="AJ107" i="830"/>
  <c r="AH107" i="830"/>
  <c r="AL124" i="830"/>
  <c r="AK124" i="830"/>
  <c r="AJ70" i="830"/>
  <c r="AH70" i="830"/>
  <c r="AH81" i="830"/>
  <c r="AJ116" i="830"/>
  <c r="AH116" i="830"/>
  <c r="AJ74" i="830"/>
  <c r="AH74" i="830"/>
  <c r="AH103" i="830"/>
  <c r="AJ85" i="830"/>
  <c r="AH85" i="830"/>
  <c r="AH17" i="830"/>
  <c r="AJ89" i="830"/>
  <c r="AK64" i="830"/>
  <c r="AL86" i="830"/>
  <c r="AK86" i="830"/>
  <c r="AJ100" i="830"/>
  <c r="AH100" i="830"/>
  <c r="AH110" i="830"/>
  <c r="AJ110" i="830"/>
  <c r="AH54" i="830"/>
  <c r="AJ90" i="830"/>
  <c r="AJ124" i="830"/>
  <c r="AK134" i="830"/>
  <c r="AL134" i="830"/>
  <c r="AJ132" i="830"/>
  <c r="AH132" i="830"/>
  <c r="AL67" i="830"/>
  <c r="AK67" i="830"/>
  <c r="AJ16" i="830"/>
  <c r="AH16" i="830"/>
  <c r="AH23" i="830"/>
  <c r="AH46" i="830"/>
  <c r="AH87" i="830"/>
  <c r="AJ87" i="830"/>
  <c r="AH44" i="830"/>
  <c r="AJ105" i="830"/>
  <c r="AH105" i="830"/>
  <c r="AH37" i="830"/>
  <c r="AJ26" i="830"/>
  <c r="AH26" i="830"/>
  <c r="AJ49" i="830"/>
  <c r="AH49" i="830"/>
  <c r="AJ119" i="830"/>
  <c r="AH119" i="830"/>
  <c r="AJ57" i="830"/>
  <c r="AJ108" i="830"/>
  <c r="AH108" i="830"/>
  <c r="AH114" i="830"/>
  <c r="AJ114" i="830"/>
  <c r="AH117" i="830"/>
  <c r="AJ117" i="830"/>
  <c r="AJ77" i="830"/>
  <c r="AH77" i="830"/>
  <c r="AJ66" i="830"/>
  <c r="AJ69" i="830"/>
  <c r="AH69" i="830"/>
  <c r="AJ112" i="830"/>
  <c r="AH112" i="830"/>
  <c r="AJ59" i="830"/>
  <c r="AH59" i="830"/>
  <c r="AJ34" i="830"/>
  <c r="AJ55" i="830"/>
  <c r="AH55" i="830"/>
  <c r="AH106" i="830"/>
  <c r="AJ65" i="830"/>
  <c r="AJ67" i="830"/>
  <c r="AJ92" i="830"/>
  <c r="AH92" i="830"/>
  <c r="AH123" i="830"/>
  <c r="AH14" i="830"/>
  <c r="AH136" i="830"/>
  <c r="AJ24" i="830"/>
  <c r="AJ75" i="830"/>
  <c r="AH75" i="830"/>
  <c r="AJ22" i="830"/>
  <c r="AH22" i="830"/>
  <c r="AJ82" i="830"/>
  <c r="AH82" i="830"/>
  <c r="AJ30" i="830"/>
  <c r="AH30" i="830"/>
  <c r="AJ109" i="830"/>
  <c r="AH109" i="830"/>
  <c r="AK20" i="830"/>
  <c r="AJ60" i="830"/>
  <c r="AH60" i="830"/>
  <c r="AH34" i="830"/>
  <c r="AH36" i="830"/>
  <c r="AJ40" i="830"/>
  <c r="AH40" i="830"/>
  <c r="AH50" i="830"/>
  <c r="AJ50" i="830"/>
  <c r="AH76" i="830"/>
  <c r="AJ9" i="830"/>
  <c r="AH9" i="830"/>
  <c r="AH80" i="830"/>
  <c r="AJ134" i="830"/>
  <c r="AJ32" i="830"/>
  <c r="AH32" i="830"/>
  <c r="AJ121" i="830"/>
  <c r="AH121" i="830"/>
  <c r="AJ20" i="830"/>
  <c r="AJ62" i="830"/>
  <c r="AH62" i="830"/>
  <c r="AJ72" i="830"/>
  <c r="AJ99" i="830"/>
  <c r="AH99" i="830"/>
  <c r="AB126" i="830"/>
  <c r="AC126" i="830" s="1"/>
  <c r="AE126" i="830" s="1"/>
  <c r="AH126" i="830" s="1"/>
  <c r="AB89" i="830"/>
  <c r="AC89" i="830" s="1"/>
  <c r="AE89" i="830" s="1"/>
  <c r="AH89" i="830" s="1"/>
  <c r="AB106" i="830"/>
  <c r="AC106" i="830" s="1"/>
  <c r="AE106" i="830" s="1"/>
  <c r="AJ106" i="830" s="1"/>
  <c r="AB131" i="830"/>
  <c r="AC131" i="830" s="1"/>
  <c r="AE131" i="830" s="1"/>
  <c r="AH131" i="830" s="1"/>
  <c r="AB121" i="830"/>
  <c r="AC121" i="830" s="1"/>
  <c r="AE121" i="830" s="1"/>
  <c r="AB111" i="830"/>
  <c r="AC111" i="830" s="1"/>
  <c r="AE111" i="830" s="1"/>
  <c r="AJ111" i="830" s="1"/>
  <c r="AB101" i="830"/>
  <c r="AC101" i="830" s="1"/>
  <c r="AE101" i="830" s="1"/>
  <c r="AB91" i="830"/>
  <c r="AC91" i="830" s="1"/>
  <c r="AE91" i="830" s="1"/>
  <c r="AB81" i="830"/>
  <c r="AC81" i="830" s="1"/>
  <c r="AE81" i="830" s="1"/>
  <c r="AJ81" i="830" s="1"/>
  <c r="AB71" i="830"/>
  <c r="AC71" i="830" s="1"/>
  <c r="AE71" i="830" s="1"/>
  <c r="AH71" i="830" s="1"/>
  <c r="AB61" i="830"/>
  <c r="AC61" i="830" s="1"/>
  <c r="AE61" i="830" s="1"/>
  <c r="AJ61" i="830" s="1"/>
  <c r="AB51" i="830"/>
  <c r="AC51" i="830" s="1"/>
  <c r="AE51" i="830" s="1"/>
  <c r="AJ51" i="830" s="1"/>
  <c r="AB41" i="830"/>
  <c r="AC41" i="830" s="1"/>
  <c r="AE41" i="830" s="1"/>
  <c r="AH41" i="830" s="1"/>
  <c r="AB31" i="830"/>
  <c r="AC31" i="830" s="1"/>
  <c r="AE31" i="830" s="1"/>
  <c r="AJ31" i="830" s="1"/>
  <c r="AB21" i="830"/>
  <c r="AC21" i="830" s="1"/>
  <c r="AE21" i="830" s="1"/>
  <c r="AJ21" i="830" s="1"/>
  <c r="AB11" i="830"/>
  <c r="AC11" i="830" s="1"/>
  <c r="AE11" i="830" s="1"/>
  <c r="AB45" i="830"/>
  <c r="AC45" i="830" s="1"/>
  <c r="AE45" i="830" s="1"/>
  <c r="AJ45" i="830" s="1"/>
  <c r="AB38" i="830"/>
  <c r="AC38" i="830" s="1"/>
  <c r="AE38" i="830" s="1"/>
  <c r="AJ38" i="830" s="1"/>
  <c r="AB105" i="830"/>
  <c r="AC105" i="830" s="1"/>
  <c r="AE105" i="830" s="1"/>
  <c r="AB95" i="830"/>
  <c r="AC95" i="830" s="1"/>
  <c r="AE95" i="830" s="1"/>
  <c r="AJ95" i="830" s="1"/>
  <c r="AB65" i="830"/>
  <c r="AC65" i="830" s="1"/>
  <c r="AE65" i="830" s="1"/>
  <c r="AH65" i="830" s="1"/>
  <c r="AB55" i="830"/>
  <c r="AC55" i="830" s="1"/>
  <c r="AE55" i="830" s="1"/>
  <c r="AB25" i="830"/>
  <c r="AC25" i="830" s="1"/>
  <c r="AE25" i="830" s="1"/>
  <c r="AJ25" i="830" s="1"/>
  <c r="AB128" i="830"/>
  <c r="AC128" i="830" s="1"/>
  <c r="AE128" i="830" s="1"/>
  <c r="AJ128" i="830" s="1"/>
  <c r="AB118" i="830"/>
  <c r="AC118" i="830" s="1"/>
  <c r="AE118" i="830" s="1"/>
  <c r="AB108" i="830"/>
  <c r="AC108" i="830" s="1"/>
  <c r="AE108" i="830" s="1"/>
  <c r="AB98" i="830"/>
  <c r="AC98" i="830" s="1"/>
  <c r="AE98" i="830" s="1"/>
  <c r="AJ98" i="830" s="1"/>
  <c r="AB88" i="830"/>
  <c r="AC88" i="830" s="1"/>
  <c r="AE88" i="830" s="1"/>
  <c r="AJ88" i="830" s="1"/>
  <c r="AB78" i="830"/>
  <c r="AC78" i="830" s="1"/>
  <c r="AE78" i="830" s="1"/>
  <c r="AH78" i="830" s="1"/>
  <c r="AB68" i="830"/>
  <c r="AC68" i="830" s="1"/>
  <c r="AE68" i="830" s="1"/>
  <c r="AJ68" i="830" s="1"/>
  <c r="AB58" i="830"/>
  <c r="AC58" i="830" s="1"/>
  <c r="AE58" i="830" s="1"/>
  <c r="AH58" i="830" s="1"/>
  <c r="AB48" i="830"/>
  <c r="AC48" i="830" s="1"/>
  <c r="AE48" i="830" s="1"/>
  <c r="AJ48" i="830" s="1"/>
  <c r="AB28" i="830"/>
  <c r="AC28" i="830" s="1"/>
  <c r="AE28" i="830" s="1"/>
  <c r="AJ28" i="830" s="1"/>
  <c r="AB18" i="830"/>
  <c r="AC18" i="830" s="1"/>
  <c r="AE18" i="830" s="1"/>
  <c r="AB125" i="830"/>
  <c r="AC125" i="830" s="1"/>
  <c r="AE125" i="830" s="1"/>
  <c r="AJ125" i="830" s="1"/>
  <c r="AB135" i="830"/>
  <c r="AC135" i="830" s="1"/>
  <c r="AE135" i="830" s="1"/>
  <c r="AJ135" i="830" s="1"/>
  <c r="AB115" i="830"/>
  <c r="AC115" i="830" s="1"/>
  <c r="AE115" i="830" s="1"/>
  <c r="AH115" i="830" s="1"/>
  <c r="AB85" i="830"/>
  <c r="AC85" i="830" s="1"/>
  <c r="AE85" i="830" s="1"/>
  <c r="AB75" i="830"/>
  <c r="AC75" i="830" s="1"/>
  <c r="AE75" i="830" s="1"/>
  <c r="AB35" i="830"/>
  <c r="AC35" i="830" s="1"/>
  <c r="AE35" i="830" s="1"/>
  <c r="AH35" i="830" s="1"/>
  <c r="AB15" i="830"/>
  <c r="AC15" i="830" s="1"/>
  <c r="AE15" i="830" s="1"/>
  <c r="AJ15" i="830" s="1"/>
  <c r="AB57" i="830"/>
  <c r="AC57" i="830" s="1"/>
  <c r="AE57" i="830" s="1"/>
  <c r="AH57" i="830" s="1"/>
  <c r="AB72" i="830"/>
  <c r="AC72" i="830" s="1"/>
  <c r="AE72" i="830" s="1"/>
  <c r="AH72" i="830" s="1"/>
  <c r="AB84" i="830"/>
  <c r="AC84" i="830" s="1"/>
  <c r="AE84" i="830" s="1"/>
  <c r="AH128" i="830"/>
  <c r="AJ12" i="830"/>
  <c r="AH12" i="830"/>
  <c r="AB37" i="830"/>
  <c r="AC37" i="830" s="1"/>
  <c r="AE37" i="830" s="1"/>
  <c r="AJ37" i="830" s="1"/>
  <c r="AB47" i="830"/>
  <c r="AC47" i="830" s="1"/>
  <c r="AE47" i="830" s="1"/>
  <c r="AH47" i="830" s="1"/>
  <c r="AB62" i="830"/>
  <c r="AC62" i="830" s="1"/>
  <c r="AE62" i="830" s="1"/>
  <c r="AB79" i="830"/>
  <c r="AC79" i="830" s="1"/>
  <c r="AE79" i="830" s="1"/>
  <c r="AJ79" i="830" s="1"/>
  <c r="AB96" i="830"/>
  <c r="AC96" i="830" s="1"/>
  <c r="AE96" i="830" s="1"/>
  <c r="AJ96" i="830" s="1"/>
  <c r="AB113" i="830"/>
  <c r="AC113" i="830" s="1"/>
  <c r="AE113" i="830" s="1"/>
  <c r="AH113" i="830" s="1"/>
  <c r="AK56" i="830" l="1"/>
  <c r="AL56" i="830"/>
  <c r="AJ56" i="830"/>
  <c r="AJ33" i="830"/>
  <c r="AH39" i="830"/>
  <c r="AJ127" i="830"/>
  <c r="AH133" i="830"/>
  <c r="AH94" i="830"/>
  <c r="AH104" i="830"/>
  <c r="AK66" i="830"/>
  <c r="AH51" i="830"/>
  <c r="AL51" i="830" s="1"/>
  <c r="AJ43" i="830"/>
  <c r="AH42" i="830"/>
  <c r="AK42" i="830" s="1"/>
  <c r="AJ78" i="830"/>
  <c r="AK130" i="830"/>
  <c r="AL24" i="830"/>
  <c r="AH111" i="830"/>
  <c r="AK111" i="830" s="1"/>
  <c r="AH25" i="830"/>
  <c r="AK25" i="830" s="1"/>
  <c r="AJ113" i="830"/>
  <c r="AH15" i="830"/>
  <c r="AK15" i="830" s="1"/>
  <c r="AJ58" i="830"/>
  <c r="AH38" i="830"/>
  <c r="AH52" i="830"/>
  <c r="AK115" i="830"/>
  <c r="AL115" i="830"/>
  <c r="AL41" i="830"/>
  <c r="AK41" i="830"/>
  <c r="AL71" i="830"/>
  <c r="AK71" i="830"/>
  <c r="AL47" i="830"/>
  <c r="AK47" i="830"/>
  <c r="AL57" i="830"/>
  <c r="AK57" i="830"/>
  <c r="AL78" i="830"/>
  <c r="AK78" i="830"/>
  <c r="AK65" i="830"/>
  <c r="AL65" i="830"/>
  <c r="AL126" i="830"/>
  <c r="AK126" i="830"/>
  <c r="AL76" i="830"/>
  <c r="AK76" i="830"/>
  <c r="AL110" i="830"/>
  <c r="AK110" i="830"/>
  <c r="AL100" i="830"/>
  <c r="AK100" i="830"/>
  <c r="AL106" i="830"/>
  <c r="AK106" i="830"/>
  <c r="AL83" i="830"/>
  <c r="AK83" i="830"/>
  <c r="AL127" i="830"/>
  <c r="AK127" i="830"/>
  <c r="AJ115" i="830"/>
  <c r="AL59" i="830"/>
  <c r="AK59" i="830"/>
  <c r="AL32" i="830"/>
  <c r="AK32" i="830"/>
  <c r="AH96" i="830"/>
  <c r="AH98" i="830"/>
  <c r="AL102" i="830"/>
  <c r="AK102" i="830"/>
  <c r="AL29" i="830"/>
  <c r="AK29" i="830"/>
  <c r="AL43" i="830"/>
  <c r="AK43" i="830"/>
  <c r="AH45" i="830"/>
  <c r="AL53" i="830"/>
  <c r="AK53" i="830"/>
  <c r="AK50" i="830"/>
  <c r="AL50" i="830"/>
  <c r="AL70" i="830"/>
  <c r="AK70" i="830"/>
  <c r="AL89" i="830"/>
  <c r="AK89" i="830"/>
  <c r="AK58" i="830"/>
  <c r="AL58" i="830"/>
  <c r="AK17" i="830"/>
  <c r="AL17" i="830"/>
  <c r="AJ41" i="830"/>
  <c r="AH61" i="830"/>
  <c r="AL60" i="830"/>
  <c r="AK60" i="830"/>
  <c r="AJ47" i="830"/>
  <c r="AK27" i="830"/>
  <c r="AL27" i="830"/>
  <c r="AL14" i="830"/>
  <c r="AK14" i="830"/>
  <c r="AL128" i="830"/>
  <c r="AK128" i="830"/>
  <c r="AJ71" i="830"/>
  <c r="AL131" i="830"/>
  <c r="AK131" i="830"/>
  <c r="AL92" i="830"/>
  <c r="AK92" i="830"/>
  <c r="AH48" i="830"/>
  <c r="AK44" i="830"/>
  <c r="AL44" i="830"/>
  <c r="AK35" i="830"/>
  <c r="AL35" i="830"/>
  <c r="AL93" i="830"/>
  <c r="AK93" i="830"/>
  <c r="AL75" i="830"/>
  <c r="AK75" i="830"/>
  <c r="AL23" i="830"/>
  <c r="AK23" i="830"/>
  <c r="AH11" i="830"/>
  <c r="AJ11" i="830"/>
  <c r="AK77" i="830"/>
  <c r="AL77" i="830"/>
  <c r="AJ18" i="830"/>
  <c r="AH18" i="830"/>
  <c r="AK113" i="830"/>
  <c r="AL113" i="830"/>
  <c r="AH125" i="830"/>
  <c r="AL81" i="830"/>
  <c r="AK81" i="830"/>
  <c r="AL117" i="830"/>
  <c r="AK117" i="830"/>
  <c r="AH21" i="830"/>
  <c r="AH91" i="830"/>
  <c r="AJ91" i="830"/>
  <c r="AL122" i="830"/>
  <c r="AK122" i="830"/>
  <c r="AL12" i="830"/>
  <c r="AK12" i="830"/>
  <c r="AL105" i="830"/>
  <c r="AK105" i="830"/>
  <c r="AH118" i="830"/>
  <c r="AJ118" i="830"/>
  <c r="AL109" i="830"/>
  <c r="AK109" i="830"/>
  <c r="AK103" i="830"/>
  <c r="AL103" i="830"/>
  <c r="AL9" i="830"/>
  <c r="AK9" i="830"/>
  <c r="AL133" i="830"/>
  <c r="AK133" i="830"/>
  <c r="AH79" i="830"/>
  <c r="AJ131" i="830"/>
  <c r="AL119" i="830"/>
  <c r="AK119" i="830"/>
  <c r="AL87" i="830"/>
  <c r="AK87" i="830"/>
  <c r="AH95" i="830"/>
  <c r="AL116" i="830"/>
  <c r="AK116" i="830"/>
  <c r="AL26" i="830"/>
  <c r="AK26" i="830"/>
  <c r="AH135" i="830"/>
  <c r="AK40" i="830"/>
  <c r="AL40" i="830"/>
  <c r="AL19" i="830"/>
  <c r="AK19" i="830"/>
  <c r="AL111" i="830"/>
  <c r="AL62" i="830"/>
  <c r="AK62" i="830"/>
  <c r="AL25" i="830"/>
  <c r="AK120" i="830"/>
  <c r="AL120" i="830"/>
  <c r="AL52" i="830"/>
  <c r="AK52" i="830"/>
  <c r="AL132" i="830"/>
  <c r="AK132" i="830"/>
  <c r="AH28" i="830"/>
  <c r="AL114" i="830"/>
  <c r="AK114" i="830"/>
  <c r="AK121" i="830"/>
  <c r="AL121" i="830"/>
  <c r="AL136" i="830"/>
  <c r="AK136" i="830"/>
  <c r="AJ84" i="830"/>
  <c r="AH84" i="830"/>
  <c r="AL30" i="830"/>
  <c r="AK30" i="830"/>
  <c r="AH31" i="830"/>
  <c r="AL112" i="830"/>
  <c r="AK112" i="830"/>
  <c r="AH88" i="830"/>
  <c r="AL39" i="830"/>
  <c r="AK39" i="830"/>
  <c r="AL22" i="830"/>
  <c r="AK22" i="830"/>
  <c r="AL69" i="830"/>
  <c r="AK69" i="830"/>
  <c r="AL46" i="830"/>
  <c r="AK46" i="830"/>
  <c r="AL54" i="830"/>
  <c r="AK54" i="830"/>
  <c r="AK74" i="830"/>
  <c r="AL74" i="830"/>
  <c r="AL5" i="830"/>
  <c r="AK5" i="830"/>
  <c r="AL16" i="830"/>
  <c r="AK16" i="830"/>
  <c r="AL72" i="830"/>
  <c r="AK72" i="830"/>
  <c r="AL129" i="830"/>
  <c r="AK129" i="830"/>
  <c r="AL55" i="830"/>
  <c r="AK55" i="830"/>
  <c r="AK38" i="830"/>
  <c r="AL38" i="830"/>
  <c r="AL36" i="830"/>
  <c r="AK36" i="830"/>
  <c r="AL37" i="830"/>
  <c r="AK37" i="830"/>
  <c r="AK97" i="830"/>
  <c r="AL97" i="830"/>
  <c r="AL34" i="830"/>
  <c r="AK34" i="830"/>
  <c r="AK108" i="830"/>
  <c r="AL108" i="830"/>
  <c r="AL107" i="830"/>
  <c r="AK107" i="830"/>
  <c r="AH101" i="830"/>
  <c r="AJ101" i="830"/>
  <c r="AL123" i="830"/>
  <c r="AK123" i="830"/>
  <c r="AH68" i="830"/>
  <c r="AL85" i="830"/>
  <c r="AK85" i="830"/>
  <c r="AL13" i="830"/>
  <c r="AK13" i="830"/>
  <c r="AL80" i="830"/>
  <c r="AK80" i="830"/>
  <c r="AK90" i="830"/>
  <c r="AL90" i="830"/>
  <c r="AK104" i="830"/>
  <c r="AL104" i="830"/>
  <c r="AL33" i="830"/>
  <c r="AK33" i="830"/>
  <c r="AL82" i="830"/>
  <c r="AK82" i="830"/>
  <c r="AL73" i="830"/>
  <c r="AK73" i="830"/>
  <c r="AL99" i="830"/>
  <c r="AK99" i="830"/>
  <c r="AJ126" i="830"/>
  <c r="AL49" i="830"/>
  <c r="AK49" i="830"/>
  <c r="AK63" i="830"/>
  <c r="AL63" i="830"/>
  <c r="AL94" i="830" l="1"/>
  <c r="AK94" i="830"/>
  <c r="AL15" i="830"/>
  <c r="AL42" i="830"/>
  <c r="AK51" i="830"/>
  <c r="AL135" i="830"/>
  <c r="AK135" i="830"/>
  <c r="AK18" i="830"/>
  <c r="AL18" i="830"/>
  <c r="AK88" i="830"/>
  <c r="AL88" i="830"/>
  <c r="AL101" i="830"/>
  <c r="AK101" i="830"/>
  <c r="AL98" i="830"/>
  <c r="AK98" i="830"/>
  <c r="AL125" i="830"/>
  <c r="AK125" i="830"/>
  <c r="AL96" i="830"/>
  <c r="AK96" i="830"/>
  <c r="AK48" i="830"/>
  <c r="AL48" i="830"/>
  <c r="AL28" i="830"/>
  <c r="AK28" i="830"/>
  <c r="AL11" i="830"/>
  <c r="AK11" i="830"/>
  <c r="AK45" i="830"/>
  <c r="AL45" i="830"/>
  <c r="AL79" i="830"/>
  <c r="AK79" i="830"/>
  <c r="AK91" i="830"/>
  <c r="AL91" i="830"/>
  <c r="AL31" i="830"/>
  <c r="AK31" i="830"/>
  <c r="AK95" i="830"/>
  <c r="AL95" i="830"/>
  <c r="AL61" i="830"/>
  <c r="AK61" i="830"/>
  <c r="AK21" i="830"/>
  <c r="AL21" i="830"/>
  <c r="AK84" i="830"/>
  <c r="AL84" i="830"/>
  <c r="AL118" i="830"/>
  <c r="AK118" i="830"/>
  <c r="AL68" i="830"/>
  <c r="AK68" i="830"/>
  <c r="AF11" i="828" l="1"/>
  <c r="N16" i="828"/>
  <c r="AF15" i="828"/>
  <c r="AF13" i="828"/>
  <c r="N14" i="828" l="1"/>
  <c r="N12" i="828"/>
  <c r="AF7" i="828" l="1"/>
  <c r="AF5" i="828"/>
  <c r="AX138" i="828" l="1"/>
  <c r="AW138" i="828"/>
  <c r="AN138" i="828"/>
  <c r="AO138" i="828" s="1"/>
  <c r="U138" i="828"/>
  <c r="V138" i="828" s="1"/>
  <c r="N138" i="828"/>
  <c r="AX137" i="828"/>
  <c r="AW137" i="828"/>
  <c r="AN137" i="828"/>
  <c r="AO137" i="828" s="1"/>
  <c r="U137" i="828"/>
  <c r="V137" i="828" s="1"/>
  <c r="N137" i="828"/>
  <c r="AX136" i="828"/>
  <c r="AW136" i="828"/>
  <c r="AN136" i="828"/>
  <c r="AO136" i="828" s="1"/>
  <c r="V136" i="828"/>
  <c r="U136" i="828"/>
  <c r="N136" i="828"/>
  <c r="AX135" i="828"/>
  <c r="AW135" i="828"/>
  <c r="AO135" i="828"/>
  <c r="AN135" i="828"/>
  <c r="U135" i="828"/>
  <c r="V135" i="828" s="1"/>
  <c r="N135" i="828"/>
  <c r="AX134" i="828"/>
  <c r="AW134" i="828"/>
  <c r="AN134" i="828"/>
  <c r="AO134" i="828" s="1"/>
  <c r="U134" i="828"/>
  <c r="V134" i="828" s="1"/>
  <c r="N134" i="828"/>
  <c r="AX133" i="828"/>
  <c r="AW133" i="828"/>
  <c r="AN133" i="828"/>
  <c r="AO133" i="828" s="1"/>
  <c r="U133" i="828"/>
  <c r="V133" i="828" s="1"/>
  <c r="N133" i="828"/>
  <c r="AX132" i="828"/>
  <c r="AW132" i="828"/>
  <c r="AN132" i="828"/>
  <c r="AO132" i="828" s="1"/>
  <c r="U132" i="828"/>
  <c r="V132" i="828" s="1"/>
  <c r="N132" i="828"/>
  <c r="AX131" i="828"/>
  <c r="AW131" i="828"/>
  <c r="AO131" i="828"/>
  <c r="AN131" i="828"/>
  <c r="V131" i="828"/>
  <c r="U131" i="828"/>
  <c r="N131" i="828"/>
  <c r="AX130" i="828"/>
  <c r="AW130" i="828"/>
  <c r="AN130" i="828"/>
  <c r="AO130" i="828" s="1"/>
  <c r="U130" i="828"/>
  <c r="V130" i="828" s="1"/>
  <c r="N130" i="828"/>
  <c r="AX129" i="828"/>
  <c r="AW129" i="828"/>
  <c r="AN129" i="828"/>
  <c r="AO129" i="828" s="1"/>
  <c r="U129" i="828"/>
  <c r="V129" i="828" s="1"/>
  <c r="N129" i="828"/>
  <c r="AX128" i="828"/>
  <c r="AW128" i="828"/>
  <c r="AN128" i="828"/>
  <c r="AO128" i="828" s="1"/>
  <c r="U128" i="828"/>
  <c r="V128" i="828" s="1"/>
  <c r="N128" i="828"/>
  <c r="AX127" i="828"/>
  <c r="AW127" i="828"/>
  <c r="AN127" i="828"/>
  <c r="AO127" i="828" s="1"/>
  <c r="U127" i="828"/>
  <c r="V127" i="828" s="1"/>
  <c r="N127" i="828"/>
  <c r="AX126" i="828"/>
  <c r="AW126" i="828"/>
  <c r="AN126" i="828"/>
  <c r="AO126" i="828" s="1"/>
  <c r="V126" i="828"/>
  <c r="U126" i="828"/>
  <c r="N126" i="828"/>
  <c r="AX125" i="828"/>
  <c r="AW125" i="828"/>
  <c r="AN125" i="828"/>
  <c r="AO125" i="828" s="1"/>
  <c r="U125" i="828"/>
  <c r="V125" i="828" s="1"/>
  <c r="N125" i="828"/>
  <c r="AX124" i="828"/>
  <c r="AW124" i="828"/>
  <c r="AN124" i="828"/>
  <c r="AO124" i="828" s="1"/>
  <c r="U124" i="828"/>
  <c r="V124" i="828" s="1"/>
  <c r="N124" i="828"/>
  <c r="AX123" i="828"/>
  <c r="AW123" i="828"/>
  <c r="AN123" i="828"/>
  <c r="AO123" i="828" s="1"/>
  <c r="U123" i="828"/>
  <c r="V123" i="828" s="1"/>
  <c r="N123" i="828"/>
  <c r="AX122" i="828"/>
  <c r="AW122" i="828"/>
  <c r="AN122" i="828"/>
  <c r="AO122" i="828" s="1"/>
  <c r="U122" i="828"/>
  <c r="V122" i="828" s="1"/>
  <c r="N122" i="828"/>
  <c r="AX121" i="828"/>
  <c r="AW121" i="828"/>
  <c r="AO121" i="828"/>
  <c r="AN121" i="828"/>
  <c r="V121" i="828"/>
  <c r="U121" i="828"/>
  <c r="N121" i="828"/>
  <c r="AX120" i="828"/>
  <c r="AW120" i="828"/>
  <c r="AN120" i="828"/>
  <c r="AO120" i="828" s="1"/>
  <c r="U120" i="828"/>
  <c r="V120" i="828" s="1"/>
  <c r="N120" i="828"/>
  <c r="AX119" i="828"/>
  <c r="AW119" i="828"/>
  <c r="AN119" i="828"/>
  <c r="AO119" i="828" s="1"/>
  <c r="U119" i="828"/>
  <c r="V119" i="828" s="1"/>
  <c r="N119" i="828"/>
  <c r="AX118" i="828"/>
  <c r="AW118" i="828"/>
  <c r="AN118" i="828"/>
  <c r="AO118" i="828" s="1"/>
  <c r="U118" i="828"/>
  <c r="V118" i="828" s="1"/>
  <c r="N118" i="828"/>
  <c r="AX117" i="828"/>
  <c r="AW117" i="828"/>
  <c r="AN117" i="828"/>
  <c r="AO117" i="828" s="1"/>
  <c r="U117" i="828"/>
  <c r="V117" i="828" s="1"/>
  <c r="N117" i="828"/>
  <c r="AX116" i="828"/>
  <c r="AW116" i="828"/>
  <c r="AN116" i="828"/>
  <c r="AO116" i="828" s="1"/>
  <c r="V116" i="828"/>
  <c r="U116" i="828"/>
  <c r="N116" i="828"/>
  <c r="AX115" i="828"/>
  <c r="AW115" i="828"/>
  <c r="AN115" i="828"/>
  <c r="AO115" i="828" s="1"/>
  <c r="U115" i="828"/>
  <c r="V115" i="828" s="1"/>
  <c r="N115" i="828"/>
  <c r="AX114" i="828"/>
  <c r="AW114" i="828"/>
  <c r="AO114" i="828"/>
  <c r="AN114" i="828"/>
  <c r="U114" i="828"/>
  <c r="V114" i="828" s="1"/>
  <c r="N114" i="828"/>
  <c r="AX113" i="828"/>
  <c r="AW113" i="828"/>
  <c r="AO113" i="828"/>
  <c r="AN113" i="828"/>
  <c r="U113" i="828"/>
  <c r="V113" i="828" s="1"/>
  <c r="N113" i="828"/>
  <c r="AX112" i="828"/>
  <c r="AW112" i="828"/>
  <c r="AN112" i="828"/>
  <c r="AO112" i="828" s="1"/>
  <c r="U112" i="828"/>
  <c r="V112" i="828" s="1"/>
  <c r="N112" i="828"/>
  <c r="AX111" i="828"/>
  <c r="AW111" i="828"/>
  <c r="AO111" i="828"/>
  <c r="AN111" i="828"/>
  <c r="U111" i="828"/>
  <c r="V111" i="828" s="1"/>
  <c r="N111" i="828"/>
  <c r="AX110" i="828"/>
  <c r="AW110" i="828"/>
  <c r="AN110" i="828"/>
  <c r="AO110" i="828" s="1"/>
  <c r="U110" i="828"/>
  <c r="V110" i="828" s="1"/>
  <c r="N110" i="828"/>
  <c r="AX109" i="828"/>
  <c r="AW109" i="828"/>
  <c r="AN109" i="828"/>
  <c r="AO109" i="828" s="1"/>
  <c r="U109" i="828"/>
  <c r="V109" i="828" s="1"/>
  <c r="N109" i="828"/>
  <c r="AX108" i="828"/>
  <c r="AW108" i="828"/>
  <c r="AN108" i="828"/>
  <c r="AO108" i="828" s="1"/>
  <c r="V108" i="828"/>
  <c r="U108" i="828"/>
  <c r="N108" i="828"/>
  <c r="AX107" i="828"/>
  <c r="AW107" i="828"/>
  <c r="AN107" i="828"/>
  <c r="AO107" i="828" s="1"/>
  <c r="U107" i="828"/>
  <c r="V107" i="828" s="1"/>
  <c r="N107" i="828"/>
  <c r="AX106" i="828"/>
  <c r="AW106" i="828"/>
  <c r="AN106" i="828"/>
  <c r="AO106" i="828" s="1"/>
  <c r="V106" i="828"/>
  <c r="U106" i="828"/>
  <c r="N106" i="828"/>
  <c r="AX105" i="828"/>
  <c r="AW105" i="828"/>
  <c r="AN105" i="828"/>
  <c r="AO105" i="828" s="1"/>
  <c r="U105" i="828"/>
  <c r="V105" i="828" s="1"/>
  <c r="N105" i="828"/>
  <c r="AX104" i="828"/>
  <c r="AW104" i="828"/>
  <c r="AN104" i="828"/>
  <c r="AO104" i="828" s="1"/>
  <c r="U104" i="828"/>
  <c r="V104" i="828" s="1"/>
  <c r="N104" i="828"/>
  <c r="AX103" i="828"/>
  <c r="AW103" i="828"/>
  <c r="AN103" i="828"/>
  <c r="AO103" i="828" s="1"/>
  <c r="U103" i="828"/>
  <c r="V103" i="828" s="1"/>
  <c r="N103" i="828"/>
  <c r="AX102" i="828"/>
  <c r="AW102" i="828"/>
  <c r="AN102" i="828"/>
  <c r="AO102" i="828" s="1"/>
  <c r="U102" i="828"/>
  <c r="V102" i="828" s="1"/>
  <c r="N102" i="828"/>
  <c r="AX101" i="828"/>
  <c r="AW101" i="828"/>
  <c r="AO101" i="828"/>
  <c r="AN101" i="828"/>
  <c r="U101" i="828"/>
  <c r="V101" i="828" s="1"/>
  <c r="N101" i="828"/>
  <c r="AX100" i="828"/>
  <c r="AW100" i="828"/>
  <c r="AN100" i="828"/>
  <c r="AO100" i="828" s="1"/>
  <c r="U100" i="828"/>
  <c r="V100" i="828" s="1"/>
  <c r="N100" i="828"/>
  <c r="AX99" i="828"/>
  <c r="AW99" i="828"/>
  <c r="AN99" i="828"/>
  <c r="AO99" i="828" s="1"/>
  <c r="U99" i="828"/>
  <c r="V99" i="828" s="1"/>
  <c r="N99" i="828"/>
  <c r="AX98" i="828"/>
  <c r="AW98" i="828"/>
  <c r="AN98" i="828"/>
  <c r="AO98" i="828" s="1"/>
  <c r="U98" i="828"/>
  <c r="V98" i="828" s="1"/>
  <c r="N98" i="828"/>
  <c r="AX97" i="828"/>
  <c r="AW97" i="828"/>
  <c r="AN97" i="828"/>
  <c r="AO97" i="828" s="1"/>
  <c r="U97" i="828"/>
  <c r="V97" i="828" s="1"/>
  <c r="N97" i="828"/>
  <c r="AX96" i="828"/>
  <c r="AW96" i="828"/>
  <c r="AN96" i="828"/>
  <c r="AO96" i="828" s="1"/>
  <c r="V96" i="828"/>
  <c r="U96" i="828"/>
  <c r="N96" i="828"/>
  <c r="AX95" i="828"/>
  <c r="AW95" i="828"/>
  <c r="AN95" i="828"/>
  <c r="AO95" i="828" s="1"/>
  <c r="U95" i="828"/>
  <c r="V95" i="828" s="1"/>
  <c r="N95" i="828"/>
  <c r="AX94" i="828"/>
  <c r="AW94" i="828"/>
  <c r="AN94" i="828"/>
  <c r="AO94" i="828" s="1"/>
  <c r="V94" i="828"/>
  <c r="U94" i="828"/>
  <c r="N94" i="828"/>
  <c r="AX93" i="828"/>
  <c r="AW93" i="828"/>
  <c r="AN93" i="828"/>
  <c r="AO93" i="828" s="1"/>
  <c r="U93" i="828"/>
  <c r="V93" i="828" s="1"/>
  <c r="N93" i="828"/>
  <c r="AX92" i="828"/>
  <c r="AW92" i="828"/>
  <c r="AN92" i="828"/>
  <c r="AO92" i="828" s="1"/>
  <c r="U92" i="828"/>
  <c r="V92" i="828" s="1"/>
  <c r="N92" i="828"/>
  <c r="AX91" i="828"/>
  <c r="AW91" i="828"/>
  <c r="AO91" i="828"/>
  <c r="AN91" i="828"/>
  <c r="U91" i="828"/>
  <c r="V91" i="828" s="1"/>
  <c r="N91" i="828"/>
  <c r="AX90" i="828"/>
  <c r="AW90" i="828"/>
  <c r="AN90" i="828"/>
  <c r="AO90" i="828" s="1"/>
  <c r="U90" i="828"/>
  <c r="V90" i="828" s="1"/>
  <c r="N90" i="828"/>
  <c r="AX89" i="828"/>
  <c r="AW89" i="828"/>
  <c r="AN89" i="828"/>
  <c r="AO89" i="828" s="1"/>
  <c r="U89" i="828"/>
  <c r="V89" i="828" s="1"/>
  <c r="N89" i="828"/>
  <c r="AX88" i="828"/>
  <c r="AW88" i="828"/>
  <c r="AN88" i="828"/>
  <c r="AO88" i="828" s="1"/>
  <c r="U88" i="828"/>
  <c r="V88" i="828" s="1"/>
  <c r="N88" i="828"/>
  <c r="AX87" i="828"/>
  <c r="AW87" i="828"/>
  <c r="AN87" i="828"/>
  <c r="AO87" i="828" s="1"/>
  <c r="U87" i="828"/>
  <c r="V87" i="828" s="1"/>
  <c r="N87" i="828"/>
  <c r="AX86" i="828"/>
  <c r="AW86" i="828"/>
  <c r="AN86" i="828"/>
  <c r="AO86" i="828" s="1"/>
  <c r="V86" i="828"/>
  <c r="U86" i="828"/>
  <c r="N86" i="828"/>
  <c r="AX85" i="828"/>
  <c r="AW85" i="828"/>
  <c r="AN85" i="828"/>
  <c r="AO85" i="828" s="1"/>
  <c r="U85" i="828"/>
  <c r="V85" i="828" s="1"/>
  <c r="N85" i="828"/>
  <c r="AX84" i="828"/>
  <c r="AW84" i="828"/>
  <c r="AN84" i="828"/>
  <c r="AO84" i="828" s="1"/>
  <c r="V84" i="828"/>
  <c r="U84" i="828"/>
  <c r="N84" i="828"/>
  <c r="AX83" i="828"/>
  <c r="AW83" i="828"/>
  <c r="AN83" i="828"/>
  <c r="AO83" i="828" s="1"/>
  <c r="U83" i="828"/>
  <c r="V83" i="828" s="1"/>
  <c r="N83" i="828"/>
  <c r="AX82" i="828"/>
  <c r="AW82" i="828"/>
  <c r="AN82" i="828"/>
  <c r="AO82" i="828" s="1"/>
  <c r="V82" i="828"/>
  <c r="U82" i="828"/>
  <c r="N82" i="828"/>
  <c r="AX81" i="828"/>
  <c r="AW81" i="828"/>
  <c r="AO81" i="828"/>
  <c r="AN81" i="828"/>
  <c r="U81" i="828"/>
  <c r="V81" i="828" s="1"/>
  <c r="N81" i="828"/>
  <c r="AX80" i="828"/>
  <c r="AW80" i="828"/>
  <c r="AN80" i="828"/>
  <c r="AO80" i="828" s="1"/>
  <c r="U80" i="828"/>
  <c r="V80" i="828" s="1"/>
  <c r="N80" i="828"/>
  <c r="AX79" i="828"/>
  <c r="AW79" i="828"/>
  <c r="AN79" i="828"/>
  <c r="AO79" i="828" s="1"/>
  <c r="U79" i="828"/>
  <c r="V79" i="828" s="1"/>
  <c r="N79" i="828"/>
  <c r="AX78" i="828"/>
  <c r="AW78" i="828"/>
  <c r="AN78" i="828"/>
  <c r="AO78" i="828" s="1"/>
  <c r="U78" i="828"/>
  <c r="V78" i="828" s="1"/>
  <c r="N78" i="828"/>
  <c r="AX77" i="828"/>
  <c r="AW77" i="828"/>
  <c r="AN77" i="828"/>
  <c r="AO77" i="828" s="1"/>
  <c r="U77" i="828"/>
  <c r="V77" i="828" s="1"/>
  <c r="N77" i="828"/>
  <c r="AX76" i="828"/>
  <c r="AW76" i="828"/>
  <c r="AN76" i="828"/>
  <c r="AO76" i="828" s="1"/>
  <c r="V76" i="828"/>
  <c r="U76" i="828"/>
  <c r="N76" i="828"/>
  <c r="AX75" i="828"/>
  <c r="AW75" i="828"/>
  <c r="AN75" i="828"/>
  <c r="AO75" i="828" s="1"/>
  <c r="U75" i="828"/>
  <c r="V75" i="828" s="1"/>
  <c r="N75" i="828"/>
  <c r="AX74" i="828"/>
  <c r="AW74" i="828"/>
  <c r="AN74" i="828"/>
  <c r="AO74" i="828" s="1"/>
  <c r="U74" i="828"/>
  <c r="V74" i="828" s="1"/>
  <c r="N74" i="828"/>
  <c r="AX73" i="828"/>
  <c r="AW73" i="828"/>
  <c r="AN73" i="828"/>
  <c r="AO73" i="828" s="1"/>
  <c r="U73" i="828"/>
  <c r="V73" i="828" s="1"/>
  <c r="N73" i="828"/>
  <c r="AX72" i="828"/>
  <c r="AW72" i="828"/>
  <c r="AN72" i="828"/>
  <c r="AO72" i="828" s="1"/>
  <c r="U72" i="828"/>
  <c r="V72" i="828" s="1"/>
  <c r="N72" i="828"/>
  <c r="AX71" i="828"/>
  <c r="AW71" i="828"/>
  <c r="AO71" i="828"/>
  <c r="AN71" i="828"/>
  <c r="U71" i="828"/>
  <c r="V71" i="828" s="1"/>
  <c r="N71" i="828"/>
  <c r="AX70" i="828"/>
  <c r="AW70" i="828"/>
  <c r="AO70" i="828"/>
  <c r="AN70" i="828"/>
  <c r="U70" i="828"/>
  <c r="V70" i="828" s="1"/>
  <c r="N70" i="828"/>
  <c r="AX69" i="828"/>
  <c r="AW69" i="828"/>
  <c r="AN69" i="828"/>
  <c r="AO69" i="828" s="1"/>
  <c r="V69" i="828"/>
  <c r="U69" i="828"/>
  <c r="N69" i="828"/>
  <c r="AX68" i="828"/>
  <c r="AW68" i="828"/>
  <c r="AN68" i="828"/>
  <c r="AO68" i="828" s="1"/>
  <c r="U68" i="828"/>
  <c r="V68" i="828" s="1"/>
  <c r="N68" i="828"/>
  <c r="AX67" i="828"/>
  <c r="AW67" i="828"/>
  <c r="AN67" i="828"/>
  <c r="AO67" i="828" s="1"/>
  <c r="U67" i="828"/>
  <c r="V67" i="828" s="1"/>
  <c r="N67" i="828"/>
  <c r="AX66" i="828"/>
  <c r="AW66" i="828"/>
  <c r="AN66" i="828"/>
  <c r="AO66" i="828" s="1"/>
  <c r="V66" i="828"/>
  <c r="U66" i="828"/>
  <c r="N66" i="828"/>
  <c r="AX65" i="828"/>
  <c r="AW65" i="828"/>
  <c r="AN65" i="828"/>
  <c r="AO65" i="828" s="1"/>
  <c r="V65" i="828"/>
  <c r="U65" i="828"/>
  <c r="N65" i="828"/>
  <c r="AX64" i="828"/>
  <c r="AW64" i="828"/>
  <c r="AN64" i="828"/>
  <c r="AO64" i="828" s="1"/>
  <c r="V64" i="828"/>
  <c r="U64" i="828"/>
  <c r="N64" i="828"/>
  <c r="AX63" i="828"/>
  <c r="AW63" i="828"/>
  <c r="AN63" i="828"/>
  <c r="AO63" i="828" s="1"/>
  <c r="U63" i="828"/>
  <c r="V63" i="828" s="1"/>
  <c r="N63" i="828"/>
  <c r="AX62" i="828"/>
  <c r="AW62" i="828"/>
  <c r="AN62" i="828"/>
  <c r="AO62" i="828" s="1"/>
  <c r="U62" i="828"/>
  <c r="V62" i="828" s="1"/>
  <c r="N62" i="828"/>
  <c r="AX61" i="828"/>
  <c r="AW61" i="828"/>
  <c r="AO61" i="828"/>
  <c r="AN61" i="828"/>
  <c r="U61" i="828"/>
  <c r="V61" i="828" s="1"/>
  <c r="N61" i="828"/>
  <c r="AX60" i="828"/>
  <c r="AW60" i="828"/>
  <c r="AN60" i="828"/>
  <c r="AO60" i="828" s="1"/>
  <c r="U60" i="828"/>
  <c r="V60" i="828" s="1"/>
  <c r="N60" i="828"/>
  <c r="AX59" i="828"/>
  <c r="AW59" i="828"/>
  <c r="AN59" i="828"/>
  <c r="AO59" i="828" s="1"/>
  <c r="U59" i="828"/>
  <c r="V59" i="828" s="1"/>
  <c r="N59" i="828"/>
  <c r="AX58" i="828"/>
  <c r="AW58" i="828"/>
  <c r="AN58" i="828"/>
  <c r="AO58" i="828" s="1"/>
  <c r="U58" i="828"/>
  <c r="V58" i="828" s="1"/>
  <c r="N58" i="828"/>
  <c r="AX57" i="828"/>
  <c r="AW57" i="828"/>
  <c r="AO57" i="828"/>
  <c r="AN57" i="828"/>
  <c r="U57" i="828"/>
  <c r="V57" i="828" s="1"/>
  <c r="N57" i="828"/>
  <c r="AX56" i="828"/>
  <c r="AW56" i="828"/>
  <c r="AN56" i="828"/>
  <c r="AO56" i="828" s="1"/>
  <c r="V56" i="828"/>
  <c r="U56" i="828"/>
  <c r="N56" i="828"/>
  <c r="AX55" i="828"/>
  <c r="AW55" i="828"/>
  <c r="AN55" i="828"/>
  <c r="AO55" i="828" s="1"/>
  <c r="V55" i="828"/>
  <c r="U55" i="828"/>
  <c r="N55" i="828"/>
  <c r="AX54" i="828"/>
  <c r="AW54" i="828"/>
  <c r="AN54" i="828"/>
  <c r="AO54" i="828" s="1"/>
  <c r="U54" i="828"/>
  <c r="V54" i="828" s="1"/>
  <c r="N54" i="828"/>
  <c r="AX53" i="828"/>
  <c r="AW53" i="828"/>
  <c r="AO53" i="828"/>
  <c r="AN53" i="828"/>
  <c r="U53" i="828"/>
  <c r="V53" i="828" s="1"/>
  <c r="N53" i="828"/>
  <c r="AX52" i="828"/>
  <c r="AW52" i="828"/>
  <c r="AO52" i="828"/>
  <c r="AN52" i="828"/>
  <c r="U52" i="828"/>
  <c r="V52" i="828" s="1"/>
  <c r="N52" i="828"/>
  <c r="AX51" i="828"/>
  <c r="AW51" i="828"/>
  <c r="AO51" i="828"/>
  <c r="AN51" i="828"/>
  <c r="U51" i="828"/>
  <c r="V51" i="828" s="1"/>
  <c r="N51" i="828"/>
  <c r="AX50" i="828"/>
  <c r="AW50" i="828"/>
  <c r="AN50" i="828"/>
  <c r="AO50" i="828" s="1"/>
  <c r="U50" i="828"/>
  <c r="V50" i="828" s="1"/>
  <c r="N50" i="828"/>
  <c r="AX49" i="828"/>
  <c r="AW49" i="828"/>
  <c r="AN49" i="828"/>
  <c r="AO49" i="828" s="1"/>
  <c r="U49" i="828"/>
  <c r="V49" i="828" s="1"/>
  <c r="N49" i="828"/>
  <c r="AX48" i="828"/>
  <c r="AW48" i="828"/>
  <c r="AN48" i="828"/>
  <c r="AO48" i="828" s="1"/>
  <c r="V48" i="828"/>
  <c r="U48" i="828"/>
  <c r="N48" i="828"/>
  <c r="AX47" i="828"/>
  <c r="AW47" i="828"/>
  <c r="AN47" i="828"/>
  <c r="AO47" i="828" s="1"/>
  <c r="U47" i="828"/>
  <c r="V47" i="828" s="1"/>
  <c r="N47" i="828"/>
  <c r="AX46" i="828"/>
  <c r="AW46" i="828"/>
  <c r="AN46" i="828"/>
  <c r="AO46" i="828" s="1"/>
  <c r="V46" i="828"/>
  <c r="U46" i="828"/>
  <c r="N46" i="828"/>
  <c r="AX45" i="828"/>
  <c r="AW45" i="828"/>
  <c r="AN45" i="828"/>
  <c r="AO45" i="828" s="1"/>
  <c r="U45" i="828"/>
  <c r="V45" i="828" s="1"/>
  <c r="N45" i="828"/>
  <c r="AX44" i="828"/>
  <c r="AW44" i="828"/>
  <c r="AN44" i="828"/>
  <c r="AO44" i="828" s="1"/>
  <c r="U44" i="828"/>
  <c r="V44" i="828" s="1"/>
  <c r="N44" i="828"/>
  <c r="AX43" i="828"/>
  <c r="AW43" i="828"/>
  <c r="AN43" i="828"/>
  <c r="AO43" i="828" s="1"/>
  <c r="U43" i="828"/>
  <c r="V43" i="828" s="1"/>
  <c r="N43" i="828"/>
  <c r="AX42" i="828"/>
  <c r="AW42" i="828"/>
  <c r="AN42" i="828"/>
  <c r="AO42" i="828" s="1"/>
  <c r="U42" i="828"/>
  <c r="V42" i="828" s="1"/>
  <c r="N42" i="828"/>
  <c r="AX41" i="828"/>
  <c r="AW41" i="828"/>
  <c r="AO41" i="828"/>
  <c r="AN41" i="828"/>
  <c r="U41" i="828"/>
  <c r="V41" i="828" s="1"/>
  <c r="N41" i="828"/>
  <c r="AX40" i="828"/>
  <c r="AW40" i="828"/>
  <c r="AN40" i="828"/>
  <c r="AO40" i="828" s="1"/>
  <c r="U40" i="828"/>
  <c r="V40" i="828" s="1"/>
  <c r="N40" i="828"/>
  <c r="AX39" i="828"/>
  <c r="AW39" i="828"/>
  <c r="AN39" i="828"/>
  <c r="AO39" i="828" s="1"/>
  <c r="U39" i="828"/>
  <c r="V39" i="828" s="1"/>
  <c r="N39" i="828"/>
  <c r="AX38" i="828"/>
  <c r="AW38" i="828"/>
  <c r="AN38" i="828"/>
  <c r="AO38" i="828" s="1"/>
  <c r="U38" i="828"/>
  <c r="V38" i="828" s="1"/>
  <c r="N38" i="828"/>
  <c r="AX37" i="828"/>
  <c r="AW37" i="828"/>
  <c r="AN37" i="828"/>
  <c r="AO37" i="828" s="1"/>
  <c r="U37" i="828"/>
  <c r="V37" i="828" s="1"/>
  <c r="N37" i="828"/>
  <c r="AX36" i="828"/>
  <c r="AW36" i="828"/>
  <c r="AN36" i="828"/>
  <c r="AO36" i="828" s="1"/>
  <c r="V36" i="828"/>
  <c r="U36" i="828"/>
  <c r="N36" i="828"/>
  <c r="AX35" i="828"/>
  <c r="AW35" i="828"/>
  <c r="AN35" i="828"/>
  <c r="AO35" i="828" s="1"/>
  <c r="U35" i="828"/>
  <c r="V35" i="828" s="1"/>
  <c r="N35" i="828"/>
  <c r="AX34" i="828"/>
  <c r="AW34" i="828"/>
  <c r="AN34" i="828"/>
  <c r="AO34" i="828" s="1"/>
  <c r="U34" i="828"/>
  <c r="V34" i="828" s="1"/>
  <c r="N34" i="828"/>
  <c r="AX33" i="828"/>
  <c r="AW33" i="828"/>
  <c r="AN33" i="828"/>
  <c r="AO33" i="828" s="1"/>
  <c r="U33" i="828"/>
  <c r="V33" i="828" s="1"/>
  <c r="N33" i="828"/>
  <c r="AX32" i="828"/>
  <c r="AW32" i="828"/>
  <c r="AN32" i="828"/>
  <c r="AO32" i="828" s="1"/>
  <c r="U32" i="828"/>
  <c r="V32" i="828" s="1"/>
  <c r="N32" i="828"/>
  <c r="AX31" i="828"/>
  <c r="AW31" i="828"/>
  <c r="AO31" i="828"/>
  <c r="AN31" i="828"/>
  <c r="U31" i="828"/>
  <c r="V31" i="828" s="1"/>
  <c r="N31" i="828"/>
  <c r="AX30" i="828"/>
  <c r="AW30" i="828"/>
  <c r="AN30" i="828"/>
  <c r="AO30" i="828" s="1"/>
  <c r="V30" i="828"/>
  <c r="U30" i="828"/>
  <c r="N30" i="828"/>
  <c r="AX29" i="828"/>
  <c r="AW29" i="828"/>
  <c r="AN29" i="828"/>
  <c r="AO29" i="828" s="1"/>
  <c r="U29" i="828"/>
  <c r="V29" i="828" s="1"/>
  <c r="N29" i="828"/>
  <c r="AX28" i="828"/>
  <c r="AW28" i="828"/>
  <c r="AN28" i="828"/>
  <c r="AO28" i="828" s="1"/>
  <c r="U28" i="828"/>
  <c r="V28" i="828" s="1"/>
  <c r="N28" i="828"/>
  <c r="AX27" i="828"/>
  <c r="AW27" i="828"/>
  <c r="AN27" i="828"/>
  <c r="AO27" i="828" s="1"/>
  <c r="U27" i="828"/>
  <c r="V27" i="828" s="1"/>
  <c r="N27" i="828"/>
  <c r="AX26" i="828"/>
  <c r="AW26" i="828"/>
  <c r="AN26" i="828"/>
  <c r="AO26" i="828" s="1"/>
  <c r="V26" i="828"/>
  <c r="U26" i="828"/>
  <c r="N26" i="828"/>
  <c r="AX25" i="828"/>
  <c r="AW25" i="828"/>
  <c r="AN25" i="828"/>
  <c r="AO25" i="828" s="1"/>
  <c r="U25" i="828"/>
  <c r="V25" i="828" s="1"/>
  <c r="N25" i="828"/>
  <c r="AX24" i="828"/>
  <c r="AW24" i="828"/>
  <c r="AN24" i="828"/>
  <c r="AO24" i="828" s="1"/>
  <c r="U24" i="828"/>
  <c r="V24" i="828" s="1"/>
  <c r="N24" i="828"/>
  <c r="AX23" i="828"/>
  <c r="AW23" i="828"/>
  <c r="AN23" i="828"/>
  <c r="AO23" i="828" s="1"/>
  <c r="U23" i="828"/>
  <c r="V23" i="828" s="1"/>
  <c r="N23" i="828"/>
  <c r="AX22" i="828"/>
  <c r="AW22" i="828"/>
  <c r="AN22" i="828"/>
  <c r="AO22" i="828" s="1"/>
  <c r="U22" i="828"/>
  <c r="V22" i="828" s="1"/>
  <c r="N22" i="828"/>
  <c r="AX21" i="828"/>
  <c r="AW21" i="828"/>
  <c r="AO21" i="828"/>
  <c r="AN21" i="828"/>
  <c r="U21" i="828"/>
  <c r="V21" i="828" s="1"/>
  <c r="N21" i="828"/>
  <c r="AX20" i="828"/>
  <c r="AW20" i="828"/>
  <c r="AN20" i="828"/>
  <c r="AO20" i="828" s="1"/>
  <c r="U20" i="828"/>
  <c r="V20" i="828" s="1"/>
  <c r="N20" i="828"/>
  <c r="AX19" i="828"/>
  <c r="AW19" i="828"/>
  <c r="AN19" i="828"/>
  <c r="AO19" i="828" s="1"/>
  <c r="U19" i="828"/>
  <c r="V19" i="828" s="1"/>
  <c r="N19" i="828"/>
  <c r="AX18" i="828"/>
  <c r="AW18" i="828"/>
  <c r="AN18" i="828"/>
  <c r="AO18" i="828" s="1"/>
  <c r="U18" i="828"/>
  <c r="V18" i="828" s="1"/>
  <c r="N18" i="828"/>
  <c r="AX17" i="828"/>
  <c r="AW17" i="828"/>
  <c r="AN17" i="828"/>
  <c r="AO17" i="828" s="1"/>
  <c r="U17" i="828"/>
  <c r="V17" i="828" s="1"/>
  <c r="N17" i="828"/>
  <c r="AX15" i="828"/>
  <c r="AW15" i="828"/>
  <c r="AN15" i="828"/>
  <c r="AO15" i="828" s="1"/>
  <c r="U15" i="828"/>
  <c r="V15" i="828" s="1"/>
  <c r="N15" i="828"/>
  <c r="AX13" i="828"/>
  <c r="AW13" i="828"/>
  <c r="AN13" i="828"/>
  <c r="AO13" i="828" s="1"/>
  <c r="U13" i="828"/>
  <c r="V13" i="828" s="1"/>
  <c r="N13" i="828"/>
  <c r="AX11" i="828"/>
  <c r="AW11" i="828"/>
  <c r="AN11" i="828"/>
  <c r="AO11" i="828" s="1"/>
  <c r="U11" i="828"/>
  <c r="V11" i="828" s="1"/>
  <c r="N11" i="828"/>
  <c r="N10" i="828"/>
  <c r="AX9" i="828"/>
  <c r="AW9" i="828"/>
  <c r="AN9" i="828"/>
  <c r="AO9" i="828" s="1"/>
  <c r="U9" i="828"/>
  <c r="V9" i="828" s="1"/>
  <c r="N9" i="828"/>
  <c r="N8" i="828"/>
  <c r="AX7" i="828"/>
  <c r="AW7" i="828"/>
  <c r="AN7" i="828"/>
  <c r="AO7" i="828" s="1"/>
  <c r="U7" i="828"/>
  <c r="V7" i="828" s="1"/>
  <c r="N7" i="828"/>
  <c r="N6" i="828"/>
  <c r="AX5" i="828"/>
  <c r="AW5" i="828"/>
  <c r="AN5" i="828"/>
  <c r="AO5" i="828" s="1"/>
  <c r="U5" i="828"/>
  <c r="V5" i="828" s="1"/>
  <c r="N5" i="828"/>
  <c r="AS2" i="828"/>
  <c r="AA2" i="828"/>
  <c r="AD2" i="828" s="1"/>
  <c r="I2" i="828"/>
  <c r="AB127" i="828" s="1"/>
  <c r="AC127" i="828" s="1"/>
  <c r="AE127" i="828" s="1"/>
  <c r="AB32" i="828" l="1"/>
  <c r="AC32" i="828" s="1"/>
  <c r="AE32" i="828" s="1"/>
  <c r="AB39" i="828"/>
  <c r="AC39" i="828" s="1"/>
  <c r="AE39" i="828" s="1"/>
  <c r="AB82" i="828"/>
  <c r="AC82" i="828" s="1"/>
  <c r="AE82" i="828" s="1"/>
  <c r="AB26" i="828"/>
  <c r="AC26" i="828" s="1"/>
  <c r="AE26" i="828" s="1"/>
  <c r="AB89" i="828"/>
  <c r="AC89" i="828" s="1"/>
  <c r="AE89" i="828" s="1"/>
  <c r="AB47" i="828"/>
  <c r="AC47" i="828" s="1"/>
  <c r="AE47" i="828" s="1"/>
  <c r="AB96" i="828"/>
  <c r="AC96" i="828" s="1"/>
  <c r="AE96" i="828" s="1"/>
  <c r="AJ96" i="828" s="1"/>
  <c r="AB64" i="828"/>
  <c r="AC64" i="828" s="1"/>
  <c r="AE64" i="828" s="1"/>
  <c r="AB104" i="828"/>
  <c r="AC104" i="828" s="1"/>
  <c r="AE104" i="828" s="1"/>
  <c r="AB29" i="828"/>
  <c r="AC29" i="828" s="1"/>
  <c r="AE29" i="828" s="1"/>
  <c r="AH29" i="828" s="1"/>
  <c r="AB69" i="828"/>
  <c r="AC69" i="828" s="1"/>
  <c r="AE69" i="828" s="1"/>
  <c r="AH69" i="828" s="1"/>
  <c r="AB19" i="828"/>
  <c r="AC19" i="828" s="1"/>
  <c r="AE19" i="828" s="1"/>
  <c r="AB109" i="828"/>
  <c r="AC109" i="828" s="1"/>
  <c r="AE109" i="828" s="1"/>
  <c r="AB76" i="828"/>
  <c r="AC76" i="828" s="1"/>
  <c r="AE76" i="828" s="1"/>
  <c r="AJ76" i="828" s="1"/>
  <c r="AB5" i="828"/>
  <c r="AC5" i="828" s="1"/>
  <c r="AE5" i="828" s="1"/>
  <c r="AH5" i="828" s="1"/>
  <c r="AB86" i="828"/>
  <c r="AC86" i="828" s="1"/>
  <c r="AE86" i="828" s="1"/>
  <c r="AB77" i="828"/>
  <c r="AC77" i="828" s="1"/>
  <c r="AE77" i="828" s="1"/>
  <c r="AJ77" i="828" s="1"/>
  <c r="AB107" i="828"/>
  <c r="AC107" i="828" s="1"/>
  <c r="AE107" i="828" s="1"/>
  <c r="AJ107" i="828" s="1"/>
  <c r="AB134" i="828"/>
  <c r="AC134" i="828" s="1"/>
  <c r="AE134" i="828" s="1"/>
  <c r="AB31" i="828"/>
  <c r="AC31" i="828" s="1"/>
  <c r="AE31" i="828" s="1"/>
  <c r="AB81" i="828"/>
  <c r="AC81" i="828" s="1"/>
  <c r="AE81" i="828" s="1"/>
  <c r="AB121" i="828"/>
  <c r="AC121" i="828" s="1"/>
  <c r="AE121" i="828" s="1"/>
  <c r="AB45" i="828"/>
  <c r="AC45" i="828" s="1"/>
  <c r="AE45" i="828" s="1"/>
  <c r="AB84" i="828"/>
  <c r="AC84" i="828" s="1"/>
  <c r="AE84" i="828" s="1"/>
  <c r="AB38" i="828"/>
  <c r="AC38" i="828" s="1"/>
  <c r="AE38" i="828" s="1"/>
  <c r="AJ38" i="828" s="1"/>
  <c r="AB55" i="828"/>
  <c r="AC55" i="828" s="1"/>
  <c r="AE55" i="828" s="1"/>
  <c r="AH55" i="828" s="1"/>
  <c r="AB78" i="828"/>
  <c r="AC78" i="828" s="1"/>
  <c r="AE78" i="828" s="1"/>
  <c r="AJ78" i="828" s="1"/>
  <c r="AH92" i="828"/>
  <c r="AK92" i="828" s="1"/>
  <c r="AB129" i="828"/>
  <c r="AC129" i="828" s="1"/>
  <c r="AE129" i="828" s="1"/>
  <c r="AJ129" i="828" s="1"/>
  <c r="AB9" i="828"/>
  <c r="AC9" i="828" s="1"/>
  <c r="AE9" i="828" s="1"/>
  <c r="AH9" i="828" s="1"/>
  <c r="AB66" i="828"/>
  <c r="AC66" i="828" s="1"/>
  <c r="AE66" i="828" s="1"/>
  <c r="AH66" i="828" s="1"/>
  <c r="AB99" i="828"/>
  <c r="AC99" i="828" s="1"/>
  <c r="AE99" i="828" s="1"/>
  <c r="AJ99" i="828" s="1"/>
  <c r="AB15" i="828"/>
  <c r="AC15" i="828" s="1"/>
  <c r="AE15" i="828" s="1"/>
  <c r="AJ15" i="828" s="1"/>
  <c r="AB27" i="828"/>
  <c r="AC27" i="828" s="1"/>
  <c r="AE27" i="828" s="1"/>
  <c r="AH27" i="828" s="1"/>
  <c r="AB37" i="828"/>
  <c r="AC37" i="828" s="1"/>
  <c r="AE37" i="828" s="1"/>
  <c r="AJ37" i="828" s="1"/>
  <c r="AB51" i="828"/>
  <c r="AC51" i="828" s="1"/>
  <c r="AE51" i="828" s="1"/>
  <c r="AB74" i="828"/>
  <c r="AC74" i="828" s="1"/>
  <c r="AE74" i="828" s="1"/>
  <c r="AB117" i="828"/>
  <c r="AC117" i="828" s="1"/>
  <c r="AE117" i="828" s="1"/>
  <c r="AB97" i="828"/>
  <c r="AC97" i="828" s="1"/>
  <c r="AE97" i="828" s="1"/>
  <c r="AH97" i="828" s="1"/>
  <c r="AB21" i="828"/>
  <c r="AC21" i="828" s="1"/>
  <c r="AE21" i="828" s="1"/>
  <c r="AB48" i="828"/>
  <c r="AC48" i="828" s="1"/>
  <c r="AE48" i="828" s="1"/>
  <c r="AB94" i="828"/>
  <c r="AC94" i="828" s="1"/>
  <c r="AE94" i="828" s="1"/>
  <c r="AH94" i="828" s="1"/>
  <c r="AB131" i="828"/>
  <c r="AC131" i="828" s="1"/>
  <c r="AE131" i="828" s="1"/>
  <c r="AH38" i="828"/>
  <c r="AK38" i="828" s="1"/>
  <c r="AB58" i="828"/>
  <c r="AC58" i="828" s="1"/>
  <c r="AE58" i="828" s="1"/>
  <c r="AB91" i="828"/>
  <c r="AC91" i="828" s="1"/>
  <c r="AE91" i="828" s="1"/>
  <c r="AJ91" i="828" s="1"/>
  <c r="AB18" i="828"/>
  <c r="AC18" i="828" s="1"/>
  <c r="AE18" i="828" s="1"/>
  <c r="AH18" i="828" s="1"/>
  <c r="AB52" i="828"/>
  <c r="AC52" i="828" s="1"/>
  <c r="AE52" i="828" s="1"/>
  <c r="AB65" i="828"/>
  <c r="AC65" i="828" s="1"/>
  <c r="AE65" i="828" s="1"/>
  <c r="AH65" i="828" s="1"/>
  <c r="AB75" i="828"/>
  <c r="AC75" i="828" s="1"/>
  <c r="AE75" i="828" s="1"/>
  <c r="AH75" i="828" s="1"/>
  <c r="AB108" i="828"/>
  <c r="AC108" i="828" s="1"/>
  <c r="AE108" i="828" s="1"/>
  <c r="AJ108" i="828" s="1"/>
  <c r="AB118" i="828"/>
  <c r="AC118" i="828" s="1"/>
  <c r="AE118" i="828" s="1"/>
  <c r="AJ118" i="828" s="1"/>
  <c r="AB125" i="828"/>
  <c r="AC125" i="828" s="1"/>
  <c r="AE125" i="828" s="1"/>
  <c r="AH125" i="828" s="1"/>
  <c r="AB135" i="828"/>
  <c r="AC135" i="828" s="1"/>
  <c r="AE135" i="828" s="1"/>
  <c r="AH135" i="828" s="1"/>
  <c r="AB138" i="828"/>
  <c r="AC138" i="828" s="1"/>
  <c r="AE138" i="828" s="1"/>
  <c r="AH138" i="828" s="1"/>
  <c r="AB102" i="828"/>
  <c r="AC102" i="828" s="1"/>
  <c r="AE102" i="828" s="1"/>
  <c r="AJ56" i="828"/>
  <c r="AB92" i="828"/>
  <c r="AC92" i="828" s="1"/>
  <c r="AE92" i="828" s="1"/>
  <c r="AB56" i="828"/>
  <c r="AC56" i="828" s="1"/>
  <c r="AE56" i="828" s="1"/>
  <c r="AB79" i="828"/>
  <c r="AC79" i="828" s="1"/>
  <c r="AE79" i="828" s="1"/>
  <c r="AB126" i="828"/>
  <c r="AC126" i="828" s="1"/>
  <c r="AE126" i="828" s="1"/>
  <c r="AH126" i="828" s="1"/>
  <c r="AB116" i="828"/>
  <c r="AC116" i="828" s="1"/>
  <c r="AE116" i="828" s="1"/>
  <c r="AB136" i="828"/>
  <c r="AC136" i="828" s="1"/>
  <c r="AE136" i="828" s="1"/>
  <c r="AJ61" i="828"/>
  <c r="AB24" i="828"/>
  <c r="AC24" i="828" s="1"/>
  <c r="AE24" i="828" s="1"/>
  <c r="AB34" i="828"/>
  <c r="AC34" i="828" s="1"/>
  <c r="AE34" i="828" s="1"/>
  <c r="AJ48" i="828"/>
  <c r="AB87" i="828"/>
  <c r="AC87" i="828" s="1"/>
  <c r="AE87" i="828" s="1"/>
  <c r="AJ87" i="828" s="1"/>
  <c r="AB7" i="828"/>
  <c r="AC7" i="828" s="1"/>
  <c r="AE7" i="828" s="1"/>
  <c r="AJ7" i="828" s="1"/>
  <c r="AB71" i="828"/>
  <c r="AC71" i="828" s="1"/>
  <c r="AE71" i="828" s="1"/>
  <c r="AH71" i="828" s="1"/>
  <c r="AB28" i="828"/>
  <c r="AC28" i="828" s="1"/>
  <c r="AE28" i="828" s="1"/>
  <c r="AJ28" i="828" s="1"/>
  <c r="AB68" i="828"/>
  <c r="AC68" i="828" s="1"/>
  <c r="AE68" i="828" s="1"/>
  <c r="AH68" i="828" s="1"/>
  <c r="AB128" i="828"/>
  <c r="AC128" i="828" s="1"/>
  <c r="AE128" i="828" s="1"/>
  <c r="AJ128" i="828" s="1"/>
  <c r="AB35" i="828"/>
  <c r="AC35" i="828" s="1"/>
  <c r="AE35" i="828" s="1"/>
  <c r="AJ35" i="828" s="1"/>
  <c r="AH42" i="828"/>
  <c r="AL42" i="828" s="1"/>
  <c r="AB105" i="828"/>
  <c r="AC105" i="828" s="1"/>
  <c r="AE105" i="828" s="1"/>
  <c r="AB115" i="828"/>
  <c r="AC115" i="828" s="1"/>
  <c r="AE115" i="828" s="1"/>
  <c r="AB122" i="828"/>
  <c r="AC122" i="828" s="1"/>
  <c r="AE122" i="828" s="1"/>
  <c r="AJ122" i="828" s="1"/>
  <c r="AJ26" i="828"/>
  <c r="AB61" i="828"/>
  <c r="AC61" i="828" s="1"/>
  <c r="AE61" i="828" s="1"/>
  <c r="AB137" i="828"/>
  <c r="AC137" i="828" s="1"/>
  <c r="AE137" i="828" s="1"/>
  <c r="AB42" i="828"/>
  <c r="AC42" i="828" s="1"/>
  <c r="AE42" i="828" s="1"/>
  <c r="AB95" i="828"/>
  <c r="AC95" i="828" s="1"/>
  <c r="AE95" i="828" s="1"/>
  <c r="AH102" i="828"/>
  <c r="AB112" i="828"/>
  <c r="AC112" i="828" s="1"/>
  <c r="AE112" i="828" s="1"/>
  <c r="AJ112" i="828" s="1"/>
  <c r="AJ89" i="828"/>
  <c r="AH89" i="828"/>
  <c r="AJ47" i="828"/>
  <c r="AH47" i="828"/>
  <c r="AH30" i="828"/>
  <c r="AH134" i="828"/>
  <c r="AJ134" i="828"/>
  <c r="AJ81" i="828"/>
  <c r="AH81" i="828"/>
  <c r="AH45" i="828"/>
  <c r="AJ45" i="828"/>
  <c r="AJ58" i="828"/>
  <c r="AH58" i="828"/>
  <c r="AH131" i="828"/>
  <c r="AJ131" i="828"/>
  <c r="AH52" i="828"/>
  <c r="AJ52" i="828"/>
  <c r="AJ75" i="828"/>
  <c r="AJ79" i="828"/>
  <c r="AH79" i="828"/>
  <c r="AJ116" i="828"/>
  <c r="AH116" i="828"/>
  <c r="AJ34" i="828"/>
  <c r="AH34" i="828"/>
  <c r="AJ104" i="828"/>
  <c r="AH104" i="828"/>
  <c r="AJ121" i="828"/>
  <c r="AH121" i="828"/>
  <c r="AJ105" i="828"/>
  <c r="AH105" i="828"/>
  <c r="AJ39" i="828"/>
  <c r="AH39" i="828"/>
  <c r="AL92" i="828"/>
  <c r="AH82" i="828"/>
  <c r="AJ82" i="828"/>
  <c r="AH20" i="828"/>
  <c r="AJ24" i="828"/>
  <c r="AH24" i="828"/>
  <c r="AJ41" i="828"/>
  <c r="AJ97" i="828"/>
  <c r="AJ21" i="828"/>
  <c r="AH21" i="828"/>
  <c r="AH115" i="828"/>
  <c r="AJ115" i="828"/>
  <c r="AJ32" i="828"/>
  <c r="AH32" i="828"/>
  <c r="AJ85" i="828"/>
  <c r="AL102" i="828"/>
  <c r="AK102" i="828"/>
  <c r="AH122" i="828"/>
  <c r="AH26" i="828"/>
  <c r="AH31" i="828"/>
  <c r="AJ31" i="828"/>
  <c r="AJ137" i="828"/>
  <c r="AH137" i="828"/>
  <c r="AJ92" i="828"/>
  <c r="AH132" i="828"/>
  <c r="AH56" i="828"/>
  <c r="AJ102" i="828"/>
  <c r="AH86" i="828"/>
  <c r="AJ86" i="828"/>
  <c r="AH41" i="828"/>
  <c r="AH61" i="828"/>
  <c r="AH84" i="828"/>
  <c r="AJ84" i="828"/>
  <c r="AJ133" i="828"/>
  <c r="AH136" i="828"/>
  <c r="AJ136" i="828"/>
  <c r="AJ64" i="828"/>
  <c r="AH64" i="828"/>
  <c r="AJ19" i="828"/>
  <c r="AH19" i="828"/>
  <c r="AH44" i="828"/>
  <c r="AJ44" i="828"/>
  <c r="AJ94" i="828"/>
  <c r="AJ127" i="828"/>
  <c r="AH127" i="828"/>
  <c r="AH48" i="828"/>
  <c r="AJ74" i="828"/>
  <c r="AH74" i="828"/>
  <c r="AH60" i="828"/>
  <c r="AJ95" i="828"/>
  <c r="AH95" i="828"/>
  <c r="AJ109" i="828"/>
  <c r="AH109" i="828"/>
  <c r="AJ68" i="828"/>
  <c r="AH49" i="828"/>
  <c r="AJ49" i="828"/>
  <c r="AH78" i="828"/>
  <c r="AJ42" i="828"/>
  <c r="AJ51" i="828"/>
  <c r="AH51" i="828"/>
  <c r="AH114" i="828"/>
  <c r="AJ114" i="828"/>
  <c r="AJ27" i="828"/>
  <c r="AJ117" i="828"/>
  <c r="AH117" i="828"/>
  <c r="AH83" i="828"/>
  <c r="AJ83" i="828"/>
  <c r="AJ57" i="828"/>
  <c r="AH57" i="828"/>
  <c r="AB25" i="828"/>
  <c r="AC25" i="828" s="1"/>
  <c r="AE25" i="828" s="1"/>
  <c r="AJ25" i="828" s="1"/>
  <c r="AB88" i="828"/>
  <c r="AC88" i="828" s="1"/>
  <c r="AE88" i="828" s="1"/>
  <c r="AJ88" i="828" s="1"/>
  <c r="AB49" i="828"/>
  <c r="AC49" i="828" s="1"/>
  <c r="AE49" i="828" s="1"/>
  <c r="AB57" i="828"/>
  <c r="AC57" i="828" s="1"/>
  <c r="AE57" i="828" s="1"/>
  <c r="AB13" i="828"/>
  <c r="AC13" i="828" s="1"/>
  <c r="AE13" i="828" s="1"/>
  <c r="AJ13" i="828" s="1"/>
  <c r="AB41" i="828"/>
  <c r="AC41" i="828" s="1"/>
  <c r="AE41" i="828" s="1"/>
  <c r="AB85" i="828"/>
  <c r="AC85" i="828" s="1"/>
  <c r="AE85" i="828" s="1"/>
  <c r="AH85" i="828" s="1"/>
  <c r="AB106" i="828"/>
  <c r="AC106" i="828" s="1"/>
  <c r="AE106" i="828" s="1"/>
  <c r="AB119" i="828"/>
  <c r="AC119" i="828" s="1"/>
  <c r="AE119" i="828" s="1"/>
  <c r="AJ119" i="828" s="1"/>
  <c r="AB133" i="828"/>
  <c r="AC133" i="828" s="1"/>
  <c r="AE133" i="828" s="1"/>
  <c r="AH133" i="828" s="1"/>
  <c r="AB123" i="828"/>
  <c r="AC123" i="828" s="1"/>
  <c r="AE123" i="828" s="1"/>
  <c r="AJ123" i="828" s="1"/>
  <c r="AB113" i="828"/>
  <c r="AC113" i="828" s="1"/>
  <c r="AE113" i="828" s="1"/>
  <c r="AJ113" i="828" s="1"/>
  <c r="AB103" i="828"/>
  <c r="AC103" i="828" s="1"/>
  <c r="AE103" i="828" s="1"/>
  <c r="AB93" i="828"/>
  <c r="AC93" i="828" s="1"/>
  <c r="AE93" i="828" s="1"/>
  <c r="AJ93" i="828" s="1"/>
  <c r="AB83" i="828"/>
  <c r="AC83" i="828" s="1"/>
  <c r="AE83" i="828" s="1"/>
  <c r="AB73" i="828"/>
  <c r="AC73" i="828" s="1"/>
  <c r="AE73" i="828" s="1"/>
  <c r="AB63" i="828"/>
  <c r="AC63" i="828" s="1"/>
  <c r="AE63" i="828" s="1"/>
  <c r="AB53" i="828"/>
  <c r="AC53" i="828" s="1"/>
  <c r="AE53" i="828" s="1"/>
  <c r="AH53" i="828" s="1"/>
  <c r="AB43" i="828"/>
  <c r="AC43" i="828" s="1"/>
  <c r="AE43" i="828" s="1"/>
  <c r="AJ43" i="828" s="1"/>
  <c r="AB33" i="828"/>
  <c r="AC33" i="828" s="1"/>
  <c r="AE33" i="828" s="1"/>
  <c r="AB23" i="828"/>
  <c r="AC23" i="828" s="1"/>
  <c r="AE23" i="828" s="1"/>
  <c r="AH23" i="828" s="1"/>
  <c r="AB11" i="828"/>
  <c r="AC11" i="828" s="1"/>
  <c r="AE11" i="828" s="1"/>
  <c r="AJ11" i="828" s="1"/>
  <c r="AB120" i="828"/>
  <c r="AC120" i="828" s="1"/>
  <c r="AE120" i="828" s="1"/>
  <c r="AJ120" i="828" s="1"/>
  <c r="AB90" i="828"/>
  <c r="AC90" i="828" s="1"/>
  <c r="AE90" i="828" s="1"/>
  <c r="AJ90" i="828" s="1"/>
  <c r="AB80" i="828"/>
  <c r="AC80" i="828" s="1"/>
  <c r="AE80" i="828" s="1"/>
  <c r="AH80" i="828" s="1"/>
  <c r="AB20" i="828"/>
  <c r="AC20" i="828" s="1"/>
  <c r="AE20" i="828" s="1"/>
  <c r="AJ20" i="828" s="1"/>
  <c r="AB60" i="828"/>
  <c r="AC60" i="828" s="1"/>
  <c r="AE60" i="828" s="1"/>
  <c r="AJ60" i="828" s="1"/>
  <c r="AB50" i="828"/>
  <c r="AC50" i="828" s="1"/>
  <c r="AE50" i="828" s="1"/>
  <c r="AB130" i="828"/>
  <c r="AC130" i="828" s="1"/>
  <c r="AE130" i="828" s="1"/>
  <c r="AJ130" i="828" s="1"/>
  <c r="AB110" i="828"/>
  <c r="AC110" i="828" s="1"/>
  <c r="AE110" i="828" s="1"/>
  <c r="AJ110" i="828" s="1"/>
  <c r="AB100" i="828"/>
  <c r="AC100" i="828" s="1"/>
  <c r="AE100" i="828" s="1"/>
  <c r="AB70" i="828"/>
  <c r="AC70" i="828" s="1"/>
  <c r="AE70" i="828" s="1"/>
  <c r="AJ70" i="828" s="1"/>
  <c r="AB40" i="828"/>
  <c r="AC40" i="828" s="1"/>
  <c r="AE40" i="828" s="1"/>
  <c r="AJ40" i="828" s="1"/>
  <c r="AB30" i="828"/>
  <c r="AC30" i="828" s="1"/>
  <c r="AE30" i="828" s="1"/>
  <c r="AJ30" i="828" s="1"/>
  <c r="AB44" i="828"/>
  <c r="AC44" i="828" s="1"/>
  <c r="AE44" i="828" s="1"/>
  <c r="AB17" i="828"/>
  <c r="AC17" i="828" s="1"/>
  <c r="AE17" i="828" s="1"/>
  <c r="AJ17" i="828" s="1"/>
  <c r="AB36" i="828"/>
  <c r="AC36" i="828" s="1"/>
  <c r="AE36" i="828" s="1"/>
  <c r="AJ36" i="828" s="1"/>
  <c r="AB22" i="828"/>
  <c r="AC22" i="828" s="1"/>
  <c r="AE22" i="828" s="1"/>
  <c r="AJ22" i="828" s="1"/>
  <c r="AB54" i="828"/>
  <c r="AC54" i="828" s="1"/>
  <c r="AE54" i="828" s="1"/>
  <c r="AH54" i="828" s="1"/>
  <c r="AB72" i="828"/>
  <c r="AC72" i="828" s="1"/>
  <c r="AE72" i="828" s="1"/>
  <c r="AH72" i="828" s="1"/>
  <c r="AB98" i="828"/>
  <c r="AC98" i="828" s="1"/>
  <c r="AE98" i="828" s="1"/>
  <c r="AJ98" i="828" s="1"/>
  <c r="AB111" i="828"/>
  <c r="AC111" i="828" s="1"/>
  <c r="AE111" i="828" s="1"/>
  <c r="AH111" i="828" s="1"/>
  <c r="AB62" i="828"/>
  <c r="AC62" i="828" s="1"/>
  <c r="AE62" i="828" s="1"/>
  <c r="AJ62" i="828" s="1"/>
  <c r="AB101" i="828"/>
  <c r="AC101" i="828" s="1"/>
  <c r="AE101" i="828" s="1"/>
  <c r="AJ101" i="828" s="1"/>
  <c r="AB114" i="828"/>
  <c r="AC114" i="828" s="1"/>
  <c r="AE114" i="828" s="1"/>
  <c r="AB132" i="828"/>
  <c r="AC132" i="828" s="1"/>
  <c r="AE132" i="828" s="1"/>
  <c r="AJ132" i="828" s="1"/>
  <c r="AB46" i="828"/>
  <c r="AC46" i="828" s="1"/>
  <c r="AE46" i="828" s="1"/>
  <c r="AB59" i="828"/>
  <c r="AC59" i="828" s="1"/>
  <c r="AE59" i="828" s="1"/>
  <c r="AB67" i="828"/>
  <c r="AC67" i="828" s="1"/>
  <c r="AE67" i="828" s="1"/>
  <c r="AJ67" i="828" s="1"/>
  <c r="AB124" i="828"/>
  <c r="AC124" i="828" s="1"/>
  <c r="AE124" i="828" s="1"/>
  <c r="AH124" i="828" s="1"/>
  <c r="AH7" i="828" l="1"/>
  <c r="AJ72" i="828"/>
  <c r="AJ54" i="828"/>
  <c r="AH15" i="828"/>
  <c r="AK42" i="828"/>
  <c r="AH22" i="828"/>
  <c r="AJ5" i="828"/>
  <c r="AH108" i="828"/>
  <c r="AK108" i="828" s="1"/>
  <c r="AJ69" i="828"/>
  <c r="AH98" i="828"/>
  <c r="AH87" i="828"/>
  <c r="AH28" i="828"/>
  <c r="AJ18" i="828"/>
  <c r="AJ65" i="828"/>
  <c r="AH36" i="828"/>
  <c r="AL36" i="828" s="1"/>
  <c r="AJ53" i="828"/>
  <c r="AJ66" i="828"/>
  <c r="AH112" i="828"/>
  <c r="AH93" i="828"/>
  <c r="AL93" i="828" s="1"/>
  <c r="AH35" i="828"/>
  <c r="AK35" i="828" s="1"/>
  <c r="AJ138" i="828"/>
  <c r="AJ29" i="828"/>
  <c r="AJ9" i="828"/>
  <c r="AL38" i="828"/>
  <c r="AH17" i="828"/>
  <c r="AH96" i="828"/>
  <c r="AJ71" i="828"/>
  <c r="AJ135" i="828"/>
  <c r="AH77" i="828"/>
  <c r="AJ23" i="828"/>
  <c r="AJ111" i="828"/>
  <c r="AJ125" i="828"/>
  <c r="AH128" i="828"/>
  <c r="AH107" i="828"/>
  <c r="AL107" i="828" s="1"/>
  <c r="AH13" i="828"/>
  <c r="AK13" i="828" s="1"/>
  <c r="AJ126" i="828"/>
  <c r="AH76" i="828"/>
  <c r="AH99" i="828"/>
  <c r="AK99" i="828" s="1"/>
  <c r="AH129" i="828"/>
  <c r="AJ55" i="828"/>
  <c r="AH91" i="828"/>
  <c r="AK91" i="828" s="1"/>
  <c r="AH118" i="828"/>
  <c r="AK118" i="828" s="1"/>
  <c r="AH37" i="828"/>
  <c r="AL37" i="828" s="1"/>
  <c r="AH11" i="828"/>
  <c r="AL11" i="828" s="1"/>
  <c r="AH43" i="828"/>
  <c r="AL85" i="828"/>
  <c r="AK85" i="828"/>
  <c r="AL124" i="828"/>
  <c r="AK124" i="828"/>
  <c r="AK111" i="828"/>
  <c r="AL111" i="828"/>
  <c r="AL133" i="828"/>
  <c r="AK133" i="828"/>
  <c r="AL80" i="828"/>
  <c r="AK80" i="828"/>
  <c r="AL23" i="828"/>
  <c r="AK23" i="828"/>
  <c r="AJ103" i="828"/>
  <c r="AH103" i="828"/>
  <c r="AL60" i="828"/>
  <c r="AK60" i="828"/>
  <c r="AL55" i="828"/>
  <c r="AK55" i="828"/>
  <c r="AK79" i="828"/>
  <c r="AL79" i="828"/>
  <c r="AL138" i="828"/>
  <c r="AK138" i="828"/>
  <c r="AH100" i="828"/>
  <c r="AJ100" i="828"/>
  <c r="AK72" i="828"/>
  <c r="AL72" i="828"/>
  <c r="AL122" i="828"/>
  <c r="AK122" i="828"/>
  <c r="AL121" i="828"/>
  <c r="AK121" i="828"/>
  <c r="AL84" i="828"/>
  <c r="AK84" i="828"/>
  <c r="AJ59" i="828"/>
  <c r="AH59" i="828"/>
  <c r="AL83" i="828"/>
  <c r="AK83" i="828"/>
  <c r="AH50" i="828"/>
  <c r="AJ50" i="828"/>
  <c r="AH70" i="828"/>
  <c r="AL20" i="828"/>
  <c r="AK20" i="828"/>
  <c r="AK7" i="828"/>
  <c r="AL7" i="828"/>
  <c r="AH67" i="828"/>
  <c r="AH110" i="828"/>
  <c r="AK36" i="828"/>
  <c r="AL94" i="828"/>
  <c r="AK94" i="828"/>
  <c r="AL34" i="828"/>
  <c r="AK34" i="828"/>
  <c r="AH113" i="828"/>
  <c r="AL52" i="828"/>
  <c r="AK52" i="828"/>
  <c r="AK66" i="828"/>
  <c r="AL66" i="828"/>
  <c r="AL31" i="828"/>
  <c r="AK31" i="828"/>
  <c r="AJ33" i="828"/>
  <c r="AH33" i="828"/>
  <c r="AL44" i="828"/>
  <c r="AK44" i="828"/>
  <c r="AL39" i="828"/>
  <c r="AK39" i="828"/>
  <c r="AL19" i="828"/>
  <c r="AK19" i="828"/>
  <c r="AK117" i="828"/>
  <c r="AL117" i="828"/>
  <c r="AK28" i="828"/>
  <c r="AL28" i="828"/>
  <c r="AL112" i="828"/>
  <c r="AK112" i="828"/>
  <c r="AH119" i="828"/>
  <c r="AL64" i="828"/>
  <c r="AK64" i="828"/>
  <c r="AL132" i="828"/>
  <c r="AK132" i="828"/>
  <c r="AL105" i="828"/>
  <c r="AK105" i="828"/>
  <c r="AK98" i="828"/>
  <c r="AL98" i="828"/>
  <c r="AK97" i="828"/>
  <c r="AL97" i="828"/>
  <c r="AL65" i="828"/>
  <c r="AK65" i="828"/>
  <c r="AL27" i="828"/>
  <c r="AK27" i="828"/>
  <c r="AL48" i="828"/>
  <c r="AK48" i="828"/>
  <c r="AK29" i="828"/>
  <c r="AL29" i="828"/>
  <c r="AL61" i="828"/>
  <c r="AK61" i="828"/>
  <c r="AL24" i="828"/>
  <c r="AK24" i="828"/>
  <c r="AL77" i="828"/>
  <c r="AK77" i="828"/>
  <c r="AJ106" i="828"/>
  <c r="AH106" i="828"/>
  <c r="AL135" i="828"/>
  <c r="AK135" i="828"/>
  <c r="AL114" i="828"/>
  <c r="AK114" i="828"/>
  <c r="AL17" i="828"/>
  <c r="AK17" i="828"/>
  <c r="AL53" i="828"/>
  <c r="AK53" i="828"/>
  <c r="AH40" i="828"/>
  <c r="AH123" i="828"/>
  <c r="AL126" i="828"/>
  <c r="AK126" i="828"/>
  <c r="AL104" i="828"/>
  <c r="AK104" i="828"/>
  <c r="AL51" i="828"/>
  <c r="AK51" i="828"/>
  <c r="AL43" i="828"/>
  <c r="AK43" i="828"/>
  <c r="AL30" i="828"/>
  <c r="AK30" i="828"/>
  <c r="AL54" i="828"/>
  <c r="AK54" i="828"/>
  <c r="AJ80" i="828"/>
  <c r="AH25" i="828"/>
  <c r="AK128" i="828"/>
  <c r="AL128" i="828"/>
  <c r="AL116" i="828"/>
  <c r="AK116" i="828"/>
  <c r="AK15" i="828"/>
  <c r="AL15" i="828"/>
  <c r="AH120" i="828"/>
  <c r="AK69" i="828"/>
  <c r="AL69" i="828"/>
  <c r="AH130" i="828"/>
  <c r="AJ63" i="828"/>
  <c r="AH63" i="828"/>
  <c r="AL5" i="828"/>
  <c r="AK5" i="828"/>
  <c r="AJ73" i="828"/>
  <c r="AH73" i="828"/>
  <c r="AH90" i="828"/>
  <c r="AL125" i="828"/>
  <c r="AK125" i="828"/>
  <c r="AL56" i="828"/>
  <c r="AK56" i="828"/>
  <c r="AH88" i="828"/>
  <c r="AJ124" i="828"/>
  <c r="AL71" i="828"/>
  <c r="AK71" i="828"/>
  <c r="AH62" i="828"/>
  <c r="AL81" i="828"/>
  <c r="AK81" i="828"/>
  <c r="AL89" i="828"/>
  <c r="AK89" i="828"/>
  <c r="AL57" i="828"/>
  <c r="AK57" i="828"/>
  <c r="AL87" i="828"/>
  <c r="AK87" i="828"/>
  <c r="AL74" i="828"/>
  <c r="AK74" i="828"/>
  <c r="AL137" i="828"/>
  <c r="AK137" i="828"/>
  <c r="AL134" i="828"/>
  <c r="AK134" i="828"/>
  <c r="AL91" i="828"/>
  <c r="AJ46" i="828"/>
  <c r="AH46" i="828"/>
  <c r="AK41" i="828"/>
  <c r="AL41" i="828"/>
  <c r="AL49" i="828"/>
  <c r="AK49" i="828"/>
  <c r="AL32" i="828"/>
  <c r="AK32" i="828"/>
  <c r="AL68" i="828"/>
  <c r="AK68" i="828"/>
  <c r="AL127" i="828"/>
  <c r="AK127" i="828"/>
  <c r="AL22" i="828"/>
  <c r="AK22" i="828"/>
  <c r="AK75" i="828"/>
  <c r="AL75" i="828"/>
  <c r="AK109" i="828"/>
  <c r="AL109" i="828"/>
  <c r="AK18" i="828"/>
  <c r="AL18" i="828"/>
  <c r="AK82" i="828"/>
  <c r="AL82" i="828"/>
  <c r="AL47" i="828"/>
  <c r="AK47" i="828"/>
  <c r="AK86" i="828"/>
  <c r="AL86" i="828"/>
  <c r="AL115" i="828"/>
  <c r="AK115" i="828"/>
  <c r="AL95" i="828"/>
  <c r="AK95" i="828"/>
  <c r="AL26" i="828"/>
  <c r="AK26" i="828"/>
  <c r="AK131" i="828"/>
  <c r="AL131" i="828"/>
  <c r="AL108" i="828"/>
  <c r="AL58" i="828"/>
  <c r="AK58" i="828"/>
  <c r="AH101" i="828"/>
  <c r="AK78" i="828"/>
  <c r="AL78" i="828"/>
  <c r="AL9" i="828"/>
  <c r="AK9" i="828"/>
  <c r="AK96" i="828"/>
  <c r="AL96" i="828"/>
  <c r="AL45" i="828"/>
  <c r="AK45" i="828"/>
  <c r="AK136" i="828"/>
  <c r="AL136" i="828"/>
  <c r="AL21" i="828"/>
  <c r="AK21" i="828"/>
  <c r="AL129" i="828"/>
  <c r="AK129" i="828"/>
  <c r="AL13" i="828" l="1"/>
  <c r="AK11" i="828"/>
  <c r="AL35" i="828"/>
  <c r="AL118" i="828"/>
  <c r="AL76" i="828"/>
  <c r="AK76" i="828"/>
  <c r="AK37" i="828"/>
  <c r="AK107" i="828"/>
  <c r="AL99" i="828"/>
  <c r="AK93" i="828"/>
  <c r="AK40" i="828"/>
  <c r="AL40" i="828"/>
  <c r="AL113" i="828"/>
  <c r="AK113" i="828"/>
  <c r="AL106" i="828"/>
  <c r="AK106" i="828"/>
  <c r="AK110" i="828"/>
  <c r="AL110" i="828"/>
  <c r="AL70" i="828"/>
  <c r="AK70" i="828"/>
  <c r="AL120" i="828"/>
  <c r="AK120" i="828"/>
  <c r="AL62" i="828"/>
  <c r="AK62" i="828"/>
  <c r="AL119" i="828"/>
  <c r="AK119" i="828"/>
  <c r="AK103" i="828"/>
  <c r="AL103" i="828"/>
  <c r="AK88" i="828"/>
  <c r="AL88" i="828"/>
  <c r="AL63" i="828"/>
  <c r="AK63" i="828"/>
  <c r="AL100" i="828"/>
  <c r="AK100" i="828"/>
  <c r="AL123" i="828"/>
  <c r="AK123" i="828"/>
  <c r="AK50" i="828"/>
  <c r="AL50" i="828"/>
  <c r="AK59" i="828"/>
  <c r="AL59" i="828"/>
  <c r="AL25" i="828"/>
  <c r="AK25" i="828"/>
  <c r="AL90" i="828"/>
  <c r="AK90" i="828"/>
  <c r="AK73" i="828"/>
  <c r="AL73" i="828"/>
  <c r="AL67" i="828"/>
  <c r="AK67" i="828"/>
  <c r="AL33" i="828"/>
  <c r="AK33" i="828"/>
  <c r="AK101" i="828"/>
  <c r="AL101" i="828"/>
  <c r="AL46" i="828"/>
  <c r="AK46" i="828"/>
  <c r="AK130" i="828"/>
  <c r="AL130" i="828"/>
  <c r="AF7" i="827" l="1"/>
  <c r="AX136" i="827" l="1"/>
  <c r="AW136" i="827"/>
  <c r="AN136" i="827"/>
  <c r="AO136" i="827" s="1"/>
  <c r="U136" i="827"/>
  <c r="V136" i="827" s="1"/>
  <c r="N136" i="827"/>
  <c r="AX135" i="827"/>
  <c r="AW135" i="827"/>
  <c r="AN135" i="827"/>
  <c r="AO135" i="827" s="1"/>
  <c r="U135" i="827"/>
  <c r="V135" i="827" s="1"/>
  <c r="N135" i="827"/>
  <c r="AX134" i="827"/>
  <c r="AW134" i="827"/>
  <c r="AN134" i="827"/>
  <c r="AO134" i="827" s="1"/>
  <c r="V134" i="827"/>
  <c r="U134" i="827"/>
  <c r="N134" i="827"/>
  <c r="AX133" i="827"/>
  <c r="AW133" i="827"/>
  <c r="AN133" i="827"/>
  <c r="AO133" i="827" s="1"/>
  <c r="U133" i="827"/>
  <c r="V133" i="827" s="1"/>
  <c r="N133" i="827"/>
  <c r="AX132" i="827"/>
  <c r="AW132" i="827"/>
  <c r="AN132" i="827"/>
  <c r="AO132" i="827" s="1"/>
  <c r="AB132" i="827"/>
  <c r="AC132" i="827" s="1"/>
  <c r="AE132" i="827" s="1"/>
  <c r="U132" i="827"/>
  <c r="V132" i="827" s="1"/>
  <c r="N132" i="827"/>
  <c r="AX131" i="827"/>
  <c r="AW131" i="827"/>
  <c r="AN131" i="827"/>
  <c r="AO131" i="827" s="1"/>
  <c r="U131" i="827"/>
  <c r="V131" i="827" s="1"/>
  <c r="N131" i="827"/>
  <c r="AX130" i="827"/>
  <c r="AW130" i="827"/>
  <c r="AO130" i="827"/>
  <c r="AN130" i="827"/>
  <c r="AB130" i="827"/>
  <c r="AC130" i="827" s="1"/>
  <c r="AE130" i="827" s="1"/>
  <c r="AJ130" i="827" s="1"/>
  <c r="U130" i="827"/>
  <c r="V130" i="827" s="1"/>
  <c r="AH130" i="827" s="1"/>
  <c r="N130" i="827"/>
  <c r="AX129" i="827"/>
  <c r="AW129" i="827"/>
  <c r="AO129" i="827"/>
  <c r="AN129" i="827"/>
  <c r="U129" i="827"/>
  <c r="V129" i="827" s="1"/>
  <c r="N129" i="827"/>
  <c r="AX128" i="827"/>
  <c r="AW128" i="827"/>
  <c r="AN128" i="827"/>
  <c r="AO128" i="827" s="1"/>
  <c r="U128" i="827"/>
  <c r="V128" i="827" s="1"/>
  <c r="N128" i="827"/>
  <c r="AX127" i="827"/>
  <c r="AW127" i="827"/>
  <c r="AN127" i="827"/>
  <c r="AO127" i="827" s="1"/>
  <c r="U127" i="827"/>
  <c r="V127" i="827" s="1"/>
  <c r="N127" i="827"/>
  <c r="AX126" i="827"/>
  <c r="AW126" i="827"/>
  <c r="AN126" i="827"/>
  <c r="AO126" i="827" s="1"/>
  <c r="U126" i="827"/>
  <c r="V126" i="827" s="1"/>
  <c r="N126" i="827"/>
  <c r="AX125" i="827"/>
  <c r="AW125" i="827"/>
  <c r="AN125" i="827"/>
  <c r="AO125" i="827" s="1"/>
  <c r="U125" i="827"/>
  <c r="V125" i="827" s="1"/>
  <c r="N125" i="827"/>
  <c r="AX124" i="827"/>
  <c r="AW124" i="827"/>
  <c r="AN124" i="827"/>
  <c r="AO124" i="827" s="1"/>
  <c r="V124" i="827"/>
  <c r="U124" i="827"/>
  <c r="N124" i="827"/>
  <c r="AX123" i="827"/>
  <c r="AW123" i="827"/>
  <c r="AN123" i="827"/>
  <c r="AO123" i="827" s="1"/>
  <c r="AB123" i="827"/>
  <c r="AC123" i="827" s="1"/>
  <c r="AE123" i="827" s="1"/>
  <c r="U123" i="827"/>
  <c r="V123" i="827" s="1"/>
  <c r="N123" i="827"/>
  <c r="AX122" i="827"/>
  <c r="AW122" i="827"/>
  <c r="AN122" i="827"/>
  <c r="AO122" i="827" s="1"/>
  <c r="AB122" i="827"/>
  <c r="AC122" i="827" s="1"/>
  <c r="AE122" i="827" s="1"/>
  <c r="U122" i="827"/>
  <c r="V122" i="827" s="1"/>
  <c r="N122" i="827"/>
  <c r="AX121" i="827"/>
  <c r="AW121" i="827"/>
  <c r="AN121" i="827"/>
  <c r="AO121" i="827" s="1"/>
  <c r="U121" i="827"/>
  <c r="V121" i="827" s="1"/>
  <c r="N121" i="827"/>
  <c r="AX120" i="827"/>
  <c r="AW120" i="827"/>
  <c r="AO120" i="827"/>
  <c r="AN120" i="827"/>
  <c r="AB120" i="827"/>
  <c r="AC120" i="827" s="1"/>
  <c r="AE120" i="827" s="1"/>
  <c r="U120" i="827"/>
  <c r="V120" i="827" s="1"/>
  <c r="N120" i="827"/>
  <c r="AX119" i="827"/>
  <c r="AW119" i="827"/>
  <c r="AO119" i="827"/>
  <c r="AN119" i="827"/>
  <c r="U119" i="827"/>
  <c r="V119" i="827" s="1"/>
  <c r="N119" i="827"/>
  <c r="AX118" i="827"/>
  <c r="AW118" i="827"/>
  <c r="AO118" i="827"/>
  <c r="AN118" i="827"/>
  <c r="U118" i="827"/>
  <c r="V118" i="827" s="1"/>
  <c r="N118" i="827"/>
  <c r="AX117" i="827"/>
  <c r="AW117" i="827"/>
  <c r="AN117" i="827"/>
  <c r="AO117" i="827" s="1"/>
  <c r="U117" i="827"/>
  <c r="V117" i="827" s="1"/>
  <c r="N117" i="827"/>
  <c r="AX116" i="827"/>
  <c r="AW116" i="827"/>
  <c r="AN116" i="827"/>
  <c r="AO116" i="827" s="1"/>
  <c r="AB116" i="827"/>
  <c r="AC116" i="827" s="1"/>
  <c r="AE116" i="827" s="1"/>
  <c r="U116" i="827"/>
  <c r="V116" i="827" s="1"/>
  <c r="N116" i="827"/>
  <c r="AX115" i="827"/>
  <c r="AW115" i="827"/>
  <c r="AN115" i="827"/>
  <c r="AO115" i="827" s="1"/>
  <c r="U115" i="827"/>
  <c r="V115" i="827" s="1"/>
  <c r="N115" i="827"/>
  <c r="AX114" i="827"/>
  <c r="AW114" i="827"/>
  <c r="AN114" i="827"/>
  <c r="AO114" i="827" s="1"/>
  <c r="AB114" i="827"/>
  <c r="AC114" i="827" s="1"/>
  <c r="AE114" i="827" s="1"/>
  <c r="V114" i="827"/>
  <c r="AJ114" i="827" s="1"/>
  <c r="U114" i="827"/>
  <c r="N114" i="827"/>
  <c r="AX113" i="827"/>
  <c r="AW113" i="827"/>
  <c r="AN113" i="827"/>
  <c r="AO113" i="827" s="1"/>
  <c r="U113" i="827"/>
  <c r="V113" i="827" s="1"/>
  <c r="N113" i="827"/>
  <c r="AX112" i="827"/>
  <c r="AW112" i="827"/>
  <c r="AO112" i="827"/>
  <c r="AN112" i="827"/>
  <c r="U112" i="827"/>
  <c r="V112" i="827" s="1"/>
  <c r="N112" i="827"/>
  <c r="AX111" i="827"/>
  <c r="AW111" i="827"/>
  <c r="AN111" i="827"/>
  <c r="AO111" i="827" s="1"/>
  <c r="U111" i="827"/>
  <c r="V111" i="827" s="1"/>
  <c r="N111" i="827"/>
  <c r="AX110" i="827"/>
  <c r="AW110" i="827"/>
  <c r="AO110" i="827"/>
  <c r="AN110" i="827"/>
  <c r="V110" i="827"/>
  <c r="U110" i="827"/>
  <c r="N110" i="827"/>
  <c r="AX109" i="827"/>
  <c r="AW109" i="827"/>
  <c r="AO109" i="827"/>
  <c r="AN109" i="827"/>
  <c r="AB109" i="827"/>
  <c r="AC109" i="827" s="1"/>
  <c r="AE109" i="827" s="1"/>
  <c r="V109" i="827"/>
  <c r="U109" i="827"/>
  <c r="N109" i="827"/>
  <c r="AX108" i="827"/>
  <c r="AW108" i="827"/>
  <c r="AN108" i="827"/>
  <c r="AO108" i="827" s="1"/>
  <c r="U108" i="827"/>
  <c r="V108" i="827" s="1"/>
  <c r="N108" i="827"/>
  <c r="AX107" i="827"/>
  <c r="AW107" i="827"/>
  <c r="AN107" i="827"/>
  <c r="AO107" i="827" s="1"/>
  <c r="U107" i="827"/>
  <c r="V107" i="827" s="1"/>
  <c r="N107" i="827"/>
  <c r="AX106" i="827"/>
  <c r="AW106" i="827"/>
  <c r="AN106" i="827"/>
  <c r="AO106" i="827" s="1"/>
  <c r="U106" i="827"/>
  <c r="V106" i="827" s="1"/>
  <c r="N106" i="827"/>
  <c r="AX105" i="827"/>
  <c r="AW105" i="827"/>
  <c r="AN105" i="827"/>
  <c r="AO105" i="827" s="1"/>
  <c r="U105" i="827"/>
  <c r="V105" i="827" s="1"/>
  <c r="N105" i="827"/>
  <c r="AX104" i="827"/>
  <c r="AW104" i="827"/>
  <c r="AN104" i="827"/>
  <c r="AO104" i="827" s="1"/>
  <c r="V104" i="827"/>
  <c r="U104" i="827"/>
  <c r="N104" i="827"/>
  <c r="AX103" i="827"/>
  <c r="AW103" i="827"/>
  <c r="AN103" i="827"/>
  <c r="AO103" i="827" s="1"/>
  <c r="AB103" i="827"/>
  <c r="AC103" i="827" s="1"/>
  <c r="AE103" i="827" s="1"/>
  <c r="U103" i="827"/>
  <c r="V103" i="827" s="1"/>
  <c r="N103" i="827"/>
  <c r="AX102" i="827"/>
  <c r="AW102" i="827"/>
  <c r="AN102" i="827"/>
  <c r="AO102" i="827" s="1"/>
  <c r="AB102" i="827"/>
  <c r="AC102" i="827" s="1"/>
  <c r="AE102" i="827" s="1"/>
  <c r="U102" i="827"/>
  <c r="V102" i="827" s="1"/>
  <c r="N102" i="827"/>
  <c r="AX101" i="827"/>
  <c r="AW101" i="827"/>
  <c r="AN101" i="827"/>
  <c r="AO101" i="827" s="1"/>
  <c r="U101" i="827"/>
  <c r="V101" i="827" s="1"/>
  <c r="N101" i="827"/>
  <c r="AX100" i="827"/>
  <c r="AW100" i="827"/>
  <c r="AO100" i="827"/>
  <c r="AN100" i="827"/>
  <c r="U100" i="827"/>
  <c r="V100" i="827" s="1"/>
  <c r="N100" i="827"/>
  <c r="AX99" i="827"/>
  <c r="AW99" i="827"/>
  <c r="AO99" i="827"/>
  <c r="AN99" i="827"/>
  <c r="AB99" i="827"/>
  <c r="AC99" i="827" s="1"/>
  <c r="AE99" i="827" s="1"/>
  <c r="V99" i="827"/>
  <c r="U99" i="827"/>
  <c r="N99" i="827"/>
  <c r="AX98" i="827"/>
  <c r="AW98" i="827"/>
  <c r="AN98" i="827"/>
  <c r="AO98" i="827" s="1"/>
  <c r="U98" i="827"/>
  <c r="V98" i="827" s="1"/>
  <c r="N98" i="827"/>
  <c r="AX97" i="827"/>
  <c r="AW97" i="827"/>
  <c r="AO97" i="827"/>
  <c r="AN97" i="827"/>
  <c r="AB97" i="827"/>
  <c r="AC97" i="827" s="1"/>
  <c r="AE97" i="827" s="1"/>
  <c r="V97" i="827"/>
  <c r="U97" i="827"/>
  <c r="N97" i="827"/>
  <c r="AX96" i="827"/>
  <c r="AW96" i="827"/>
  <c r="AN96" i="827"/>
  <c r="AO96" i="827" s="1"/>
  <c r="AB96" i="827"/>
  <c r="AC96" i="827" s="1"/>
  <c r="AE96" i="827" s="1"/>
  <c r="U96" i="827"/>
  <c r="V96" i="827" s="1"/>
  <c r="N96" i="827"/>
  <c r="AX95" i="827"/>
  <c r="AW95" i="827"/>
  <c r="AN95" i="827"/>
  <c r="AO95" i="827" s="1"/>
  <c r="U95" i="827"/>
  <c r="V95" i="827" s="1"/>
  <c r="N95" i="827"/>
  <c r="AX94" i="827"/>
  <c r="AW94" i="827"/>
  <c r="AN94" i="827"/>
  <c r="AO94" i="827" s="1"/>
  <c r="AB94" i="827"/>
  <c r="AC94" i="827" s="1"/>
  <c r="AE94" i="827" s="1"/>
  <c r="V94" i="827"/>
  <c r="AJ94" i="827" s="1"/>
  <c r="U94" i="827"/>
  <c r="N94" i="827"/>
  <c r="AX93" i="827"/>
  <c r="AW93" i="827"/>
  <c r="AN93" i="827"/>
  <c r="AO93" i="827" s="1"/>
  <c r="U93" i="827"/>
  <c r="V93" i="827" s="1"/>
  <c r="N93" i="827"/>
  <c r="AX92" i="827"/>
  <c r="AW92" i="827"/>
  <c r="AN92" i="827"/>
  <c r="AO92" i="827" s="1"/>
  <c r="U92" i="827"/>
  <c r="V92" i="827" s="1"/>
  <c r="N92" i="827"/>
  <c r="AX91" i="827"/>
  <c r="AW91" i="827"/>
  <c r="AN91" i="827"/>
  <c r="AO91" i="827" s="1"/>
  <c r="U91" i="827"/>
  <c r="V91" i="827" s="1"/>
  <c r="N91" i="827"/>
  <c r="AX90" i="827"/>
  <c r="AW90" i="827"/>
  <c r="AO90" i="827"/>
  <c r="AN90" i="827"/>
  <c r="U90" i="827"/>
  <c r="V90" i="827" s="1"/>
  <c r="N90" i="827"/>
  <c r="AX89" i="827"/>
  <c r="AW89" i="827"/>
  <c r="AO89" i="827"/>
  <c r="AN89" i="827"/>
  <c r="AB89" i="827"/>
  <c r="AC89" i="827" s="1"/>
  <c r="AE89" i="827" s="1"/>
  <c r="U89" i="827"/>
  <c r="V89" i="827" s="1"/>
  <c r="N89" i="827"/>
  <c r="AX88" i="827"/>
  <c r="AW88" i="827"/>
  <c r="AO88" i="827"/>
  <c r="AN88" i="827"/>
  <c r="U88" i="827"/>
  <c r="V88" i="827" s="1"/>
  <c r="N88" i="827"/>
  <c r="AX87" i="827"/>
  <c r="AW87" i="827"/>
  <c r="AN87" i="827"/>
  <c r="AO87" i="827" s="1"/>
  <c r="AB87" i="827"/>
  <c r="AC87" i="827" s="1"/>
  <c r="AE87" i="827" s="1"/>
  <c r="V87" i="827"/>
  <c r="AJ87" i="827" s="1"/>
  <c r="U87" i="827"/>
  <c r="N87" i="827"/>
  <c r="AX86" i="827"/>
  <c r="AW86" i="827"/>
  <c r="AN86" i="827"/>
  <c r="AO86" i="827" s="1"/>
  <c r="U86" i="827"/>
  <c r="V86" i="827" s="1"/>
  <c r="N86" i="827"/>
  <c r="AX85" i="827"/>
  <c r="AW85" i="827"/>
  <c r="AN85" i="827"/>
  <c r="AO85" i="827" s="1"/>
  <c r="U85" i="827"/>
  <c r="V85" i="827" s="1"/>
  <c r="N85" i="827"/>
  <c r="AX84" i="827"/>
  <c r="AW84" i="827"/>
  <c r="AO84" i="827"/>
  <c r="AN84" i="827"/>
  <c r="V84" i="827"/>
  <c r="U84" i="827"/>
  <c r="N84" i="827"/>
  <c r="AX83" i="827"/>
  <c r="AW83" i="827"/>
  <c r="AO83" i="827"/>
  <c r="AN83" i="827"/>
  <c r="U83" i="827"/>
  <c r="V83" i="827" s="1"/>
  <c r="N83" i="827"/>
  <c r="AX82" i="827"/>
  <c r="AW82" i="827"/>
  <c r="AN82" i="827"/>
  <c r="AO82" i="827" s="1"/>
  <c r="U82" i="827"/>
  <c r="V82" i="827" s="1"/>
  <c r="N82" i="827"/>
  <c r="AX81" i="827"/>
  <c r="AW81" i="827"/>
  <c r="AN81" i="827"/>
  <c r="AO81" i="827" s="1"/>
  <c r="U81" i="827"/>
  <c r="V81" i="827" s="1"/>
  <c r="N81" i="827"/>
  <c r="AX80" i="827"/>
  <c r="AW80" i="827"/>
  <c r="AO80" i="827"/>
  <c r="AN80" i="827"/>
  <c r="U80" i="827"/>
  <c r="V80" i="827" s="1"/>
  <c r="N80" i="827"/>
  <c r="AX79" i="827"/>
  <c r="AW79" i="827"/>
  <c r="AO79" i="827"/>
  <c r="AN79" i="827"/>
  <c r="AB79" i="827"/>
  <c r="AC79" i="827" s="1"/>
  <c r="AE79" i="827" s="1"/>
  <c r="U79" i="827"/>
  <c r="V79" i="827" s="1"/>
  <c r="N79" i="827"/>
  <c r="AX78" i="827"/>
  <c r="AW78" i="827"/>
  <c r="AO78" i="827"/>
  <c r="AN78" i="827"/>
  <c r="U78" i="827"/>
  <c r="V78" i="827" s="1"/>
  <c r="N78" i="827"/>
  <c r="AX77" i="827"/>
  <c r="AW77" i="827"/>
  <c r="AN77" i="827"/>
  <c r="AO77" i="827" s="1"/>
  <c r="AB77" i="827"/>
  <c r="AC77" i="827" s="1"/>
  <c r="AE77" i="827" s="1"/>
  <c r="U77" i="827"/>
  <c r="V77" i="827" s="1"/>
  <c r="N77" i="827"/>
  <c r="AX76" i="827"/>
  <c r="AW76" i="827"/>
  <c r="AN76" i="827"/>
  <c r="AO76" i="827" s="1"/>
  <c r="AB76" i="827"/>
  <c r="AC76" i="827" s="1"/>
  <c r="AE76" i="827" s="1"/>
  <c r="U76" i="827"/>
  <c r="V76" i="827" s="1"/>
  <c r="N76" i="827"/>
  <c r="AX75" i="827"/>
  <c r="AW75" i="827"/>
  <c r="AN75" i="827"/>
  <c r="AO75" i="827" s="1"/>
  <c r="AB75" i="827"/>
  <c r="AC75" i="827" s="1"/>
  <c r="AE75" i="827" s="1"/>
  <c r="V75" i="827"/>
  <c r="U75" i="827"/>
  <c r="N75" i="827"/>
  <c r="AX74" i="827"/>
  <c r="AW74" i="827"/>
  <c r="AN74" i="827"/>
  <c r="AO74" i="827" s="1"/>
  <c r="AB74" i="827"/>
  <c r="AC74" i="827" s="1"/>
  <c r="AE74" i="827" s="1"/>
  <c r="V74" i="827"/>
  <c r="U74" i="827"/>
  <c r="N74" i="827"/>
  <c r="AX73" i="827"/>
  <c r="AW73" i="827"/>
  <c r="AO73" i="827"/>
  <c r="AN73" i="827"/>
  <c r="AB73" i="827"/>
  <c r="AC73" i="827" s="1"/>
  <c r="AE73" i="827" s="1"/>
  <c r="U73" i="827"/>
  <c r="V73" i="827" s="1"/>
  <c r="N73" i="827"/>
  <c r="AX72" i="827"/>
  <c r="AW72" i="827"/>
  <c r="AN72" i="827"/>
  <c r="AO72" i="827" s="1"/>
  <c r="U72" i="827"/>
  <c r="V72" i="827" s="1"/>
  <c r="N72" i="827"/>
  <c r="AX71" i="827"/>
  <c r="AW71" i="827"/>
  <c r="AN71" i="827"/>
  <c r="AO71" i="827" s="1"/>
  <c r="U71" i="827"/>
  <c r="V71" i="827" s="1"/>
  <c r="N71" i="827"/>
  <c r="AX70" i="827"/>
  <c r="AW70" i="827"/>
  <c r="AO70" i="827"/>
  <c r="AN70" i="827"/>
  <c r="U70" i="827"/>
  <c r="V70" i="827" s="1"/>
  <c r="N70" i="827"/>
  <c r="AX69" i="827"/>
  <c r="AW69" i="827"/>
  <c r="AO69" i="827"/>
  <c r="AN69" i="827"/>
  <c r="AB69" i="827"/>
  <c r="AC69" i="827" s="1"/>
  <c r="AE69" i="827" s="1"/>
  <c r="V69" i="827"/>
  <c r="U69" i="827"/>
  <c r="N69" i="827"/>
  <c r="AX68" i="827"/>
  <c r="AW68" i="827"/>
  <c r="AN68" i="827"/>
  <c r="AO68" i="827" s="1"/>
  <c r="U68" i="827"/>
  <c r="V68" i="827" s="1"/>
  <c r="N68" i="827"/>
  <c r="AX67" i="827"/>
  <c r="AW67" i="827"/>
  <c r="AN67" i="827"/>
  <c r="AO67" i="827" s="1"/>
  <c r="AB67" i="827"/>
  <c r="AC67" i="827" s="1"/>
  <c r="AE67" i="827" s="1"/>
  <c r="U67" i="827"/>
  <c r="V67" i="827" s="1"/>
  <c r="N67" i="827"/>
  <c r="AX66" i="827"/>
  <c r="AW66" i="827"/>
  <c r="AN66" i="827"/>
  <c r="AO66" i="827" s="1"/>
  <c r="U66" i="827"/>
  <c r="V66" i="827" s="1"/>
  <c r="N66" i="827"/>
  <c r="AX65" i="827"/>
  <c r="AW65" i="827"/>
  <c r="AN65" i="827"/>
  <c r="AO65" i="827" s="1"/>
  <c r="V65" i="827"/>
  <c r="U65" i="827"/>
  <c r="N65" i="827"/>
  <c r="AX64" i="827"/>
  <c r="AW64" i="827"/>
  <c r="AN64" i="827"/>
  <c r="AO64" i="827" s="1"/>
  <c r="AB64" i="827"/>
  <c r="AC64" i="827" s="1"/>
  <c r="AE64" i="827" s="1"/>
  <c r="V64" i="827"/>
  <c r="U64" i="827"/>
  <c r="N64" i="827"/>
  <c r="AX63" i="827"/>
  <c r="AW63" i="827"/>
  <c r="AO63" i="827"/>
  <c r="AN63" i="827"/>
  <c r="V63" i="827"/>
  <c r="U63" i="827"/>
  <c r="N63" i="827"/>
  <c r="AX62" i="827"/>
  <c r="AW62" i="827"/>
  <c r="AN62" i="827"/>
  <c r="AO62" i="827" s="1"/>
  <c r="AB62" i="827"/>
  <c r="AC62" i="827" s="1"/>
  <c r="AE62" i="827" s="1"/>
  <c r="U62" i="827"/>
  <c r="V62" i="827" s="1"/>
  <c r="N62" i="827"/>
  <c r="AX61" i="827"/>
  <c r="AW61" i="827"/>
  <c r="AO61" i="827"/>
  <c r="AN61" i="827"/>
  <c r="U61" i="827"/>
  <c r="V61" i="827" s="1"/>
  <c r="N61" i="827"/>
  <c r="AX60" i="827"/>
  <c r="AW60" i="827"/>
  <c r="AO60" i="827"/>
  <c r="AN60" i="827"/>
  <c r="U60" i="827"/>
  <c r="V60" i="827" s="1"/>
  <c r="N60" i="827"/>
  <c r="AX59" i="827"/>
  <c r="AW59" i="827"/>
  <c r="AO59" i="827"/>
  <c r="AN59" i="827"/>
  <c r="U59" i="827"/>
  <c r="V59" i="827" s="1"/>
  <c r="N59" i="827"/>
  <c r="AX58" i="827"/>
  <c r="AW58" i="827"/>
  <c r="AO58" i="827"/>
  <c r="AN58" i="827"/>
  <c r="U58" i="827"/>
  <c r="V58" i="827" s="1"/>
  <c r="N58" i="827"/>
  <c r="AX57" i="827"/>
  <c r="AW57" i="827"/>
  <c r="AN57" i="827"/>
  <c r="AO57" i="827" s="1"/>
  <c r="U57" i="827"/>
  <c r="V57" i="827" s="1"/>
  <c r="N57" i="827"/>
  <c r="AX56" i="827"/>
  <c r="AW56" i="827"/>
  <c r="AN56" i="827"/>
  <c r="AO56" i="827" s="1"/>
  <c r="U56" i="827"/>
  <c r="V56" i="827" s="1"/>
  <c r="N56" i="827"/>
  <c r="AX55" i="827"/>
  <c r="AW55" i="827"/>
  <c r="AN55" i="827"/>
  <c r="AO55" i="827" s="1"/>
  <c r="AB55" i="827"/>
  <c r="AC55" i="827" s="1"/>
  <c r="AE55" i="827" s="1"/>
  <c r="U55" i="827"/>
  <c r="V55" i="827" s="1"/>
  <c r="N55" i="827"/>
  <c r="AX54" i="827"/>
  <c r="AW54" i="827"/>
  <c r="AN54" i="827"/>
  <c r="AO54" i="827" s="1"/>
  <c r="AB54" i="827"/>
  <c r="AC54" i="827" s="1"/>
  <c r="AE54" i="827" s="1"/>
  <c r="V54" i="827"/>
  <c r="U54" i="827"/>
  <c r="N54" i="827"/>
  <c r="AX53" i="827"/>
  <c r="AW53" i="827"/>
  <c r="AN53" i="827"/>
  <c r="AO53" i="827" s="1"/>
  <c r="U53" i="827"/>
  <c r="V53" i="827" s="1"/>
  <c r="N53" i="827"/>
  <c r="AX52" i="827"/>
  <c r="AW52" i="827"/>
  <c r="AN52" i="827"/>
  <c r="AO52" i="827" s="1"/>
  <c r="AB52" i="827"/>
  <c r="AC52" i="827" s="1"/>
  <c r="AE52" i="827" s="1"/>
  <c r="U52" i="827"/>
  <c r="V52" i="827" s="1"/>
  <c r="N52" i="827"/>
  <c r="AX51" i="827"/>
  <c r="AW51" i="827"/>
  <c r="AO51" i="827"/>
  <c r="AN51" i="827"/>
  <c r="U51" i="827"/>
  <c r="V51" i="827" s="1"/>
  <c r="N51" i="827"/>
  <c r="AX50" i="827"/>
  <c r="AW50" i="827"/>
  <c r="AO50" i="827"/>
  <c r="AN50" i="827"/>
  <c r="AB50" i="827"/>
  <c r="AC50" i="827" s="1"/>
  <c r="AE50" i="827" s="1"/>
  <c r="V50" i="827"/>
  <c r="U50" i="827"/>
  <c r="N50" i="827"/>
  <c r="AX49" i="827"/>
  <c r="AW49" i="827"/>
  <c r="AO49" i="827"/>
  <c r="AN49" i="827"/>
  <c r="AB49" i="827"/>
  <c r="AC49" i="827" s="1"/>
  <c r="AE49" i="827" s="1"/>
  <c r="U49" i="827"/>
  <c r="V49" i="827" s="1"/>
  <c r="N49" i="827"/>
  <c r="AX48" i="827"/>
  <c r="AW48" i="827"/>
  <c r="AN48" i="827"/>
  <c r="AO48" i="827" s="1"/>
  <c r="U48" i="827"/>
  <c r="V48" i="827" s="1"/>
  <c r="N48" i="827"/>
  <c r="AX47" i="827"/>
  <c r="AW47" i="827"/>
  <c r="AO47" i="827"/>
  <c r="AN47" i="827"/>
  <c r="AB47" i="827"/>
  <c r="AC47" i="827" s="1"/>
  <c r="AE47" i="827" s="1"/>
  <c r="U47" i="827"/>
  <c r="V47" i="827" s="1"/>
  <c r="N47" i="827"/>
  <c r="AX46" i="827"/>
  <c r="AW46" i="827"/>
  <c r="AN46" i="827"/>
  <c r="AO46" i="827" s="1"/>
  <c r="AB46" i="827"/>
  <c r="AC46" i="827" s="1"/>
  <c r="AE46" i="827" s="1"/>
  <c r="U46" i="827"/>
  <c r="V46" i="827" s="1"/>
  <c r="N46" i="827"/>
  <c r="AX45" i="827"/>
  <c r="AW45" i="827"/>
  <c r="AN45" i="827"/>
  <c r="AO45" i="827" s="1"/>
  <c r="AB45" i="827"/>
  <c r="AC45" i="827" s="1"/>
  <c r="AE45" i="827" s="1"/>
  <c r="U45" i="827"/>
  <c r="V45" i="827" s="1"/>
  <c r="N45" i="827"/>
  <c r="AX44" i="827"/>
  <c r="AW44" i="827"/>
  <c r="AN44" i="827"/>
  <c r="AO44" i="827" s="1"/>
  <c r="AB44" i="827"/>
  <c r="AC44" i="827" s="1"/>
  <c r="AE44" i="827" s="1"/>
  <c r="V44" i="827"/>
  <c r="U44" i="827"/>
  <c r="N44" i="827"/>
  <c r="AX43" i="827"/>
  <c r="AW43" i="827"/>
  <c r="AN43" i="827"/>
  <c r="AO43" i="827" s="1"/>
  <c r="U43" i="827"/>
  <c r="V43" i="827" s="1"/>
  <c r="N43" i="827"/>
  <c r="AX42" i="827"/>
  <c r="AW42" i="827"/>
  <c r="AN42" i="827"/>
  <c r="AO42" i="827" s="1"/>
  <c r="U42" i="827"/>
  <c r="V42" i="827" s="1"/>
  <c r="N42" i="827"/>
  <c r="AX41" i="827"/>
  <c r="AW41" i="827"/>
  <c r="AN41" i="827"/>
  <c r="AO41" i="827" s="1"/>
  <c r="U41" i="827"/>
  <c r="V41" i="827" s="1"/>
  <c r="N41" i="827"/>
  <c r="AX40" i="827"/>
  <c r="AW40" i="827"/>
  <c r="AO40" i="827"/>
  <c r="AN40" i="827"/>
  <c r="V40" i="827"/>
  <c r="U40" i="827"/>
  <c r="N40" i="827"/>
  <c r="AX39" i="827"/>
  <c r="AW39" i="827"/>
  <c r="AO39" i="827"/>
  <c r="AN39" i="827"/>
  <c r="AB39" i="827"/>
  <c r="AC39" i="827" s="1"/>
  <c r="AE39" i="827" s="1"/>
  <c r="U39" i="827"/>
  <c r="V39" i="827" s="1"/>
  <c r="N39" i="827"/>
  <c r="AX38" i="827"/>
  <c r="AW38" i="827"/>
  <c r="AN38" i="827"/>
  <c r="AO38" i="827" s="1"/>
  <c r="U38" i="827"/>
  <c r="V38" i="827" s="1"/>
  <c r="N38" i="827"/>
  <c r="AX37" i="827"/>
  <c r="AW37" i="827"/>
  <c r="AO37" i="827"/>
  <c r="AN37" i="827"/>
  <c r="AB37" i="827"/>
  <c r="AC37" i="827" s="1"/>
  <c r="AE37" i="827" s="1"/>
  <c r="U37" i="827"/>
  <c r="V37" i="827" s="1"/>
  <c r="N37" i="827"/>
  <c r="AX36" i="827"/>
  <c r="AW36" i="827"/>
  <c r="AN36" i="827"/>
  <c r="AO36" i="827" s="1"/>
  <c r="AB36" i="827"/>
  <c r="AC36" i="827" s="1"/>
  <c r="AE36" i="827" s="1"/>
  <c r="V36" i="827"/>
  <c r="U36" i="827"/>
  <c r="N36" i="827"/>
  <c r="AX35" i="827"/>
  <c r="AW35" i="827"/>
  <c r="AN35" i="827"/>
  <c r="AO35" i="827" s="1"/>
  <c r="AB35" i="827"/>
  <c r="AC35" i="827" s="1"/>
  <c r="AE35" i="827" s="1"/>
  <c r="U35" i="827"/>
  <c r="V35" i="827" s="1"/>
  <c r="N35" i="827"/>
  <c r="AX34" i="827"/>
  <c r="AW34" i="827"/>
  <c r="AO34" i="827"/>
  <c r="AN34" i="827"/>
  <c r="AB34" i="827"/>
  <c r="AC34" i="827" s="1"/>
  <c r="AE34" i="827" s="1"/>
  <c r="AJ34" i="827" s="1"/>
  <c r="V34" i="827"/>
  <c r="U34" i="827"/>
  <c r="N34" i="827"/>
  <c r="AX33" i="827"/>
  <c r="AW33" i="827"/>
  <c r="AN33" i="827"/>
  <c r="AO33" i="827" s="1"/>
  <c r="U33" i="827"/>
  <c r="V33" i="827" s="1"/>
  <c r="N33" i="827"/>
  <c r="AX32" i="827"/>
  <c r="AW32" i="827"/>
  <c r="AN32" i="827"/>
  <c r="AO32" i="827" s="1"/>
  <c r="AB32" i="827"/>
  <c r="AC32" i="827" s="1"/>
  <c r="AE32" i="827" s="1"/>
  <c r="U32" i="827"/>
  <c r="V32" i="827" s="1"/>
  <c r="N32" i="827"/>
  <c r="AX31" i="827"/>
  <c r="AW31" i="827"/>
  <c r="AN31" i="827"/>
  <c r="AO31" i="827" s="1"/>
  <c r="U31" i="827"/>
  <c r="V31" i="827" s="1"/>
  <c r="N31" i="827"/>
  <c r="AX30" i="827"/>
  <c r="AW30" i="827"/>
  <c r="AO30" i="827"/>
  <c r="AN30" i="827"/>
  <c r="AB30" i="827"/>
  <c r="AC30" i="827" s="1"/>
  <c r="AE30" i="827" s="1"/>
  <c r="U30" i="827"/>
  <c r="V30" i="827" s="1"/>
  <c r="N30" i="827"/>
  <c r="AX29" i="827"/>
  <c r="AW29" i="827"/>
  <c r="AO29" i="827"/>
  <c r="AN29" i="827"/>
  <c r="U29" i="827"/>
  <c r="V29" i="827" s="1"/>
  <c r="N29" i="827"/>
  <c r="AX28" i="827"/>
  <c r="AW28" i="827"/>
  <c r="AN28" i="827"/>
  <c r="AO28" i="827" s="1"/>
  <c r="U28" i="827"/>
  <c r="V28" i="827" s="1"/>
  <c r="N28" i="827"/>
  <c r="AX27" i="827"/>
  <c r="AW27" i="827"/>
  <c r="AN27" i="827"/>
  <c r="AO27" i="827" s="1"/>
  <c r="AB27" i="827"/>
  <c r="AC27" i="827" s="1"/>
  <c r="AE27" i="827" s="1"/>
  <c r="U27" i="827"/>
  <c r="V27" i="827" s="1"/>
  <c r="N27" i="827"/>
  <c r="AX26" i="827"/>
  <c r="AW26" i="827"/>
  <c r="AN26" i="827"/>
  <c r="AO26" i="827" s="1"/>
  <c r="V26" i="827"/>
  <c r="U26" i="827"/>
  <c r="N26" i="827"/>
  <c r="AX25" i="827"/>
  <c r="AW25" i="827"/>
  <c r="AN25" i="827"/>
  <c r="AO25" i="827" s="1"/>
  <c r="AB25" i="827"/>
  <c r="AC25" i="827" s="1"/>
  <c r="AE25" i="827" s="1"/>
  <c r="U25" i="827"/>
  <c r="V25" i="827" s="1"/>
  <c r="N25" i="827"/>
  <c r="AX24" i="827"/>
  <c r="AW24" i="827"/>
  <c r="AO24" i="827"/>
  <c r="AN24" i="827"/>
  <c r="V24" i="827"/>
  <c r="U24" i="827"/>
  <c r="N24" i="827"/>
  <c r="AX23" i="827"/>
  <c r="AW23" i="827"/>
  <c r="AO23" i="827"/>
  <c r="AN23" i="827"/>
  <c r="U23" i="827"/>
  <c r="V23" i="827" s="1"/>
  <c r="N23" i="827"/>
  <c r="AX22" i="827"/>
  <c r="AW22" i="827"/>
  <c r="AN22" i="827"/>
  <c r="AO22" i="827" s="1"/>
  <c r="AB22" i="827"/>
  <c r="AC22" i="827" s="1"/>
  <c r="AE22" i="827" s="1"/>
  <c r="U22" i="827"/>
  <c r="V22" i="827" s="1"/>
  <c r="N22" i="827"/>
  <c r="AX21" i="827"/>
  <c r="AW21" i="827"/>
  <c r="AN21" i="827"/>
  <c r="AO21" i="827" s="1"/>
  <c r="U21" i="827"/>
  <c r="V21" i="827" s="1"/>
  <c r="N21" i="827"/>
  <c r="AX20" i="827"/>
  <c r="AW20" i="827"/>
  <c r="AO20" i="827"/>
  <c r="AN20" i="827"/>
  <c r="V20" i="827"/>
  <c r="U20" i="827"/>
  <c r="N20" i="827"/>
  <c r="AX19" i="827"/>
  <c r="AW19" i="827"/>
  <c r="AO19" i="827"/>
  <c r="AN19" i="827"/>
  <c r="U19" i="827"/>
  <c r="V19" i="827" s="1"/>
  <c r="N19" i="827"/>
  <c r="AX18" i="827"/>
  <c r="AW18" i="827"/>
  <c r="AN18" i="827"/>
  <c r="AO18" i="827" s="1"/>
  <c r="U18" i="827"/>
  <c r="V18" i="827" s="1"/>
  <c r="N18" i="827"/>
  <c r="AX17" i="827"/>
  <c r="AW17" i="827"/>
  <c r="AN17" i="827"/>
  <c r="AO17" i="827" s="1"/>
  <c r="U17" i="827"/>
  <c r="V17" i="827" s="1"/>
  <c r="N17" i="827"/>
  <c r="AX16" i="827"/>
  <c r="AW16" i="827"/>
  <c r="AN16" i="827"/>
  <c r="AO16" i="827" s="1"/>
  <c r="U16" i="827"/>
  <c r="V16" i="827" s="1"/>
  <c r="N16" i="827"/>
  <c r="AX15" i="827"/>
  <c r="AW15" i="827"/>
  <c r="AN15" i="827"/>
  <c r="AO15" i="827" s="1"/>
  <c r="AB15" i="827"/>
  <c r="AC15" i="827" s="1"/>
  <c r="AE15" i="827" s="1"/>
  <c r="U15" i="827"/>
  <c r="V15" i="827" s="1"/>
  <c r="N15" i="827"/>
  <c r="AX14" i="827"/>
  <c r="AW14" i="827"/>
  <c r="AO14" i="827"/>
  <c r="AN14" i="827"/>
  <c r="V14" i="827"/>
  <c r="U14" i="827"/>
  <c r="N14" i="827"/>
  <c r="AX13" i="827"/>
  <c r="AW13" i="827"/>
  <c r="AN13" i="827"/>
  <c r="AO13" i="827" s="1"/>
  <c r="V13" i="827"/>
  <c r="U13" i="827"/>
  <c r="N13" i="827"/>
  <c r="AX12" i="827"/>
  <c r="AW12" i="827"/>
  <c r="AO12" i="827"/>
  <c r="AN12" i="827"/>
  <c r="AB12" i="827"/>
  <c r="AC12" i="827" s="1"/>
  <c r="AE12" i="827" s="1"/>
  <c r="U12" i="827"/>
  <c r="V12" i="827" s="1"/>
  <c r="N12" i="827"/>
  <c r="AX11" i="827"/>
  <c r="AW11" i="827"/>
  <c r="AN11" i="827"/>
  <c r="AO11" i="827" s="1"/>
  <c r="U11" i="827"/>
  <c r="V11" i="827" s="1"/>
  <c r="N11" i="827"/>
  <c r="N10" i="827"/>
  <c r="AX9" i="827"/>
  <c r="AW9" i="827"/>
  <c r="AN9" i="827"/>
  <c r="AO9" i="827" s="1"/>
  <c r="U9" i="827"/>
  <c r="V9" i="827" s="1"/>
  <c r="N9" i="827"/>
  <c r="N8" i="827"/>
  <c r="AX7" i="827"/>
  <c r="AW7" i="827"/>
  <c r="AN7" i="827"/>
  <c r="AO7" i="827" s="1"/>
  <c r="AB7" i="827"/>
  <c r="AC7" i="827" s="1"/>
  <c r="AE7" i="827" s="1"/>
  <c r="U7" i="827"/>
  <c r="V7" i="827" s="1"/>
  <c r="N7" i="827"/>
  <c r="N6" i="827"/>
  <c r="AX5" i="827"/>
  <c r="AW5" i="827"/>
  <c r="AN5" i="827"/>
  <c r="AO5" i="827" s="1"/>
  <c r="AF5" i="827"/>
  <c r="U5" i="827"/>
  <c r="V5" i="827" s="1"/>
  <c r="N5" i="827"/>
  <c r="AS2" i="827"/>
  <c r="AA2" i="827"/>
  <c r="AD2" i="827" s="1"/>
  <c r="I2" i="827"/>
  <c r="AB86" i="827" s="1"/>
  <c r="AC86" i="827" s="1"/>
  <c r="AE86" i="827" s="1"/>
  <c r="AH69" i="827" l="1"/>
  <c r="AJ109" i="827"/>
  <c r="AB104" i="827"/>
  <c r="AC104" i="827" s="1"/>
  <c r="AE104" i="827" s="1"/>
  <c r="AH104" i="827" s="1"/>
  <c r="AJ104" i="827"/>
  <c r="AB129" i="827"/>
  <c r="AC129" i="827" s="1"/>
  <c r="AE129" i="827" s="1"/>
  <c r="AH34" i="827"/>
  <c r="AB9" i="827"/>
  <c r="AC9" i="827" s="1"/>
  <c r="AE9" i="827" s="1"/>
  <c r="AH9" i="827" s="1"/>
  <c r="AB20" i="827"/>
  <c r="AC20" i="827" s="1"/>
  <c r="AE20" i="827" s="1"/>
  <c r="AB72" i="827"/>
  <c r="AC72" i="827" s="1"/>
  <c r="AE72" i="827" s="1"/>
  <c r="AH72" i="827" s="1"/>
  <c r="AJ49" i="827"/>
  <c r="AH49" i="827"/>
  <c r="AJ55" i="827"/>
  <c r="AH55" i="827"/>
  <c r="AL130" i="827"/>
  <c r="AK130" i="827"/>
  <c r="AJ47" i="827"/>
  <c r="AH47" i="827"/>
  <c r="AH76" i="827"/>
  <c r="AJ76" i="827"/>
  <c r="AH120" i="827"/>
  <c r="AJ120" i="827"/>
  <c r="AJ103" i="827"/>
  <c r="AH103" i="827"/>
  <c r="AJ45" i="827"/>
  <c r="AH45" i="827"/>
  <c r="AJ74" i="827"/>
  <c r="AH74" i="827"/>
  <c r="AJ30" i="827"/>
  <c r="AH30" i="827"/>
  <c r="AJ17" i="827"/>
  <c r="AH17" i="827"/>
  <c r="AJ99" i="827"/>
  <c r="AH99" i="827"/>
  <c r="AJ93" i="827"/>
  <c r="AH93" i="827"/>
  <c r="AL69" i="827"/>
  <c r="AK69" i="827"/>
  <c r="AH109" i="827"/>
  <c r="AJ77" i="827"/>
  <c r="AH77" i="827"/>
  <c r="AJ132" i="827"/>
  <c r="AH132" i="827"/>
  <c r="AL34" i="827"/>
  <c r="AK34" i="827"/>
  <c r="AJ71" i="827"/>
  <c r="AJ24" i="827"/>
  <c r="AH24" i="827"/>
  <c r="AH86" i="827"/>
  <c r="AJ86" i="827"/>
  <c r="AJ67" i="827"/>
  <c r="AH67" i="827"/>
  <c r="AJ50" i="827"/>
  <c r="AH50" i="827"/>
  <c r="AH7" i="827"/>
  <c r="AJ7" i="827"/>
  <c r="AJ64" i="827"/>
  <c r="AH64" i="827"/>
  <c r="AH96" i="827"/>
  <c r="AJ96" i="827"/>
  <c r="AH100" i="827"/>
  <c r="AJ88" i="827"/>
  <c r="AJ22" i="827"/>
  <c r="AH22" i="827"/>
  <c r="AL104" i="827"/>
  <c r="AK104" i="827"/>
  <c r="AJ37" i="827"/>
  <c r="AH37" i="827"/>
  <c r="AH116" i="827"/>
  <c r="AJ116" i="827"/>
  <c r="AH79" i="827"/>
  <c r="AJ79" i="827"/>
  <c r="AJ32" i="827"/>
  <c r="AH32" i="827"/>
  <c r="AJ15" i="827"/>
  <c r="AH15" i="827"/>
  <c r="AJ27" i="827"/>
  <c r="AH27" i="827"/>
  <c r="AJ35" i="827"/>
  <c r="AH35" i="827"/>
  <c r="AJ97" i="827"/>
  <c r="AH97" i="827"/>
  <c r="AJ123" i="827"/>
  <c r="AH123" i="827"/>
  <c r="AJ25" i="827"/>
  <c r="AH25" i="827"/>
  <c r="AH39" i="827"/>
  <c r="AJ39" i="827"/>
  <c r="AJ89" i="827"/>
  <c r="AH89" i="827"/>
  <c r="AJ20" i="827"/>
  <c r="AH20" i="827"/>
  <c r="AH23" i="827"/>
  <c r="AJ95" i="827"/>
  <c r="AH122" i="827"/>
  <c r="AJ122" i="827"/>
  <c r="AH12" i="827"/>
  <c r="AJ12" i="827"/>
  <c r="AJ54" i="827"/>
  <c r="AH54" i="827"/>
  <c r="AH73" i="827"/>
  <c r="AJ73" i="827"/>
  <c r="AJ129" i="827"/>
  <c r="AH129" i="827"/>
  <c r="AH87" i="827"/>
  <c r="AH52" i="827"/>
  <c r="AJ52" i="827"/>
  <c r="AB106" i="827"/>
  <c r="AC106" i="827" s="1"/>
  <c r="AE106" i="827" s="1"/>
  <c r="AJ106" i="827" s="1"/>
  <c r="AH108" i="827"/>
  <c r="AB110" i="827"/>
  <c r="AC110" i="827" s="1"/>
  <c r="AE110" i="827" s="1"/>
  <c r="AH110" i="827" s="1"/>
  <c r="AH114" i="827"/>
  <c r="AB127" i="827"/>
  <c r="AC127" i="827" s="1"/>
  <c r="AE127" i="827" s="1"/>
  <c r="AH127" i="827" s="1"/>
  <c r="AH62" i="827"/>
  <c r="AJ62" i="827"/>
  <c r="AH16" i="827"/>
  <c r="AJ16" i="827"/>
  <c r="AJ41" i="827"/>
  <c r="AH41" i="827"/>
  <c r="AH44" i="827"/>
  <c r="AB17" i="827"/>
  <c r="AC17" i="827" s="1"/>
  <c r="AE17" i="827" s="1"/>
  <c r="AJ23" i="827"/>
  <c r="AB40" i="827"/>
  <c r="AC40" i="827" s="1"/>
  <c r="AE40" i="827" s="1"/>
  <c r="AB42" i="827"/>
  <c r="AC42" i="827" s="1"/>
  <c r="AE42" i="827" s="1"/>
  <c r="AJ42" i="827" s="1"/>
  <c r="AJ44" i="827"/>
  <c r="AB65" i="827"/>
  <c r="AC65" i="827" s="1"/>
  <c r="AE65" i="827" s="1"/>
  <c r="AJ65" i="827" s="1"/>
  <c r="AJ69" i="827"/>
  <c r="AB84" i="827"/>
  <c r="AC84" i="827" s="1"/>
  <c r="AE84" i="827" s="1"/>
  <c r="AB92" i="827"/>
  <c r="AC92" i="827" s="1"/>
  <c r="AE92" i="827" s="1"/>
  <c r="AJ92" i="827" s="1"/>
  <c r="AB134" i="827"/>
  <c r="AC134" i="827" s="1"/>
  <c r="AE134" i="827" s="1"/>
  <c r="AJ134" i="827" s="1"/>
  <c r="AB63" i="827"/>
  <c r="AC63" i="827" s="1"/>
  <c r="AE63" i="827" s="1"/>
  <c r="AJ63" i="827" s="1"/>
  <c r="AH90" i="827"/>
  <c r="AH94" i="827"/>
  <c r="AH46" i="827"/>
  <c r="AJ46" i="827"/>
  <c r="AB131" i="827"/>
  <c r="AC131" i="827" s="1"/>
  <c r="AE131" i="827" s="1"/>
  <c r="AJ131" i="827" s="1"/>
  <c r="AB121" i="827"/>
  <c r="AC121" i="827" s="1"/>
  <c r="AE121" i="827" s="1"/>
  <c r="AH121" i="827" s="1"/>
  <c r="AB111" i="827"/>
  <c r="AC111" i="827" s="1"/>
  <c r="AE111" i="827" s="1"/>
  <c r="AB101" i="827"/>
  <c r="AC101" i="827" s="1"/>
  <c r="AE101" i="827" s="1"/>
  <c r="AJ101" i="827" s="1"/>
  <c r="AB91" i="827"/>
  <c r="AC91" i="827" s="1"/>
  <c r="AE91" i="827" s="1"/>
  <c r="AJ91" i="827" s="1"/>
  <c r="AB81" i="827"/>
  <c r="AC81" i="827" s="1"/>
  <c r="AE81" i="827" s="1"/>
  <c r="AJ81" i="827" s="1"/>
  <c r="AB71" i="827"/>
  <c r="AC71" i="827" s="1"/>
  <c r="AE71" i="827" s="1"/>
  <c r="AH71" i="827" s="1"/>
  <c r="AB61" i="827"/>
  <c r="AC61" i="827" s="1"/>
  <c r="AE61" i="827" s="1"/>
  <c r="AB51" i="827"/>
  <c r="AC51" i="827" s="1"/>
  <c r="AE51" i="827" s="1"/>
  <c r="AB41" i="827"/>
  <c r="AC41" i="827" s="1"/>
  <c r="AE41" i="827" s="1"/>
  <c r="AB31" i="827"/>
  <c r="AC31" i="827" s="1"/>
  <c r="AE31" i="827" s="1"/>
  <c r="AH31" i="827" s="1"/>
  <c r="AB21" i="827"/>
  <c r="AC21" i="827" s="1"/>
  <c r="AE21" i="827" s="1"/>
  <c r="AH21" i="827" s="1"/>
  <c r="AB11" i="827"/>
  <c r="AC11" i="827" s="1"/>
  <c r="AE11" i="827" s="1"/>
  <c r="AJ11" i="827" s="1"/>
  <c r="AB125" i="827"/>
  <c r="AC125" i="827" s="1"/>
  <c r="AE125" i="827" s="1"/>
  <c r="AJ125" i="827" s="1"/>
  <c r="AB135" i="827"/>
  <c r="AC135" i="827" s="1"/>
  <c r="AE135" i="827" s="1"/>
  <c r="AJ135" i="827" s="1"/>
  <c r="AB128" i="827"/>
  <c r="AC128" i="827" s="1"/>
  <c r="AE128" i="827" s="1"/>
  <c r="AB118" i="827"/>
  <c r="AC118" i="827" s="1"/>
  <c r="AE118" i="827" s="1"/>
  <c r="AJ118" i="827" s="1"/>
  <c r="AB108" i="827"/>
  <c r="AC108" i="827" s="1"/>
  <c r="AE108" i="827" s="1"/>
  <c r="AJ108" i="827" s="1"/>
  <c r="AB98" i="827"/>
  <c r="AC98" i="827" s="1"/>
  <c r="AE98" i="827" s="1"/>
  <c r="AB88" i="827"/>
  <c r="AC88" i="827" s="1"/>
  <c r="AE88" i="827" s="1"/>
  <c r="AH88" i="827" s="1"/>
  <c r="AB78" i="827"/>
  <c r="AC78" i="827" s="1"/>
  <c r="AE78" i="827" s="1"/>
  <c r="AJ78" i="827" s="1"/>
  <c r="AB68" i="827"/>
  <c r="AC68" i="827" s="1"/>
  <c r="AE68" i="827" s="1"/>
  <c r="AJ68" i="827" s="1"/>
  <c r="AB58" i="827"/>
  <c r="AC58" i="827" s="1"/>
  <c r="AE58" i="827" s="1"/>
  <c r="AH58" i="827" s="1"/>
  <c r="AB48" i="827"/>
  <c r="AC48" i="827" s="1"/>
  <c r="AE48" i="827" s="1"/>
  <c r="AJ48" i="827" s="1"/>
  <c r="AB38" i="827"/>
  <c r="AC38" i="827" s="1"/>
  <c r="AE38" i="827" s="1"/>
  <c r="AB28" i="827"/>
  <c r="AC28" i="827" s="1"/>
  <c r="AE28" i="827" s="1"/>
  <c r="AB18" i="827"/>
  <c r="AC18" i="827" s="1"/>
  <c r="AE18" i="827" s="1"/>
  <c r="AJ18" i="827" s="1"/>
  <c r="AB115" i="827"/>
  <c r="AC115" i="827" s="1"/>
  <c r="AE115" i="827" s="1"/>
  <c r="AJ115" i="827" s="1"/>
  <c r="AB119" i="827"/>
  <c r="AC119" i="827" s="1"/>
  <c r="AE119" i="827" s="1"/>
  <c r="AH119" i="827" s="1"/>
  <c r="AB112" i="827"/>
  <c r="AC112" i="827" s="1"/>
  <c r="AE112" i="827" s="1"/>
  <c r="AH112" i="827" s="1"/>
  <c r="AB107" i="827"/>
  <c r="AC107" i="827" s="1"/>
  <c r="AE107" i="827" s="1"/>
  <c r="AB85" i="827"/>
  <c r="AC85" i="827" s="1"/>
  <c r="AE85" i="827" s="1"/>
  <c r="AJ85" i="827" s="1"/>
  <c r="AB60" i="827"/>
  <c r="AC60" i="827" s="1"/>
  <c r="AE60" i="827" s="1"/>
  <c r="AJ60" i="827" s="1"/>
  <c r="AB13" i="827"/>
  <c r="AC13" i="827" s="1"/>
  <c r="AE13" i="827" s="1"/>
  <c r="AB126" i="827"/>
  <c r="AC126" i="827" s="1"/>
  <c r="AE126" i="827" s="1"/>
  <c r="AJ126" i="827" s="1"/>
  <c r="AB95" i="827"/>
  <c r="AC95" i="827" s="1"/>
  <c r="AE95" i="827" s="1"/>
  <c r="AH95" i="827" s="1"/>
  <c r="AB70" i="827"/>
  <c r="AC70" i="827" s="1"/>
  <c r="AE70" i="827" s="1"/>
  <c r="AJ70" i="827" s="1"/>
  <c r="AB23" i="827"/>
  <c r="AC23" i="827" s="1"/>
  <c r="AE23" i="827" s="1"/>
  <c r="AB43" i="827"/>
  <c r="AC43" i="827" s="1"/>
  <c r="AE43" i="827" s="1"/>
  <c r="AH43" i="827" s="1"/>
  <c r="AB5" i="827"/>
  <c r="AC5" i="827" s="1"/>
  <c r="AE5" i="827" s="1"/>
  <c r="AJ5" i="827" s="1"/>
  <c r="AB124" i="827"/>
  <c r="AC124" i="827" s="1"/>
  <c r="AE124" i="827" s="1"/>
  <c r="AJ124" i="827" s="1"/>
  <c r="AB100" i="827"/>
  <c r="AC100" i="827" s="1"/>
  <c r="AE100" i="827" s="1"/>
  <c r="AJ100" i="827" s="1"/>
  <c r="AB53" i="827"/>
  <c r="AC53" i="827" s="1"/>
  <c r="AE53" i="827" s="1"/>
  <c r="AJ53" i="827" s="1"/>
  <c r="AB26" i="827"/>
  <c r="AC26" i="827" s="1"/>
  <c r="AE26" i="827" s="1"/>
  <c r="AH26" i="827" s="1"/>
  <c r="AB133" i="827"/>
  <c r="AC133" i="827" s="1"/>
  <c r="AE133" i="827" s="1"/>
  <c r="AH133" i="827" s="1"/>
  <c r="AB105" i="827"/>
  <c r="AC105" i="827" s="1"/>
  <c r="AE105" i="827" s="1"/>
  <c r="AH105" i="827" s="1"/>
  <c r="AB80" i="827"/>
  <c r="AC80" i="827" s="1"/>
  <c r="AE80" i="827" s="1"/>
  <c r="AJ80" i="827" s="1"/>
  <c r="AB33" i="827"/>
  <c r="AC33" i="827" s="1"/>
  <c r="AE33" i="827" s="1"/>
  <c r="AH33" i="827" s="1"/>
  <c r="AB90" i="827"/>
  <c r="AC90" i="827" s="1"/>
  <c r="AE90" i="827" s="1"/>
  <c r="AJ90" i="827" s="1"/>
  <c r="AB16" i="827"/>
  <c r="AC16" i="827" s="1"/>
  <c r="AE16" i="827" s="1"/>
  <c r="AB117" i="827"/>
  <c r="AC117" i="827" s="1"/>
  <c r="AE117" i="827" s="1"/>
  <c r="AJ117" i="827" s="1"/>
  <c r="AB136" i="827"/>
  <c r="AC136" i="827" s="1"/>
  <c r="AE136" i="827" s="1"/>
  <c r="AJ136" i="827" s="1"/>
  <c r="AB83" i="827"/>
  <c r="AC83" i="827" s="1"/>
  <c r="AE83" i="827" s="1"/>
  <c r="AH83" i="827" s="1"/>
  <c r="AB56" i="827"/>
  <c r="AC56" i="827" s="1"/>
  <c r="AE56" i="827" s="1"/>
  <c r="AJ56" i="827" s="1"/>
  <c r="AB19" i="827"/>
  <c r="AC19" i="827" s="1"/>
  <c r="AE19" i="827" s="1"/>
  <c r="AJ19" i="827" s="1"/>
  <c r="AB14" i="827"/>
  <c r="AC14" i="827" s="1"/>
  <c r="AE14" i="827" s="1"/>
  <c r="AH14" i="827" s="1"/>
  <c r="AB93" i="827"/>
  <c r="AC93" i="827" s="1"/>
  <c r="AE93" i="827" s="1"/>
  <c r="AB66" i="827"/>
  <c r="AC66" i="827" s="1"/>
  <c r="AE66" i="827" s="1"/>
  <c r="AH66" i="827" s="1"/>
  <c r="AB29" i="827"/>
  <c r="AC29" i="827" s="1"/>
  <c r="AE29" i="827" s="1"/>
  <c r="AH29" i="827" s="1"/>
  <c r="AB24" i="827"/>
  <c r="AC24" i="827" s="1"/>
  <c r="AE24" i="827" s="1"/>
  <c r="AH36" i="827"/>
  <c r="AJ36" i="827"/>
  <c r="AB57" i="827"/>
  <c r="AC57" i="827" s="1"/>
  <c r="AE57" i="827" s="1"/>
  <c r="AH57" i="827" s="1"/>
  <c r="AB59" i="827"/>
  <c r="AC59" i="827" s="1"/>
  <c r="AE59" i="827" s="1"/>
  <c r="AJ59" i="827" s="1"/>
  <c r="AB82" i="827"/>
  <c r="AC82" i="827" s="1"/>
  <c r="AE82" i="827" s="1"/>
  <c r="AH82" i="827" s="1"/>
  <c r="AB113" i="827"/>
  <c r="AC113" i="827" s="1"/>
  <c r="AE113" i="827" s="1"/>
  <c r="AJ113" i="827" s="1"/>
  <c r="AJ112" i="827"/>
  <c r="AJ75" i="827"/>
  <c r="AH75" i="827"/>
  <c r="AH102" i="827"/>
  <c r="AJ102" i="827"/>
  <c r="AF25" i="826"/>
  <c r="AJ9" i="827" l="1"/>
  <c r="AH5" i="827"/>
  <c r="AH106" i="827"/>
  <c r="AJ43" i="827"/>
  <c r="AJ133" i="827"/>
  <c r="AJ29" i="827"/>
  <c r="AJ58" i="827"/>
  <c r="AH78" i="827"/>
  <c r="AJ72" i="827"/>
  <c r="AH131" i="827"/>
  <c r="AJ83" i="827"/>
  <c r="AH124" i="827"/>
  <c r="AH113" i="827"/>
  <c r="AK113" i="827" s="1"/>
  <c r="AH81" i="827"/>
  <c r="AL81" i="827" s="1"/>
  <c r="AJ82" i="827"/>
  <c r="AH68" i="827"/>
  <c r="AL68" i="827" s="1"/>
  <c r="AH70" i="827"/>
  <c r="AK70" i="827" s="1"/>
  <c r="AH59" i="827"/>
  <c r="AK59" i="827" s="1"/>
  <c r="AH118" i="827"/>
  <c r="AK118" i="827" s="1"/>
  <c r="AH42" i="827"/>
  <c r="AL42" i="827" s="1"/>
  <c r="AJ127" i="827"/>
  <c r="AJ57" i="827"/>
  <c r="AJ14" i="827"/>
  <c r="AJ66" i="827"/>
  <c r="AK119" i="827"/>
  <c r="AL119" i="827"/>
  <c r="AK33" i="827"/>
  <c r="AL33" i="827"/>
  <c r="AK83" i="827"/>
  <c r="AL83" i="827"/>
  <c r="AL71" i="827"/>
  <c r="AK71" i="827"/>
  <c r="AK26" i="827"/>
  <c r="AL26" i="827"/>
  <c r="AK21" i="827"/>
  <c r="AL21" i="827"/>
  <c r="AK110" i="827"/>
  <c r="AL110" i="827"/>
  <c r="AL105" i="827"/>
  <c r="AK105" i="827"/>
  <c r="AK57" i="827"/>
  <c r="AL57" i="827"/>
  <c r="AK121" i="827"/>
  <c r="AL121" i="827"/>
  <c r="AK31" i="827"/>
  <c r="AL31" i="827"/>
  <c r="AK133" i="827"/>
  <c r="AL133" i="827"/>
  <c r="AL131" i="827"/>
  <c r="AK131" i="827"/>
  <c r="AL124" i="827"/>
  <c r="AK124" i="827"/>
  <c r="AK27" i="827"/>
  <c r="AL27" i="827"/>
  <c r="AL16" i="827"/>
  <c r="AK16" i="827"/>
  <c r="AH107" i="827"/>
  <c r="AJ107" i="827"/>
  <c r="AK15" i="827"/>
  <c r="AL15" i="827"/>
  <c r="AH19" i="827"/>
  <c r="AL20" i="827"/>
  <c r="AK20" i="827"/>
  <c r="AL32" i="827"/>
  <c r="AK32" i="827"/>
  <c r="AH56" i="827"/>
  <c r="AH63" i="827"/>
  <c r="AH11" i="827"/>
  <c r="AL67" i="827"/>
  <c r="AK67" i="827"/>
  <c r="AH115" i="827"/>
  <c r="AK43" i="827"/>
  <c r="AL43" i="827"/>
  <c r="AL9" i="827"/>
  <c r="AK9" i="827"/>
  <c r="AJ121" i="827"/>
  <c r="AH80" i="827"/>
  <c r="AL30" i="827"/>
  <c r="AK30" i="827"/>
  <c r="AH111" i="827"/>
  <c r="AJ111" i="827"/>
  <c r="AJ40" i="827"/>
  <c r="AH40" i="827"/>
  <c r="AL25" i="827"/>
  <c r="AK25" i="827"/>
  <c r="AH125" i="827"/>
  <c r="AK77" i="827"/>
  <c r="AL77" i="827"/>
  <c r="AL55" i="827"/>
  <c r="AK55" i="827"/>
  <c r="AL90" i="827"/>
  <c r="AK90" i="827"/>
  <c r="AL78" i="827"/>
  <c r="AK78" i="827"/>
  <c r="AJ13" i="827"/>
  <c r="AH13" i="827"/>
  <c r="AL76" i="827"/>
  <c r="AK76" i="827"/>
  <c r="AJ21" i="827"/>
  <c r="AH60" i="827"/>
  <c r="AL47" i="827"/>
  <c r="AK47" i="827"/>
  <c r="AL62" i="827"/>
  <c r="AK62" i="827"/>
  <c r="AL132" i="827"/>
  <c r="AK132" i="827"/>
  <c r="AJ51" i="827"/>
  <c r="AH51" i="827"/>
  <c r="AK99" i="827"/>
  <c r="AL99" i="827"/>
  <c r="AJ61" i="827"/>
  <c r="AH61" i="827"/>
  <c r="AJ33" i="827"/>
  <c r="AL54" i="827"/>
  <c r="AK54" i="827"/>
  <c r="AH28" i="827"/>
  <c r="AJ28" i="827"/>
  <c r="AL114" i="827"/>
  <c r="AK114" i="827"/>
  <c r="AK79" i="827"/>
  <c r="AL79" i="827"/>
  <c r="AH135" i="827"/>
  <c r="AL108" i="827"/>
  <c r="AK108" i="827"/>
  <c r="AL86" i="827"/>
  <c r="AK86" i="827"/>
  <c r="AH134" i="827"/>
  <c r="AL116" i="827"/>
  <c r="AK116" i="827"/>
  <c r="AJ98" i="827"/>
  <c r="AH98" i="827"/>
  <c r="AJ31" i="827"/>
  <c r="AH85" i="827"/>
  <c r="AK123" i="827"/>
  <c r="AL123" i="827"/>
  <c r="AH18" i="827"/>
  <c r="AK109" i="827"/>
  <c r="AL109" i="827"/>
  <c r="AH91" i="827"/>
  <c r="AH92" i="827"/>
  <c r="AJ110" i="827"/>
  <c r="AJ105" i="827"/>
  <c r="AK96" i="827"/>
  <c r="AL96" i="827"/>
  <c r="AL41" i="827"/>
  <c r="AK41" i="827"/>
  <c r="AL35" i="827"/>
  <c r="AK35" i="827"/>
  <c r="AH126" i="827"/>
  <c r="AL112" i="827"/>
  <c r="AK112" i="827"/>
  <c r="AL106" i="827"/>
  <c r="AK106" i="827"/>
  <c r="AK23" i="827"/>
  <c r="AL23" i="827"/>
  <c r="AJ119" i="827"/>
  <c r="AH38" i="827"/>
  <c r="AJ38" i="827"/>
  <c r="AK88" i="827"/>
  <c r="AL88" i="827"/>
  <c r="AL36" i="827"/>
  <c r="AK36" i="827"/>
  <c r="AH136" i="827"/>
  <c r="AL12" i="827"/>
  <c r="AK12" i="827"/>
  <c r="AH101" i="827"/>
  <c r="AK49" i="827"/>
  <c r="AL49" i="827"/>
  <c r="AL46" i="827"/>
  <c r="AK46" i="827"/>
  <c r="AL45" i="827"/>
  <c r="AK45" i="827"/>
  <c r="AL44" i="827"/>
  <c r="AK44" i="827"/>
  <c r="AK87" i="827"/>
  <c r="AL87" i="827"/>
  <c r="AL97" i="827"/>
  <c r="AK97" i="827"/>
  <c r="AL37" i="827"/>
  <c r="AK37" i="827"/>
  <c r="AJ26" i="827"/>
  <c r="AH117" i="827"/>
  <c r="AK103" i="827"/>
  <c r="AL103" i="827"/>
  <c r="AH53" i="827"/>
  <c r="AK95" i="827"/>
  <c r="AL95" i="827"/>
  <c r="AK24" i="827"/>
  <c r="AL24" i="827"/>
  <c r="AL120" i="827"/>
  <c r="AK120" i="827"/>
  <c r="AL82" i="827"/>
  <c r="AK82" i="827"/>
  <c r="AK64" i="827"/>
  <c r="AL64" i="827"/>
  <c r="AK73" i="827"/>
  <c r="AL73" i="827"/>
  <c r="AL127" i="827"/>
  <c r="AK127" i="827"/>
  <c r="AK93" i="827"/>
  <c r="AL93" i="827"/>
  <c r="AJ84" i="827"/>
  <c r="AH84" i="827"/>
  <c r="AL22" i="827"/>
  <c r="AK22" i="827"/>
  <c r="AK7" i="827"/>
  <c r="AL7" i="827"/>
  <c r="AK58" i="827"/>
  <c r="AL58" i="827"/>
  <c r="AK5" i="827"/>
  <c r="AL5" i="827"/>
  <c r="AH65" i="827"/>
  <c r="AK89" i="827"/>
  <c r="AL89" i="827"/>
  <c r="AL50" i="827"/>
  <c r="AK50" i="827"/>
  <c r="AK17" i="827"/>
  <c r="AL17" i="827"/>
  <c r="AL100" i="827"/>
  <c r="AK100" i="827"/>
  <c r="AL39" i="827"/>
  <c r="AK39" i="827"/>
  <c r="AL29" i="827"/>
  <c r="AK29" i="827"/>
  <c r="AL74" i="827"/>
  <c r="AK74" i="827"/>
  <c r="AL52" i="827"/>
  <c r="AK52" i="827"/>
  <c r="AL72" i="827"/>
  <c r="AK72" i="827"/>
  <c r="AL66" i="827"/>
  <c r="AK66" i="827"/>
  <c r="AL102" i="827"/>
  <c r="AK102" i="827"/>
  <c r="AL75" i="827"/>
  <c r="AK75" i="827"/>
  <c r="AL14" i="827"/>
  <c r="AK14" i="827"/>
  <c r="AJ128" i="827"/>
  <c r="AH128" i="827"/>
  <c r="AL94" i="827"/>
  <c r="AK94" i="827"/>
  <c r="AH48" i="827"/>
  <c r="AK129" i="827"/>
  <c r="AL129" i="827"/>
  <c r="AL122" i="827"/>
  <c r="AK122" i="827"/>
  <c r="N26" i="826"/>
  <c r="AL118" i="827" l="1"/>
  <c r="AL113" i="827"/>
  <c r="AK68" i="827"/>
  <c r="AL70" i="827"/>
  <c r="AK81" i="827"/>
  <c r="AK42" i="827"/>
  <c r="AL59" i="827"/>
  <c r="AK101" i="827"/>
  <c r="AL101" i="827"/>
  <c r="AK48" i="827"/>
  <c r="AL48" i="827"/>
  <c r="AL92" i="827"/>
  <c r="AK92" i="827"/>
  <c r="AL60" i="827"/>
  <c r="AK60" i="827"/>
  <c r="AL11" i="827"/>
  <c r="AK11" i="827"/>
  <c r="AL65" i="827"/>
  <c r="AK65" i="827"/>
  <c r="AL126" i="827"/>
  <c r="AK126" i="827"/>
  <c r="AL51" i="827"/>
  <c r="AK51" i="827"/>
  <c r="AL107" i="827"/>
  <c r="AK107" i="827"/>
  <c r="AL136" i="827"/>
  <c r="AK136" i="827"/>
  <c r="AL117" i="827"/>
  <c r="AK117" i="827"/>
  <c r="AL125" i="827"/>
  <c r="AK125" i="827"/>
  <c r="AL40" i="827"/>
  <c r="AK40" i="827"/>
  <c r="AK63" i="827"/>
  <c r="AL63" i="827"/>
  <c r="AK38" i="827"/>
  <c r="AL38" i="827"/>
  <c r="AK18" i="827"/>
  <c r="AL18" i="827"/>
  <c r="AL111" i="827"/>
  <c r="AK111" i="827"/>
  <c r="AK61" i="827"/>
  <c r="AL61" i="827"/>
  <c r="AK13" i="827"/>
  <c r="AL13" i="827"/>
  <c r="AL115" i="827"/>
  <c r="AK115" i="827"/>
  <c r="AL84" i="827"/>
  <c r="AK84" i="827"/>
  <c r="AL91" i="827"/>
  <c r="AK91" i="827"/>
  <c r="AL98" i="827"/>
  <c r="AK98" i="827"/>
  <c r="AK19" i="827"/>
  <c r="AL19" i="827"/>
  <c r="AL134" i="827"/>
  <c r="AK134" i="827"/>
  <c r="AK53" i="827"/>
  <c r="AL53" i="827"/>
  <c r="AL128" i="827"/>
  <c r="AK128" i="827"/>
  <c r="AL135" i="827"/>
  <c r="AK135" i="827"/>
  <c r="AL56" i="827"/>
  <c r="AK56" i="827"/>
  <c r="AK28" i="827"/>
  <c r="AL28" i="827"/>
  <c r="AK85" i="827"/>
  <c r="AL85" i="827"/>
  <c r="AL80" i="827"/>
  <c r="AK80" i="827"/>
  <c r="N24" i="826"/>
  <c r="N22" i="826"/>
  <c r="AX142" i="826" l="1"/>
  <c r="AW142" i="826"/>
  <c r="AN142" i="826"/>
  <c r="AO142" i="826" s="1"/>
  <c r="U142" i="826"/>
  <c r="V142" i="826" s="1"/>
  <c r="N142" i="826"/>
  <c r="AX141" i="826"/>
  <c r="AW141" i="826"/>
  <c r="AN141" i="826"/>
  <c r="AO141" i="826" s="1"/>
  <c r="U141" i="826"/>
  <c r="V141" i="826" s="1"/>
  <c r="N141" i="826"/>
  <c r="AX140" i="826"/>
  <c r="AW140" i="826"/>
  <c r="AN140" i="826"/>
  <c r="AO140" i="826" s="1"/>
  <c r="U140" i="826"/>
  <c r="V140" i="826" s="1"/>
  <c r="N140" i="826"/>
  <c r="AX139" i="826"/>
  <c r="AW139" i="826"/>
  <c r="AN139" i="826"/>
  <c r="AO139" i="826" s="1"/>
  <c r="U139" i="826"/>
  <c r="V139" i="826" s="1"/>
  <c r="N139" i="826"/>
  <c r="AX138" i="826"/>
  <c r="AW138" i="826"/>
  <c r="AN138" i="826"/>
  <c r="AO138" i="826" s="1"/>
  <c r="U138" i="826"/>
  <c r="V138" i="826" s="1"/>
  <c r="N138" i="826"/>
  <c r="AX137" i="826"/>
  <c r="AW137" i="826"/>
  <c r="AN137" i="826"/>
  <c r="AO137" i="826" s="1"/>
  <c r="U137" i="826"/>
  <c r="V137" i="826" s="1"/>
  <c r="N137" i="826"/>
  <c r="AX136" i="826"/>
  <c r="AW136" i="826"/>
  <c r="AN136" i="826"/>
  <c r="AO136" i="826" s="1"/>
  <c r="U136" i="826"/>
  <c r="V136" i="826" s="1"/>
  <c r="N136" i="826"/>
  <c r="AX135" i="826"/>
  <c r="AW135" i="826"/>
  <c r="AN135" i="826"/>
  <c r="AO135" i="826" s="1"/>
  <c r="U135" i="826"/>
  <c r="V135" i="826" s="1"/>
  <c r="N135" i="826"/>
  <c r="AX134" i="826"/>
  <c r="AW134" i="826"/>
  <c r="AN134" i="826"/>
  <c r="AO134" i="826" s="1"/>
  <c r="U134" i="826"/>
  <c r="V134" i="826" s="1"/>
  <c r="N134" i="826"/>
  <c r="AX133" i="826"/>
  <c r="AW133" i="826"/>
  <c r="AN133" i="826"/>
  <c r="AO133" i="826" s="1"/>
  <c r="U133" i="826"/>
  <c r="V133" i="826" s="1"/>
  <c r="N133" i="826"/>
  <c r="AX132" i="826"/>
  <c r="AW132" i="826"/>
  <c r="AN132" i="826"/>
  <c r="AO132" i="826" s="1"/>
  <c r="U132" i="826"/>
  <c r="V132" i="826" s="1"/>
  <c r="N132" i="826"/>
  <c r="AX131" i="826"/>
  <c r="AW131" i="826"/>
  <c r="AN131" i="826"/>
  <c r="AO131" i="826" s="1"/>
  <c r="U131" i="826"/>
  <c r="V131" i="826" s="1"/>
  <c r="N131" i="826"/>
  <c r="AX130" i="826"/>
  <c r="AW130" i="826"/>
  <c r="AN130" i="826"/>
  <c r="AO130" i="826" s="1"/>
  <c r="U130" i="826"/>
  <c r="V130" i="826" s="1"/>
  <c r="N130" i="826"/>
  <c r="AX129" i="826"/>
  <c r="AW129" i="826"/>
  <c r="AN129" i="826"/>
  <c r="AO129" i="826" s="1"/>
  <c r="U129" i="826"/>
  <c r="V129" i="826" s="1"/>
  <c r="N129" i="826"/>
  <c r="AX128" i="826"/>
  <c r="AW128" i="826"/>
  <c r="AN128" i="826"/>
  <c r="AO128" i="826" s="1"/>
  <c r="U128" i="826"/>
  <c r="V128" i="826" s="1"/>
  <c r="N128" i="826"/>
  <c r="AX127" i="826"/>
  <c r="AW127" i="826"/>
  <c r="AN127" i="826"/>
  <c r="AO127" i="826" s="1"/>
  <c r="U127" i="826"/>
  <c r="V127" i="826" s="1"/>
  <c r="N127" i="826"/>
  <c r="AX126" i="826"/>
  <c r="AW126" i="826"/>
  <c r="AN126" i="826"/>
  <c r="AO126" i="826" s="1"/>
  <c r="U126" i="826"/>
  <c r="V126" i="826" s="1"/>
  <c r="N126" i="826"/>
  <c r="AX125" i="826"/>
  <c r="AW125" i="826"/>
  <c r="AN125" i="826"/>
  <c r="AO125" i="826" s="1"/>
  <c r="U125" i="826"/>
  <c r="V125" i="826" s="1"/>
  <c r="N125" i="826"/>
  <c r="AX124" i="826"/>
  <c r="AW124" i="826"/>
  <c r="AN124" i="826"/>
  <c r="AO124" i="826" s="1"/>
  <c r="U124" i="826"/>
  <c r="V124" i="826" s="1"/>
  <c r="N124" i="826"/>
  <c r="AX123" i="826"/>
  <c r="AW123" i="826"/>
  <c r="AN123" i="826"/>
  <c r="AO123" i="826" s="1"/>
  <c r="U123" i="826"/>
  <c r="V123" i="826" s="1"/>
  <c r="N123" i="826"/>
  <c r="AX122" i="826"/>
  <c r="AW122" i="826"/>
  <c r="AN122" i="826"/>
  <c r="AO122" i="826" s="1"/>
  <c r="U122" i="826"/>
  <c r="V122" i="826" s="1"/>
  <c r="N122" i="826"/>
  <c r="AX121" i="826"/>
  <c r="AW121" i="826"/>
  <c r="AN121" i="826"/>
  <c r="AO121" i="826" s="1"/>
  <c r="U121" i="826"/>
  <c r="V121" i="826" s="1"/>
  <c r="N121" i="826"/>
  <c r="AX120" i="826"/>
  <c r="AW120" i="826"/>
  <c r="AN120" i="826"/>
  <c r="AO120" i="826" s="1"/>
  <c r="U120" i="826"/>
  <c r="V120" i="826" s="1"/>
  <c r="N120" i="826"/>
  <c r="AX119" i="826"/>
  <c r="AW119" i="826"/>
  <c r="AN119" i="826"/>
  <c r="AO119" i="826" s="1"/>
  <c r="U119" i="826"/>
  <c r="V119" i="826" s="1"/>
  <c r="N119" i="826"/>
  <c r="AX118" i="826"/>
  <c r="AW118" i="826"/>
  <c r="AN118" i="826"/>
  <c r="AO118" i="826" s="1"/>
  <c r="U118" i="826"/>
  <c r="V118" i="826" s="1"/>
  <c r="N118" i="826"/>
  <c r="AX117" i="826"/>
  <c r="AW117" i="826"/>
  <c r="AN117" i="826"/>
  <c r="AO117" i="826" s="1"/>
  <c r="U117" i="826"/>
  <c r="V117" i="826" s="1"/>
  <c r="N117" i="826"/>
  <c r="AX116" i="826"/>
  <c r="AW116" i="826"/>
  <c r="AN116" i="826"/>
  <c r="AO116" i="826" s="1"/>
  <c r="U116" i="826"/>
  <c r="V116" i="826" s="1"/>
  <c r="N116" i="826"/>
  <c r="AX115" i="826"/>
  <c r="AW115" i="826"/>
  <c r="AN115" i="826"/>
  <c r="AO115" i="826" s="1"/>
  <c r="U115" i="826"/>
  <c r="V115" i="826" s="1"/>
  <c r="N115" i="826"/>
  <c r="AX114" i="826"/>
  <c r="AW114" i="826"/>
  <c r="AN114" i="826"/>
  <c r="AO114" i="826" s="1"/>
  <c r="U114" i="826"/>
  <c r="V114" i="826" s="1"/>
  <c r="N114" i="826"/>
  <c r="AX113" i="826"/>
  <c r="AW113" i="826"/>
  <c r="AN113" i="826"/>
  <c r="AO113" i="826" s="1"/>
  <c r="U113" i="826"/>
  <c r="V113" i="826" s="1"/>
  <c r="N113" i="826"/>
  <c r="AX112" i="826"/>
  <c r="AW112" i="826"/>
  <c r="AN112" i="826"/>
  <c r="AO112" i="826" s="1"/>
  <c r="U112" i="826"/>
  <c r="V112" i="826" s="1"/>
  <c r="N112" i="826"/>
  <c r="AX111" i="826"/>
  <c r="AW111" i="826"/>
  <c r="AN111" i="826"/>
  <c r="AO111" i="826" s="1"/>
  <c r="U111" i="826"/>
  <c r="V111" i="826" s="1"/>
  <c r="N111" i="826"/>
  <c r="AX110" i="826"/>
  <c r="AW110" i="826"/>
  <c r="AN110" i="826"/>
  <c r="AO110" i="826" s="1"/>
  <c r="U110" i="826"/>
  <c r="V110" i="826" s="1"/>
  <c r="N110" i="826"/>
  <c r="AX109" i="826"/>
  <c r="AW109" i="826"/>
  <c r="AN109" i="826"/>
  <c r="AO109" i="826" s="1"/>
  <c r="U109" i="826"/>
  <c r="V109" i="826" s="1"/>
  <c r="N109" i="826"/>
  <c r="AX108" i="826"/>
  <c r="AW108" i="826"/>
  <c r="AN108" i="826"/>
  <c r="AO108" i="826" s="1"/>
  <c r="U108" i="826"/>
  <c r="V108" i="826" s="1"/>
  <c r="N108" i="826"/>
  <c r="AX107" i="826"/>
  <c r="AW107" i="826"/>
  <c r="AN107" i="826"/>
  <c r="AO107" i="826" s="1"/>
  <c r="U107" i="826"/>
  <c r="V107" i="826" s="1"/>
  <c r="N107" i="826"/>
  <c r="AX106" i="826"/>
  <c r="AW106" i="826"/>
  <c r="AN106" i="826"/>
  <c r="AO106" i="826" s="1"/>
  <c r="U106" i="826"/>
  <c r="V106" i="826" s="1"/>
  <c r="N106" i="826"/>
  <c r="AX105" i="826"/>
  <c r="AW105" i="826"/>
  <c r="AN105" i="826"/>
  <c r="AO105" i="826" s="1"/>
  <c r="U105" i="826"/>
  <c r="V105" i="826" s="1"/>
  <c r="N105" i="826"/>
  <c r="AX104" i="826"/>
  <c r="AW104" i="826"/>
  <c r="AN104" i="826"/>
  <c r="AO104" i="826" s="1"/>
  <c r="U104" i="826"/>
  <c r="V104" i="826" s="1"/>
  <c r="N104" i="826"/>
  <c r="AX103" i="826"/>
  <c r="AW103" i="826"/>
  <c r="AN103" i="826"/>
  <c r="AO103" i="826" s="1"/>
  <c r="U103" i="826"/>
  <c r="V103" i="826" s="1"/>
  <c r="N103" i="826"/>
  <c r="AX102" i="826"/>
  <c r="AW102" i="826"/>
  <c r="AN102" i="826"/>
  <c r="AO102" i="826" s="1"/>
  <c r="U102" i="826"/>
  <c r="V102" i="826" s="1"/>
  <c r="N102" i="826"/>
  <c r="AX101" i="826"/>
  <c r="AW101" i="826"/>
  <c r="AN101" i="826"/>
  <c r="AO101" i="826" s="1"/>
  <c r="V101" i="826"/>
  <c r="U101" i="826"/>
  <c r="N101" i="826"/>
  <c r="AX100" i="826"/>
  <c r="AW100" i="826"/>
  <c r="AN100" i="826"/>
  <c r="AO100" i="826" s="1"/>
  <c r="U100" i="826"/>
  <c r="V100" i="826" s="1"/>
  <c r="N100" i="826"/>
  <c r="AX99" i="826"/>
  <c r="AW99" i="826"/>
  <c r="AN99" i="826"/>
  <c r="AO99" i="826" s="1"/>
  <c r="U99" i="826"/>
  <c r="V99" i="826" s="1"/>
  <c r="N99" i="826"/>
  <c r="AX98" i="826"/>
  <c r="AW98" i="826"/>
  <c r="AN98" i="826"/>
  <c r="AO98" i="826" s="1"/>
  <c r="U98" i="826"/>
  <c r="V98" i="826" s="1"/>
  <c r="N98" i="826"/>
  <c r="AX97" i="826"/>
  <c r="AW97" i="826"/>
  <c r="AN97" i="826"/>
  <c r="AO97" i="826" s="1"/>
  <c r="U97" i="826"/>
  <c r="V97" i="826" s="1"/>
  <c r="N97" i="826"/>
  <c r="AX96" i="826"/>
  <c r="AW96" i="826"/>
  <c r="AN96" i="826"/>
  <c r="AO96" i="826" s="1"/>
  <c r="U96" i="826"/>
  <c r="V96" i="826" s="1"/>
  <c r="N96" i="826"/>
  <c r="AX95" i="826"/>
  <c r="AW95" i="826"/>
  <c r="AN95" i="826"/>
  <c r="AO95" i="826" s="1"/>
  <c r="U95" i="826"/>
  <c r="V95" i="826" s="1"/>
  <c r="N95" i="826"/>
  <c r="AX94" i="826"/>
  <c r="AW94" i="826"/>
  <c r="AN94" i="826"/>
  <c r="AO94" i="826" s="1"/>
  <c r="U94" i="826"/>
  <c r="V94" i="826" s="1"/>
  <c r="N94" i="826"/>
  <c r="AX93" i="826"/>
  <c r="AW93" i="826"/>
  <c r="AN93" i="826"/>
  <c r="AO93" i="826" s="1"/>
  <c r="U93" i="826"/>
  <c r="V93" i="826" s="1"/>
  <c r="N93" i="826"/>
  <c r="AX92" i="826"/>
  <c r="AW92" i="826"/>
  <c r="AN92" i="826"/>
  <c r="AO92" i="826" s="1"/>
  <c r="U92" i="826"/>
  <c r="V92" i="826" s="1"/>
  <c r="N92" i="826"/>
  <c r="AX91" i="826"/>
  <c r="AW91" i="826"/>
  <c r="AN91" i="826"/>
  <c r="AO91" i="826" s="1"/>
  <c r="U91" i="826"/>
  <c r="V91" i="826" s="1"/>
  <c r="N91" i="826"/>
  <c r="AX90" i="826"/>
  <c r="AW90" i="826"/>
  <c r="AN90" i="826"/>
  <c r="AO90" i="826" s="1"/>
  <c r="AB90" i="826"/>
  <c r="AC90" i="826" s="1"/>
  <c r="AE90" i="826" s="1"/>
  <c r="U90" i="826"/>
  <c r="V90" i="826" s="1"/>
  <c r="N90" i="826"/>
  <c r="AX89" i="826"/>
  <c r="AW89" i="826"/>
  <c r="AN89" i="826"/>
  <c r="AO89" i="826" s="1"/>
  <c r="U89" i="826"/>
  <c r="V89" i="826" s="1"/>
  <c r="N89" i="826"/>
  <c r="AX88" i="826"/>
  <c r="AW88" i="826"/>
  <c r="AN88" i="826"/>
  <c r="AO88" i="826" s="1"/>
  <c r="U88" i="826"/>
  <c r="V88" i="826" s="1"/>
  <c r="N88" i="826"/>
  <c r="AX87" i="826"/>
  <c r="AW87" i="826"/>
  <c r="AN87" i="826"/>
  <c r="AO87" i="826" s="1"/>
  <c r="U87" i="826"/>
  <c r="V87" i="826" s="1"/>
  <c r="N87" i="826"/>
  <c r="AX86" i="826"/>
  <c r="AW86" i="826"/>
  <c r="AN86" i="826"/>
  <c r="AO86" i="826" s="1"/>
  <c r="U86" i="826"/>
  <c r="V86" i="826" s="1"/>
  <c r="N86" i="826"/>
  <c r="AX85" i="826"/>
  <c r="AW85" i="826"/>
  <c r="AN85" i="826"/>
  <c r="AO85" i="826" s="1"/>
  <c r="U85" i="826"/>
  <c r="V85" i="826" s="1"/>
  <c r="N85" i="826"/>
  <c r="AX84" i="826"/>
  <c r="AW84" i="826"/>
  <c r="AN84" i="826"/>
  <c r="AO84" i="826" s="1"/>
  <c r="U84" i="826"/>
  <c r="V84" i="826" s="1"/>
  <c r="N84" i="826"/>
  <c r="AX83" i="826"/>
  <c r="AW83" i="826"/>
  <c r="AN83" i="826"/>
  <c r="AO83" i="826" s="1"/>
  <c r="AB83" i="826"/>
  <c r="AC83" i="826" s="1"/>
  <c r="AE83" i="826" s="1"/>
  <c r="U83" i="826"/>
  <c r="V83" i="826" s="1"/>
  <c r="N83" i="826"/>
  <c r="AX82" i="826"/>
  <c r="AW82" i="826"/>
  <c r="AN82" i="826"/>
  <c r="AO82" i="826" s="1"/>
  <c r="U82" i="826"/>
  <c r="V82" i="826" s="1"/>
  <c r="N82" i="826"/>
  <c r="AX81" i="826"/>
  <c r="AW81" i="826"/>
  <c r="AN81" i="826"/>
  <c r="AO81" i="826" s="1"/>
  <c r="U81" i="826"/>
  <c r="V81" i="826" s="1"/>
  <c r="N81" i="826"/>
  <c r="AX80" i="826"/>
  <c r="AW80" i="826"/>
  <c r="AN80" i="826"/>
  <c r="AO80" i="826" s="1"/>
  <c r="U80" i="826"/>
  <c r="V80" i="826" s="1"/>
  <c r="N80" i="826"/>
  <c r="AX79" i="826"/>
  <c r="AW79" i="826"/>
  <c r="AN79" i="826"/>
  <c r="AO79" i="826" s="1"/>
  <c r="U79" i="826"/>
  <c r="V79" i="826" s="1"/>
  <c r="N79" i="826"/>
  <c r="AX78" i="826"/>
  <c r="AW78" i="826"/>
  <c r="AN78" i="826"/>
  <c r="AO78" i="826" s="1"/>
  <c r="U78" i="826"/>
  <c r="V78" i="826" s="1"/>
  <c r="N78" i="826"/>
  <c r="AX77" i="826"/>
  <c r="AW77" i="826"/>
  <c r="AN77" i="826"/>
  <c r="AO77" i="826" s="1"/>
  <c r="U77" i="826"/>
  <c r="V77" i="826" s="1"/>
  <c r="N77" i="826"/>
  <c r="AX76" i="826"/>
  <c r="AW76" i="826"/>
  <c r="AN76" i="826"/>
  <c r="AO76" i="826" s="1"/>
  <c r="AB76" i="826"/>
  <c r="AC76" i="826" s="1"/>
  <c r="AE76" i="826" s="1"/>
  <c r="U76" i="826"/>
  <c r="V76" i="826" s="1"/>
  <c r="N76" i="826"/>
  <c r="AX75" i="826"/>
  <c r="AW75" i="826"/>
  <c r="AN75" i="826"/>
  <c r="AO75" i="826" s="1"/>
  <c r="U75" i="826"/>
  <c r="V75" i="826" s="1"/>
  <c r="N75" i="826"/>
  <c r="AX74" i="826"/>
  <c r="AW74" i="826"/>
  <c r="AN74" i="826"/>
  <c r="AO74" i="826" s="1"/>
  <c r="U74" i="826"/>
  <c r="V74" i="826" s="1"/>
  <c r="N74" i="826"/>
  <c r="AX73" i="826"/>
  <c r="AW73" i="826"/>
  <c r="AN73" i="826"/>
  <c r="AO73" i="826" s="1"/>
  <c r="U73" i="826"/>
  <c r="V73" i="826" s="1"/>
  <c r="N73" i="826"/>
  <c r="AX72" i="826"/>
  <c r="AW72" i="826"/>
  <c r="AN72" i="826"/>
  <c r="AO72" i="826" s="1"/>
  <c r="U72" i="826"/>
  <c r="V72" i="826" s="1"/>
  <c r="N72" i="826"/>
  <c r="AX71" i="826"/>
  <c r="AW71" i="826"/>
  <c r="AN71" i="826"/>
  <c r="AO71" i="826" s="1"/>
  <c r="V71" i="826"/>
  <c r="U71" i="826"/>
  <c r="N71" i="826"/>
  <c r="AX70" i="826"/>
  <c r="AW70" i="826"/>
  <c r="AN70" i="826"/>
  <c r="AO70" i="826" s="1"/>
  <c r="U70" i="826"/>
  <c r="V70" i="826" s="1"/>
  <c r="N70" i="826"/>
  <c r="AX69" i="826"/>
  <c r="AW69" i="826"/>
  <c r="AN69" i="826"/>
  <c r="AO69" i="826" s="1"/>
  <c r="U69" i="826"/>
  <c r="V69" i="826" s="1"/>
  <c r="N69" i="826"/>
  <c r="AX68" i="826"/>
  <c r="AW68" i="826"/>
  <c r="AN68" i="826"/>
  <c r="AO68" i="826" s="1"/>
  <c r="U68" i="826"/>
  <c r="V68" i="826" s="1"/>
  <c r="N68" i="826"/>
  <c r="AX67" i="826"/>
  <c r="AW67" i="826"/>
  <c r="AN67" i="826"/>
  <c r="AO67" i="826" s="1"/>
  <c r="U67" i="826"/>
  <c r="V67" i="826" s="1"/>
  <c r="N67" i="826"/>
  <c r="AX66" i="826"/>
  <c r="AW66" i="826"/>
  <c r="AN66" i="826"/>
  <c r="AO66" i="826" s="1"/>
  <c r="U66" i="826"/>
  <c r="V66" i="826" s="1"/>
  <c r="N66" i="826"/>
  <c r="AX65" i="826"/>
  <c r="AW65" i="826"/>
  <c r="AN65" i="826"/>
  <c r="AO65" i="826" s="1"/>
  <c r="U65" i="826"/>
  <c r="V65" i="826" s="1"/>
  <c r="N65" i="826"/>
  <c r="AX64" i="826"/>
  <c r="AW64" i="826"/>
  <c r="AN64" i="826"/>
  <c r="AO64" i="826" s="1"/>
  <c r="U64" i="826"/>
  <c r="V64" i="826" s="1"/>
  <c r="N64" i="826"/>
  <c r="AX63" i="826"/>
  <c r="AW63" i="826"/>
  <c r="AN63" i="826"/>
  <c r="AO63" i="826" s="1"/>
  <c r="U63" i="826"/>
  <c r="V63" i="826" s="1"/>
  <c r="N63" i="826"/>
  <c r="AX62" i="826"/>
  <c r="AW62" i="826"/>
  <c r="AN62" i="826"/>
  <c r="AO62" i="826" s="1"/>
  <c r="U62" i="826"/>
  <c r="V62" i="826" s="1"/>
  <c r="N62" i="826"/>
  <c r="AX61" i="826"/>
  <c r="AW61" i="826"/>
  <c r="AN61" i="826"/>
  <c r="AO61" i="826" s="1"/>
  <c r="U61" i="826"/>
  <c r="V61" i="826" s="1"/>
  <c r="N61" i="826"/>
  <c r="AX60" i="826"/>
  <c r="AW60" i="826"/>
  <c r="AN60" i="826"/>
  <c r="AO60" i="826" s="1"/>
  <c r="U60" i="826"/>
  <c r="V60" i="826" s="1"/>
  <c r="N60" i="826"/>
  <c r="AX59" i="826"/>
  <c r="AW59" i="826"/>
  <c r="AN59" i="826"/>
  <c r="AO59" i="826" s="1"/>
  <c r="U59" i="826"/>
  <c r="V59" i="826" s="1"/>
  <c r="N59" i="826"/>
  <c r="AX58" i="826"/>
  <c r="AW58" i="826"/>
  <c r="AN58" i="826"/>
  <c r="AO58" i="826" s="1"/>
  <c r="U58" i="826"/>
  <c r="V58" i="826" s="1"/>
  <c r="N58" i="826"/>
  <c r="AX57" i="826"/>
  <c r="AW57" i="826"/>
  <c r="AN57" i="826"/>
  <c r="AO57" i="826" s="1"/>
  <c r="U57" i="826"/>
  <c r="V57" i="826" s="1"/>
  <c r="N57" i="826"/>
  <c r="AX56" i="826"/>
  <c r="AW56" i="826"/>
  <c r="AN56" i="826"/>
  <c r="AO56" i="826" s="1"/>
  <c r="U56" i="826"/>
  <c r="V56" i="826" s="1"/>
  <c r="N56" i="826"/>
  <c r="AX55" i="826"/>
  <c r="AW55" i="826"/>
  <c r="AN55" i="826"/>
  <c r="AO55" i="826" s="1"/>
  <c r="U55" i="826"/>
  <c r="V55" i="826" s="1"/>
  <c r="N55" i="826"/>
  <c r="AX54" i="826"/>
  <c r="AW54" i="826"/>
  <c r="AN54" i="826"/>
  <c r="AO54" i="826" s="1"/>
  <c r="U54" i="826"/>
  <c r="V54" i="826" s="1"/>
  <c r="N54" i="826"/>
  <c r="AX53" i="826"/>
  <c r="AW53" i="826"/>
  <c r="AN53" i="826"/>
  <c r="AO53" i="826" s="1"/>
  <c r="U53" i="826"/>
  <c r="V53" i="826" s="1"/>
  <c r="N53" i="826"/>
  <c r="AX52" i="826"/>
  <c r="AW52" i="826"/>
  <c r="AN52" i="826"/>
  <c r="AO52" i="826" s="1"/>
  <c r="U52" i="826"/>
  <c r="V52" i="826" s="1"/>
  <c r="N52" i="826"/>
  <c r="AX51" i="826"/>
  <c r="AW51" i="826"/>
  <c r="AN51" i="826"/>
  <c r="AO51" i="826" s="1"/>
  <c r="U51" i="826"/>
  <c r="V51" i="826" s="1"/>
  <c r="N51" i="826"/>
  <c r="AX50" i="826"/>
  <c r="AW50" i="826"/>
  <c r="AN50" i="826"/>
  <c r="AO50" i="826" s="1"/>
  <c r="U50" i="826"/>
  <c r="V50" i="826" s="1"/>
  <c r="N50" i="826"/>
  <c r="AX49" i="826"/>
  <c r="AW49" i="826"/>
  <c r="AN49" i="826"/>
  <c r="AO49" i="826" s="1"/>
  <c r="U49" i="826"/>
  <c r="V49" i="826" s="1"/>
  <c r="N49" i="826"/>
  <c r="AX48" i="826"/>
  <c r="AW48" i="826"/>
  <c r="AN48" i="826"/>
  <c r="AO48" i="826" s="1"/>
  <c r="U48" i="826"/>
  <c r="V48" i="826" s="1"/>
  <c r="N48" i="826"/>
  <c r="AX47" i="826"/>
  <c r="AW47" i="826"/>
  <c r="AN47" i="826"/>
  <c r="AO47" i="826" s="1"/>
  <c r="U47" i="826"/>
  <c r="V47" i="826" s="1"/>
  <c r="N47" i="826"/>
  <c r="AX46" i="826"/>
  <c r="AW46" i="826"/>
  <c r="AN46" i="826"/>
  <c r="AO46" i="826" s="1"/>
  <c r="U46" i="826"/>
  <c r="V46" i="826" s="1"/>
  <c r="N46" i="826"/>
  <c r="AX45" i="826"/>
  <c r="AW45" i="826"/>
  <c r="AN45" i="826"/>
  <c r="AO45" i="826" s="1"/>
  <c r="U45" i="826"/>
  <c r="V45" i="826" s="1"/>
  <c r="N45" i="826"/>
  <c r="AX44" i="826"/>
  <c r="AW44" i="826"/>
  <c r="AN44" i="826"/>
  <c r="AO44" i="826" s="1"/>
  <c r="U44" i="826"/>
  <c r="V44" i="826" s="1"/>
  <c r="N44" i="826"/>
  <c r="AX43" i="826"/>
  <c r="AW43" i="826"/>
  <c r="AN43" i="826"/>
  <c r="AO43" i="826" s="1"/>
  <c r="U43" i="826"/>
  <c r="V43" i="826" s="1"/>
  <c r="N43" i="826"/>
  <c r="AX42" i="826"/>
  <c r="AW42" i="826"/>
  <c r="AN42" i="826"/>
  <c r="AO42" i="826" s="1"/>
  <c r="U42" i="826"/>
  <c r="V42" i="826" s="1"/>
  <c r="N42" i="826"/>
  <c r="AX41" i="826"/>
  <c r="AW41" i="826"/>
  <c r="AN41" i="826"/>
  <c r="AO41" i="826" s="1"/>
  <c r="AB41" i="826"/>
  <c r="AC41" i="826" s="1"/>
  <c r="AE41" i="826" s="1"/>
  <c r="U41" i="826"/>
  <c r="V41" i="826" s="1"/>
  <c r="N41" i="826"/>
  <c r="AX40" i="826"/>
  <c r="AW40" i="826"/>
  <c r="AN40" i="826"/>
  <c r="AO40" i="826" s="1"/>
  <c r="U40" i="826"/>
  <c r="V40" i="826" s="1"/>
  <c r="N40" i="826"/>
  <c r="AX39" i="826"/>
  <c r="AW39" i="826"/>
  <c r="AN39" i="826"/>
  <c r="AO39" i="826" s="1"/>
  <c r="V39" i="826"/>
  <c r="U39" i="826"/>
  <c r="N39" i="826"/>
  <c r="AX38" i="826"/>
  <c r="AW38" i="826"/>
  <c r="AN38" i="826"/>
  <c r="AO38" i="826" s="1"/>
  <c r="U38" i="826"/>
  <c r="V38" i="826" s="1"/>
  <c r="N38" i="826"/>
  <c r="AX37" i="826"/>
  <c r="AW37" i="826"/>
  <c r="AN37" i="826"/>
  <c r="AO37" i="826" s="1"/>
  <c r="U37" i="826"/>
  <c r="V37" i="826" s="1"/>
  <c r="N37" i="826"/>
  <c r="AX36" i="826"/>
  <c r="AW36" i="826"/>
  <c r="AN36" i="826"/>
  <c r="AO36" i="826" s="1"/>
  <c r="U36" i="826"/>
  <c r="V36" i="826" s="1"/>
  <c r="N36" i="826"/>
  <c r="AX35" i="826"/>
  <c r="AW35" i="826"/>
  <c r="AN35" i="826"/>
  <c r="AO35" i="826" s="1"/>
  <c r="U35" i="826"/>
  <c r="V35" i="826" s="1"/>
  <c r="N35" i="826"/>
  <c r="AX34" i="826"/>
  <c r="AW34" i="826"/>
  <c r="AN34" i="826"/>
  <c r="AO34" i="826" s="1"/>
  <c r="U34" i="826"/>
  <c r="V34" i="826" s="1"/>
  <c r="N34" i="826"/>
  <c r="AX33" i="826"/>
  <c r="AW33" i="826"/>
  <c r="AN33" i="826"/>
  <c r="AO33" i="826" s="1"/>
  <c r="U33" i="826"/>
  <c r="V33" i="826" s="1"/>
  <c r="N33" i="826"/>
  <c r="AX32" i="826"/>
  <c r="AW32" i="826"/>
  <c r="AN32" i="826"/>
  <c r="AO32" i="826" s="1"/>
  <c r="U32" i="826"/>
  <c r="V32" i="826" s="1"/>
  <c r="N32" i="826"/>
  <c r="AX31" i="826"/>
  <c r="AW31" i="826"/>
  <c r="AN31" i="826"/>
  <c r="AO31" i="826" s="1"/>
  <c r="U31" i="826"/>
  <c r="V31" i="826" s="1"/>
  <c r="N31" i="826"/>
  <c r="AX30" i="826"/>
  <c r="AW30" i="826"/>
  <c r="AN30" i="826"/>
  <c r="AO30" i="826" s="1"/>
  <c r="U30" i="826"/>
  <c r="V30" i="826" s="1"/>
  <c r="N30" i="826"/>
  <c r="AX29" i="826"/>
  <c r="AW29" i="826"/>
  <c r="AN29" i="826"/>
  <c r="AO29" i="826" s="1"/>
  <c r="U29" i="826"/>
  <c r="V29" i="826" s="1"/>
  <c r="N29" i="826"/>
  <c r="AX28" i="826"/>
  <c r="AW28" i="826"/>
  <c r="AN28" i="826"/>
  <c r="AO28" i="826" s="1"/>
  <c r="U28" i="826"/>
  <c r="V28" i="826" s="1"/>
  <c r="N28" i="826"/>
  <c r="AX27" i="826"/>
  <c r="AW27" i="826"/>
  <c r="AN27" i="826"/>
  <c r="AO27" i="826" s="1"/>
  <c r="U27" i="826"/>
  <c r="V27" i="826" s="1"/>
  <c r="N27" i="826"/>
  <c r="AX25" i="826"/>
  <c r="AW25" i="826"/>
  <c r="AN25" i="826"/>
  <c r="AO25" i="826" s="1"/>
  <c r="U25" i="826"/>
  <c r="V25" i="826" s="1"/>
  <c r="N25" i="826"/>
  <c r="AX23" i="826"/>
  <c r="AW23" i="826"/>
  <c r="AN23" i="826"/>
  <c r="AO23" i="826" s="1"/>
  <c r="U23" i="826"/>
  <c r="V23" i="826" s="1"/>
  <c r="N23" i="826"/>
  <c r="AX21" i="826"/>
  <c r="AW21" i="826"/>
  <c r="AN21" i="826"/>
  <c r="AO21" i="826" s="1"/>
  <c r="V21" i="826"/>
  <c r="U21" i="826"/>
  <c r="N21" i="826"/>
  <c r="N20" i="826"/>
  <c r="AX19" i="826"/>
  <c r="AW19" i="826"/>
  <c r="AN19" i="826"/>
  <c r="AO19" i="826" s="1"/>
  <c r="U19" i="826"/>
  <c r="V19" i="826" s="1"/>
  <c r="N19" i="826"/>
  <c r="N18" i="826"/>
  <c r="AX17" i="826"/>
  <c r="AW17" i="826"/>
  <c r="AN17" i="826"/>
  <c r="AO17" i="826" s="1"/>
  <c r="U17" i="826"/>
  <c r="V17" i="826" s="1"/>
  <c r="N17" i="826"/>
  <c r="N16" i="826"/>
  <c r="AX15" i="826"/>
  <c r="AW15" i="826"/>
  <c r="AN15" i="826"/>
  <c r="AO15" i="826" s="1"/>
  <c r="U15" i="826"/>
  <c r="V15" i="826" s="1"/>
  <c r="N15" i="826"/>
  <c r="N14" i="826"/>
  <c r="AX13" i="826"/>
  <c r="AW13" i="826"/>
  <c r="AN13" i="826"/>
  <c r="AO13" i="826" s="1"/>
  <c r="U13" i="826"/>
  <c r="V13" i="826" s="1"/>
  <c r="N13" i="826"/>
  <c r="N12" i="826"/>
  <c r="AX11" i="826"/>
  <c r="AW11" i="826"/>
  <c r="AN11" i="826"/>
  <c r="AO11" i="826" s="1"/>
  <c r="U11" i="826"/>
  <c r="V11" i="826" s="1"/>
  <c r="N11" i="826"/>
  <c r="N10" i="826"/>
  <c r="AX9" i="826"/>
  <c r="AW9" i="826"/>
  <c r="AN9" i="826"/>
  <c r="AO9" i="826" s="1"/>
  <c r="AB9" i="826"/>
  <c r="AC9" i="826" s="1"/>
  <c r="AE9" i="826" s="1"/>
  <c r="U9" i="826"/>
  <c r="V9" i="826" s="1"/>
  <c r="N9" i="826"/>
  <c r="N8" i="826"/>
  <c r="AX7" i="826"/>
  <c r="AW7" i="826"/>
  <c r="AN7" i="826"/>
  <c r="AO7" i="826" s="1"/>
  <c r="U7" i="826"/>
  <c r="V7" i="826" s="1"/>
  <c r="N7" i="826"/>
  <c r="N6" i="826"/>
  <c r="AX5" i="826"/>
  <c r="AW5" i="826"/>
  <c r="AN5" i="826"/>
  <c r="AO5" i="826" s="1"/>
  <c r="U5" i="826"/>
  <c r="V5" i="826" s="1"/>
  <c r="N5" i="826"/>
  <c r="AS2" i="826"/>
  <c r="AA2" i="826"/>
  <c r="AD2" i="826" s="1"/>
  <c r="I2" i="826"/>
  <c r="AB127" i="826" s="1"/>
  <c r="AC127" i="826" s="1"/>
  <c r="AE127" i="826" s="1"/>
  <c r="AB93" i="826" l="1"/>
  <c r="AC93" i="826" s="1"/>
  <c r="AE93" i="826" s="1"/>
  <c r="AH93" i="826" s="1"/>
  <c r="AJ9" i="826"/>
  <c r="AB136" i="826"/>
  <c r="AC136" i="826" s="1"/>
  <c r="AE136" i="826" s="1"/>
  <c r="AH136" i="826" s="1"/>
  <c r="AK136" i="826" s="1"/>
  <c r="AB15" i="826"/>
  <c r="AC15" i="826" s="1"/>
  <c r="AE15" i="826" s="1"/>
  <c r="AH15" i="826" s="1"/>
  <c r="AK15" i="826" s="1"/>
  <c r="AB137" i="826"/>
  <c r="AC137" i="826" s="1"/>
  <c r="AE137" i="826" s="1"/>
  <c r="AB85" i="826"/>
  <c r="AC85" i="826" s="1"/>
  <c r="AE85" i="826" s="1"/>
  <c r="AB56" i="826"/>
  <c r="AC56" i="826" s="1"/>
  <c r="AE56" i="826" s="1"/>
  <c r="AH56" i="826" s="1"/>
  <c r="AB122" i="826"/>
  <c r="AC122" i="826" s="1"/>
  <c r="AE122" i="826" s="1"/>
  <c r="AH122" i="826" s="1"/>
  <c r="AB29" i="826"/>
  <c r="AC29" i="826" s="1"/>
  <c r="AE29" i="826" s="1"/>
  <c r="AJ29" i="826" s="1"/>
  <c r="AB133" i="826"/>
  <c r="AC133" i="826" s="1"/>
  <c r="AE133" i="826" s="1"/>
  <c r="AB119" i="826"/>
  <c r="AC119" i="826" s="1"/>
  <c r="AE119" i="826" s="1"/>
  <c r="AJ119" i="826" s="1"/>
  <c r="AB140" i="826"/>
  <c r="AC140" i="826" s="1"/>
  <c r="AE140" i="826" s="1"/>
  <c r="AH140" i="826" s="1"/>
  <c r="AB42" i="826"/>
  <c r="AC42" i="826" s="1"/>
  <c r="AE42" i="826" s="1"/>
  <c r="AH42" i="826" s="1"/>
  <c r="AL42" i="826" s="1"/>
  <c r="AB53" i="826"/>
  <c r="AC53" i="826" s="1"/>
  <c r="AE53" i="826" s="1"/>
  <c r="AH53" i="826" s="1"/>
  <c r="AB94" i="826"/>
  <c r="AC94" i="826" s="1"/>
  <c r="AE94" i="826" s="1"/>
  <c r="AJ94" i="826" s="1"/>
  <c r="AB101" i="826"/>
  <c r="AC101" i="826" s="1"/>
  <c r="AE101" i="826" s="1"/>
  <c r="AH101" i="826" s="1"/>
  <c r="AB5" i="826"/>
  <c r="AC5" i="826" s="1"/>
  <c r="AE5" i="826" s="1"/>
  <c r="AH5" i="826" s="1"/>
  <c r="AB21" i="826"/>
  <c r="AC21" i="826" s="1"/>
  <c r="AE21" i="826" s="1"/>
  <c r="AH21" i="826" s="1"/>
  <c r="AJ36" i="826"/>
  <c r="AB74" i="826"/>
  <c r="AC74" i="826" s="1"/>
  <c r="AE74" i="826" s="1"/>
  <c r="AB116" i="826"/>
  <c r="AC116" i="826" s="1"/>
  <c r="AE116" i="826" s="1"/>
  <c r="AB33" i="826"/>
  <c r="AC33" i="826" s="1"/>
  <c r="AE33" i="826" s="1"/>
  <c r="AH33" i="826" s="1"/>
  <c r="AB36" i="826"/>
  <c r="AC36" i="826" s="1"/>
  <c r="AE36" i="826" s="1"/>
  <c r="AB50" i="826"/>
  <c r="AC50" i="826" s="1"/>
  <c r="AE50" i="826" s="1"/>
  <c r="AJ50" i="826" s="1"/>
  <c r="AB71" i="826"/>
  <c r="AC71" i="826" s="1"/>
  <c r="AE71" i="826" s="1"/>
  <c r="AJ71" i="826" s="1"/>
  <c r="AB72" i="826"/>
  <c r="AC72" i="826" s="1"/>
  <c r="AE72" i="826" s="1"/>
  <c r="AJ72" i="826" s="1"/>
  <c r="AB75" i="826"/>
  <c r="AC75" i="826" s="1"/>
  <c r="AE75" i="826" s="1"/>
  <c r="AH75" i="826" s="1"/>
  <c r="AB92" i="826"/>
  <c r="AC92" i="826" s="1"/>
  <c r="AE92" i="826" s="1"/>
  <c r="AH92" i="826" s="1"/>
  <c r="AB99" i="826"/>
  <c r="AC99" i="826" s="1"/>
  <c r="AE99" i="826" s="1"/>
  <c r="AJ99" i="826" s="1"/>
  <c r="AB34" i="826"/>
  <c r="AC34" i="826" s="1"/>
  <c r="AE34" i="826" s="1"/>
  <c r="AJ34" i="826" s="1"/>
  <c r="AB51" i="826"/>
  <c r="AC51" i="826" s="1"/>
  <c r="AE51" i="826" s="1"/>
  <c r="AB69" i="826"/>
  <c r="AC69" i="826" s="1"/>
  <c r="AE69" i="826" s="1"/>
  <c r="AJ69" i="826" s="1"/>
  <c r="AB135" i="826"/>
  <c r="AC135" i="826" s="1"/>
  <c r="AE135" i="826" s="1"/>
  <c r="AJ135" i="826" s="1"/>
  <c r="AB13" i="826"/>
  <c r="AC13" i="826" s="1"/>
  <c r="AE13" i="826" s="1"/>
  <c r="AJ13" i="826" s="1"/>
  <c r="AB31" i="826"/>
  <c r="AC31" i="826" s="1"/>
  <c r="AE31" i="826" s="1"/>
  <c r="AH31" i="826" s="1"/>
  <c r="AB114" i="826"/>
  <c r="AC114" i="826" s="1"/>
  <c r="AE114" i="826" s="1"/>
  <c r="AJ114" i="826" s="1"/>
  <c r="AB96" i="826"/>
  <c r="AC96" i="826" s="1"/>
  <c r="AE96" i="826" s="1"/>
  <c r="AH96" i="826" s="1"/>
  <c r="AB103" i="826"/>
  <c r="AC103" i="826" s="1"/>
  <c r="AE103" i="826" s="1"/>
  <c r="AJ103" i="826" s="1"/>
  <c r="AB132" i="826"/>
  <c r="AC132" i="826" s="1"/>
  <c r="AE132" i="826" s="1"/>
  <c r="AJ132" i="826" s="1"/>
  <c r="AB19" i="826"/>
  <c r="AC19" i="826" s="1"/>
  <c r="AE19" i="826" s="1"/>
  <c r="AJ19" i="826" s="1"/>
  <c r="AB25" i="826"/>
  <c r="AC25" i="826" s="1"/>
  <c r="AE25" i="826" s="1"/>
  <c r="AH25" i="826" s="1"/>
  <c r="AB79" i="826"/>
  <c r="AC79" i="826" s="1"/>
  <c r="AE79" i="826" s="1"/>
  <c r="AB86" i="826"/>
  <c r="AC86" i="826" s="1"/>
  <c r="AE86" i="826" s="1"/>
  <c r="AB107" i="826"/>
  <c r="AC107" i="826" s="1"/>
  <c r="AE107" i="826" s="1"/>
  <c r="AJ107" i="826" s="1"/>
  <c r="AB125" i="826"/>
  <c r="AC125" i="826" s="1"/>
  <c r="AE125" i="826" s="1"/>
  <c r="AJ125" i="826" s="1"/>
  <c r="AB59" i="826"/>
  <c r="AC59" i="826" s="1"/>
  <c r="AE59" i="826" s="1"/>
  <c r="AJ59" i="826" s="1"/>
  <c r="AL93" i="826"/>
  <c r="AK93" i="826"/>
  <c r="AH107" i="826"/>
  <c r="AH85" i="826"/>
  <c r="AJ85" i="826"/>
  <c r="AJ51" i="826"/>
  <c r="AH51" i="826"/>
  <c r="AJ96" i="826"/>
  <c r="AL136" i="826"/>
  <c r="AJ116" i="826"/>
  <c r="AH116" i="826"/>
  <c r="AJ76" i="826"/>
  <c r="AH76" i="826"/>
  <c r="AJ127" i="826"/>
  <c r="AH127" i="826"/>
  <c r="AH36" i="826"/>
  <c r="AH121" i="826"/>
  <c r="AJ121" i="826"/>
  <c r="AH86" i="826"/>
  <c r="AJ86" i="826"/>
  <c r="AH59" i="826"/>
  <c r="AH133" i="826"/>
  <c r="AJ133" i="826"/>
  <c r="AJ40" i="826"/>
  <c r="AJ74" i="826"/>
  <c r="AJ137" i="826"/>
  <c r="AH137" i="826"/>
  <c r="AH74" i="826"/>
  <c r="AH50" i="826"/>
  <c r="AH68" i="826"/>
  <c r="AJ68" i="826"/>
  <c r="AH9" i="826"/>
  <c r="AJ90" i="826"/>
  <c r="AH90" i="826"/>
  <c r="AJ25" i="826"/>
  <c r="AB97" i="826"/>
  <c r="AC97" i="826" s="1"/>
  <c r="AE97" i="826" s="1"/>
  <c r="AJ97" i="826" s="1"/>
  <c r="AB120" i="826"/>
  <c r="AC120" i="826" s="1"/>
  <c r="AE120" i="826" s="1"/>
  <c r="AJ120" i="826" s="1"/>
  <c r="AB129" i="826"/>
  <c r="AC129" i="826" s="1"/>
  <c r="AE129" i="826" s="1"/>
  <c r="AH129" i="826" s="1"/>
  <c r="AJ83" i="826"/>
  <c r="AH83" i="826"/>
  <c r="AH79" i="826"/>
  <c r="AJ79" i="826"/>
  <c r="AJ110" i="826"/>
  <c r="AJ75" i="826"/>
  <c r="AH65" i="826"/>
  <c r="AH84" i="826"/>
  <c r="AJ41" i="826"/>
  <c r="AH41" i="826"/>
  <c r="AJ56" i="826"/>
  <c r="AB138" i="826"/>
  <c r="AC138" i="826" s="1"/>
  <c r="AE138" i="826" s="1"/>
  <c r="AB128" i="826"/>
  <c r="AC128" i="826" s="1"/>
  <c r="AE128" i="826" s="1"/>
  <c r="AB118" i="826"/>
  <c r="AC118" i="826" s="1"/>
  <c r="AE118" i="826" s="1"/>
  <c r="AJ118" i="826" s="1"/>
  <c r="AB108" i="826"/>
  <c r="AC108" i="826" s="1"/>
  <c r="AE108" i="826" s="1"/>
  <c r="AJ108" i="826" s="1"/>
  <c r="AB98" i="826"/>
  <c r="AC98" i="826" s="1"/>
  <c r="AE98" i="826" s="1"/>
  <c r="AH98" i="826" s="1"/>
  <c r="AB88" i="826"/>
  <c r="AC88" i="826" s="1"/>
  <c r="AE88" i="826" s="1"/>
  <c r="AJ88" i="826" s="1"/>
  <c r="AB78" i="826"/>
  <c r="AC78" i="826" s="1"/>
  <c r="AE78" i="826" s="1"/>
  <c r="AJ78" i="826" s="1"/>
  <c r="AB68" i="826"/>
  <c r="AC68" i="826" s="1"/>
  <c r="AE68" i="826" s="1"/>
  <c r="AB58" i="826"/>
  <c r="AC58" i="826" s="1"/>
  <c r="AE58" i="826" s="1"/>
  <c r="AJ58" i="826" s="1"/>
  <c r="AB48" i="826"/>
  <c r="AC48" i="826" s="1"/>
  <c r="AE48" i="826" s="1"/>
  <c r="AH48" i="826" s="1"/>
  <c r="AB38" i="826"/>
  <c r="AC38" i="826" s="1"/>
  <c r="AE38" i="826" s="1"/>
  <c r="AJ38" i="826" s="1"/>
  <c r="AB28" i="826"/>
  <c r="AC28" i="826" s="1"/>
  <c r="AE28" i="826" s="1"/>
  <c r="AH28" i="826" s="1"/>
  <c r="AB17" i="826"/>
  <c r="AC17" i="826" s="1"/>
  <c r="AE17" i="826" s="1"/>
  <c r="AH17" i="826" s="1"/>
  <c r="AB115" i="826"/>
  <c r="AC115" i="826" s="1"/>
  <c r="AE115" i="826" s="1"/>
  <c r="AB112" i="826"/>
  <c r="AC112" i="826" s="1"/>
  <c r="AE112" i="826" s="1"/>
  <c r="AJ112" i="826" s="1"/>
  <c r="AB109" i="826"/>
  <c r="AC109" i="826" s="1"/>
  <c r="AE109" i="826" s="1"/>
  <c r="AB70" i="826"/>
  <c r="AC70" i="826" s="1"/>
  <c r="AE70" i="826" s="1"/>
  <c r="AB67" i="826"/>
  <c r="AC67" i="826" s="1"/>
  <c r="AE67" i="826" s="1"/>
  <c r="AH67" i="826" s="1"/>
  <c r="AB64" i="826"/>
  <c r="AC64" i="826" s="1"/>
  <c r="AE64" i="826" s="1"/>
  <c r="AH64" i="826" s="1"/>
  <c r="AB30" i="826"/>
  <c r="AC30" i="826" s="1"/>
  <c r="AE30" i="826" s="1"/>
  <c r="AH30" i="826" s="1"/>
  <c r="AB27" i="826"/>
  <c r="AC27" i="826" s="1"/>
  <c r="AE27" i="826" s="1"/>
  <c r="AJ27" i="826" s="1"/>
  <c r="AB23" i="826"/>
  <c r="AC23" i="826" s="1"/>
  <c r="AE23" i="826" s="1"/>
  <c r="AJ23" i="826" s="1"/>
  <c r="AB61" i="826"/>
  <c r="AC61" i="826" s="1"/>
  <c r="AE61" i="826" s="1"/>
  <c r="AB55" i="826"/>
  <c r="AC55" i="826" s="1"/>
  <c r="AE55" i="826" s="1"/>
  <c r="AJ55" i="826" s="1"/>
  <c r="AB141" i="826"/>
  <c r="AC141" i="826" s="1"/>
  <c r="AE141" i="826" s="1"/>
  <c r="AB105" i="826"/>
  <c r="AC105" i="826" s="1"/>
  <c r="AE105" i="826" s="1"/>
  <c r="AH105" i="826" s="1"/>
  <c r="AB62" i="826"/>
  <c r="AC62" i="826" s="1"/>
  <c r="AE62" i="826" s="1"/>
  <c r="AH62" i="826" s="1"/>
  <c r="AB40" i="826"/>
  <c r="AC40" i="826" s="1"/>
  <c r="AE40" i="826" s="1"/>
  <c r="AH40" i="826" s="1"/>
  <c r="AB81" i="826"/>
  <c r="AC81" i="826" s="1"/>
  <c r="AE81" i="826" s="1"/>
  <c r="AB32" i="826"/>
  <c r="AC32" i="826" s="1"/>
  <c r="AE32" i="826" s="1"/>
  <c r="AH32" i="826" s="1"/>
  <c r="AB126" i="826"/>
  <c r="AC126" i="826" s="1"/>
  <c r="AE126" i="826" s="1"/>
  <c r="AH126" i="826" s="1"/>
  <c r="AB57" i="826"/>
  <c r="AC57" i="826" s="1"/>
  <c r="AE57" i="826" s="1"/>
  <c r="AJ57" i="826" s="1"/>
  <c r="AB134" i="826"/>
  <c r="AC134" i="826" s="1"/>
  <c r="AE134" i="826" s="1"/>
  <c r="AH134" i="826" s="1"/>
  <c r="AB73" i="826"/>
  <c r="AC73" i="826" s="1"/>
  <c r="AE73" i="826" s="1"/>
  <c r="AJ73" i="826" s="1"/>
  <c r="AB49" i="826"/>
  <c r="AC49" i="826" s="1"/>
  <c r="AE49" i="826" s="1"/>
  <c r="AH49" i="826" s="1"/>
  <c r="AB35" i="826"/>
  <c r="AC35" i="826" s="1"/>
  <c r="AE35" i="826" s="1"/>
  <c r="AH35" i="826" s="1"/>
  <c r="AB121" i="826"/>
  <c r="AC121" i="826" s="1"/>
  <c r="AE121" i="826" s="1"/>
  <c r="AB113" i="826"/>
  <c r="AC113" i="826" s="1"/>
  <c r="AE113" i="826" s="1"/>
  <c r="AH113" i="826" s="1"/>
  <c r="AB87" i="826"/>
  <c r="AC87" i="826" s="1"/>
  <c r="AE87" i="826" s="1"/>
  <c r="AH87" i="826" s="1"/>
  <c r="AB52" i="826"/>
  <c r="AC52" i="826" s="1"/>
  <c r="AE52" i="826" s="1"/>
  <c r="AJ52" i="826" s="1"/>
  <c r="AB123" i="826"/>
  <c r="AC123" i="826" s="1"/>
  <c r="AE123" i="826" s="1"/>
  <c r="AH123" i="826" s="1"/>
  <c r="AB95" i="826"/>
  <c r="AC95" i="826" s="1"/>
  <c r="AE95" i="826" s="1"/>
  <c r="AJ95" i="826" s="1"/>
  <c r="AB54" i="826"/>
  <c r="AC54" i="826" s="1"/>
  <c r="AE54" i="826" s="1"/>
  <c r="AB43" i="826"/>
  <c r="AC43" i="826" s="1"/>
  <c r="AE43" i="826" s="1"/>
  <c r="AH43" i="826" s="1"/>
  <c r="AB139" i="826"/>
  <c r="AC139" i="826" s="1"/>
  <c r="AE139" i="826" s="1"/>
  <c r="AJ139" i="826" s="1"/>
  <c r="AB84" i="826"/>
  <c r="AC84" i="826" s="1"/>
  <c r="AE84" i="826" s="1"/>
  <c r="AJ84" i="826" s="1"/>
  <c r="AB131" i="826"/>
  <c r="AC131" i="826" s="1"/>
  <c r="AE131" i="826" s="1"/>
  <c r="AB110" i="826"/>
  <c r="AC110" i="826" s="1"/>
  <c r="AE110" i="826" s="1"/>
  <c r="AH110" i="826" s="1"/>
  <c r="AB65" i="826"/>
  <c r="AC65" i="826" s="1"/>
  <c r="AE65" i="826" s="1"/>
  <c r="AJ65" i="826" s="1"/>
  <c r="AB46" i="826"/>
  <c r="AC46" i="826" s="1"/>
  <c r="AE46" i="826" s="1"/>
  <c r="AB100" i="826"/>
  <c r="AC100" i="826" s="1"/>
  <c r="AE100" i="826" s="1"/>
  <c r="AJ100" i="826" s="1"/>
  <c r="AB117" i="826"/>
  <c r="AC117" i="826" s="1"/>
  <c r="AE117" i="826" s="1"/>
  <c r="AH117" i="826" s="1"/>
  <c r="AB60" i="826"/>
  <c r="AC60" i="826" s="1"/>
  <c r="AE60" i="826" s="1"/>
  <c r="AJ60" i="826" s="1"/>
  <c r="AB47" i="826"/>
  <c r="AC47" i="826" s="1"/>
  <c r="AE47" i="826" s="1"/>
  <c r="AJ47" i="826" s="1"/>
  <c r="AB45" i="826"/>
  <c r="AC45" i="826" s="1"/>
  <c r="AE45" i="826" s="1"/>
  <c r="AH45" i="826" s="1"/>
  <c r="AB91" i="826"/>
  <c r="AC91" i="826" s="1"/>
  <c r="AE91" i="826" s="1"/>
  <c r="AJ91" i="826" s="1"/>
  <c r="AB89" i="826"/>
  <c r="AC89" i="826" s="1"/>
  <c r="AE89" i="826" s="1"/>
  <c r="AH89" i="826" s="1"/>
  <c r="AB66" i="826"/>
  <c r="AC66" i="826" s="1"/>
  <c r="AE66" i="826" s="1"/>
  <c r="AJ66" i="826" s="1"/>
  <c r="AB124" i="826"/>
  <c r="AC124" i="826" s="1"/>
  <c r="AE124" i="826" s="1"/>
  <c r="AH124" i="826" s="1"/>
  <c r="AB39" i="826"/>
  <c r="AC39" i="826" s="1"/>
  <c r="AE39" i="826" s="1"/>
  <c r="AB37" i="826"/>
  <c r="AC37" i="826" s="1"/>
  <c r="AE37" i="826" s="1"/>
  <c r="AH37" i="826" s="1"/>
  <c r="AB106" i="826"/>
  <c r="AC106" i="826" s="1"/>
  <c r="AE106" i="826" s="1"/>
  <c r="AH106" i="826" s="1"/>
  <c r="AB102" i="826"/>
  <c r="AC102" i="826" s="1"/>
  <c r="AE102" i="826" s="1"/>
  <c r="AH102" i="826" s="1"/>
  <c r="AB77" i="826"/>
  <c r="AC77" i="826" s="1"/>
  <c r="AE77" i="826" s="1"/>
  <c r="AJ77" i="826" s="1"/>
  <c r="AB7" i="826"/>
  <c r="AC7" i="826" s="1"/>
  <c r="AE7" i="826" s="1"/>
  <c r="AH7" i="826" s="1"/>
  <c r="AB130" i="826"/>
  <c r="AC130" i="826" s="1"/>
  <c r="AE130" i="826" s="1"/>
  <c r="AJ130" i="826" s="1"/>
  <c r="AB104" i="826"/>
  <c r="AC104" i="826" s="1"/>
  <c r="AE104" i="826" s="1"/>
  <c r="AH104" i="826" s="1"/>
  <c r="AB142" i="826"/>
  <c r="AC142" i="826" s="1"/>
  <c r="AE142" i="826" s="1"/>
  <c r="AJ142" i="826" s="1"/>
  <c r="AB11" i="826"/>
  <c r="AC11" i="826" s="1"/>
  <c r="AE11" i="826" s="1"/>
  <c r="AJ11" i="826" s="1"/>
  <c r="AH29" i="826"/>
  <c r="AB80" i="826"/>
  <c r="AC80" i="826" s="1"/>
  <c r="AE80" i="826" s="1"/>
  <c r="AJ80" i="826" s="1"/>
  <c r="AB44" i="826"/>
  <c r="AC44" i="826" s="1"/>
  <c r="AE44" i="826" s="1"/>
  <c r="AH44" i="826" s="1"/>
  <c r="AH46" i="826"/>
  <c r="AJ46" i="826"/>
  <c r="AB63" i="826"/>
  <c r="AC63" i="826" s="1"/>
  <c r="AE63" i="826" s="1"/>
  <c r="AJ63" i="826" s="1"/>
  <c r="AB82" i="826"/>
  <c r="AC82" i="826" s="1"/>
  <c r="AE82" i="826" s="1"/>
  <c r="AH82" i="826" s="1"/>
  <c r="AJ93" i="826"/>
  <c r="AB111" i="826"/>
  <c r="AC111" i="826" s="1"/>
  <c r="AE111" i="826" s="1"/>
  <c r="AH111" i="826" s="1"/>
  <c r="AJ136" i="826"/>
  <c r="AB13" i="825"/>
  <c r="AH103" i="826" l="1"/>
  <c r="AH73" i="826"/>
  <c r="AH34" i="826"/>
  <c r="AJ42" i="826"/>
  <c r="AH38" i="826"/>
  <c r="AK38" i="826" s="1"/>
  <c r="AJ134" i="826"/>
  <c r="AH91" i="826"/>
  <c r="AL91" i="826" s="1"/>
  <c r="AJ35" i="826"/>
  <c r="AJ126" i="826"/>
  <c r="AJ117" i="826"/>
  <c r="AJ101" i="826"/>
  <c r="AH100" i="826"/>
  <c r="AJ44" i="826"/>
  <c r="AJ32" i="826"/>
  <c r="AH132" i="826"/>
  <c r="AL132" i="826" s="1"/>
  <c r="AJ49" i="826"/>
  <c r="AJ33" i="826"/>
  <c r="AJ122" i="826"/>
  <c r="AJ106" i="826"/>
  <c r="AH142" i="826"/>
  <c r="AK142" i="826" s="1"/>
  <c r="AH125" i="826"/>
  <c r="AJ48" i="826"/>
  <c r="AL15" i="826"/>
  <c r="AK75" i="826"/>
  <c r="AL75" i="826"/>
  <c r="AJ104" i="826"/>
  <c r="AH135" i="826"/>
  <c r="AL135" i="826" s="1"/>
  <c r="AH78" i="826"/>
  <c r="AJ53" i="826"/>
  <c r="AJ62" i="826"/>
  <c r="AH114" i="826"/>
  <c r="AJ31" i="826"/>
  <c r="AJ105" i="826"/>
  <c r="AH99" i="826"/>
  <c r="AL99" i="826" s="1"/>
  <c r="AJ92" i="826"/>
  <c r="AJ45" i="826"/>
  <c r="AH19" i="826"/>
  <c r="AL19" i="826" s="1"/>
  <c r="AH118" i="826"/>
  <c r="AL118" i="826" s="1"/>
  <c r="AH119" i="826"/>
  <c r="AL119" i="826" s="1"/>
  <c r="AK42" i="826"/>
  <c r="AH72" i="826"/>
  <c r="AJ5" i="826"/>
  <c r="AJ28" i="826"/>
  <c r="AJ17" i="826"/>
  <c r="AH69" i="826"/>
  <c r="AJ21" i="826"/>
  <c r="AH94" i="826"/>
  <c r="AK94" i="826" s="1"/>
  <c r="AJ67" i="826"/>
  <c r="AH57" i="826"/>
  <c r="AL57" i="826" s="1"/>
  <c r="AH11" i="826"/>
  <c r="AK11" i="826" s="1"/>
  <c r="AH88" i="826"/>
  <c r="AH95" i="826"/>
  <c r="AH80" i="826"/>
  <c r="AJ89" i="826"/>
  <c r="AJ129" i="826"/>
  <c r="AH71" i="826"/>
  <c r="AL71" i="826" s="1"/>
  <c r="AJ102" i="826"/>
  <c r="AJ140" i="826"/>
  <c r="AH13" i="826"/>
  <c r="AL13" i="826" s="1"/>
  <c r="AJ15" i="826"/>
  <c r="AK82" i="826"/>
  <c r="AL82" i="826"/>
  <c r="AL67" i="826"/>
  <c r="AK67" i="826"/>
  <c r="AL44" i="826"/>
  <c r="AK44" i="826"/>
  <c r="AL124" i="826"/>
  <c r="AK124" i="826"/>
  <c r="AK113" i="826"/>
  <c r="AL113" i="826"/>
  <c r="AL89" i="826"/>
  <c r="AK89" i="826"/>
  <c r="AL7" i="826"/>
  <c r="AK7" i="826"/>
  <c r="AK98" i="826"/>
  <c r="AL98" i="826"/>
  <c r="AK87" i="826"/>
  <c r="AL87" i="826"/>
  <c r="AL64" i="826"/>
  <c r="AK64" i="826"/>
  <c r="AK45" i="826"/>
  <c r="AL45" i="826"/>
  <c r="AK126" i="826"/>
  <c r="AL126" i="826"/>
  <c r="AL110" i="826"/>
  <c r="AK110" i="826"/>
  <c r="AK43" i="826"/>
  <c r="AL43" i="826"/>
  <c r="AL102" i="826"/>
  <c r="AK102" i="826"/>
  <c r="AL123" i="826"/>
  <c r="AK123" i="826"/>
  <c r="AK100" i="826"/>
  <c r="AL100" i="826"/>
  <c r="AJ98" i="826"/>
  <c r="AK101" i="826"/>
  <c r="AL101" i="826"/>
  <c r="AL121" i="826"/>
  <c r="AK121" i="826"/>
  <c r="AK118" i="826"/>
  <c r="AH61" i="826"/>
  <c r="AJ61" i="826"/>
  <c r="AL49" i="826"/>
  <c r="AK49" i="826"/>
  <c r="AL28" i="826"/>
  <c r="AK28" i="826"/>
  <c r="AJ111" i="826"/>
  <c r="AH139" i="826"/>
  <c r="AK30" i="826"/>
  <c r="AL30" i="826"/>
  <c r="AL129" i="826"/>
  <c r="AK129" i="826"/>
  <c r="AJ7" i="826"/>
  <c r="AK46" i="826"/>
  <c r="AL46" i="826"/>
  <c r="AK119" i="826"/>
  <c r="AH66" i="826"/>
  <c r="AL17" i="826"/>
  <c r="AK17" i="826"/>
  <c r="AJ113" i="826"/>
  <c r="AK35" i="826"/>
  <c r="AL35" i="826"/>
  <c r="AJ109" i="826"/>
  <c r="AH109" i="826"/>
  <c r="AK57" i="826"/>
  <c r="AJ87" i="826"/>
  <c r="AL31" i="826"/>
  <c r="AK31" i="826"/>
  <c r="AJ124" i="826"/>
  <c r="AK132" i="826"/>
  <c r="AH55" i="826"/>
  <c r="AL79" i="826"/>
  <c r="AK79" i="826"/>
  <c r="AH112" i="826"/>
  <c r="AL21" i="826"/>
  <c r="AK21" i="826"/>
  <c r="AK137" i="826"/>
  <c r="AL137" i="826"/>
  <c r="AL107" i="826"/>
  <c r="AK107" i="826"/>
  <c r="AL25" i="826"/>
  <c r="AK25" i="826"/>
  <c r="AL111" i="826"/>
  <c r="AK111" i="826"/>
  <c r="AJ54" i="826"/>
  <c r="AH54" i="826"/>
  <c r="AK95" i="826"/>
  <c r="AL95" i="826"/>
  <c r="AK80" i="826"/>
  <c r="AL80" i="826"/>
  <c r="AL73" i="826"/>
  <c r="AK73" i="826"/>
  <c r="AL90" i="826"/>
  <c r="AK90" i="826"/>
  <c r="AL62" i="826"/>
  <c r="AK62" i="826"/>
  <c r="AJ30" i="826"/>
  <c r="AL68" i="826"/>
  <c r="AK68" i="826"/>
  <c r="AJ82" i="826"/>
  <c r="AJ123" i="826"/>
  <c r="AL65" i="826"/>
  <c r="AK65" i="826"/>
  <c r="AL48" i="826"/>
  <c r="AK48" i="826"/>
  <c r="AL114" i="826"/>
  <c r="AK114" i="826"/>
  <c r="AK134" i="826"/>
  <c r="AL134" i="826"/>
  <c r="AK135" i="826"/>
  <c r="AH97" i="826"/>
  <c r="AK76" i="826"/>
  <c r="AL76" i="826"/>
  <c r="AL29" i="826"/>
  <c r="AK29" i="826"/>
  <c r="AH115" i="826"/>
  <c r="AJ115" i="826"/>
  <c r="AH52" i="826"/>
  <c r="AL51" i="826"/>
  <c r="AK51" i="826"/>
  <c r="AH47" i="826"/>
  <c r="AH77" i="826"/>
  <c r="AH63" i="826"/>
  <c r="AH60" i="826"/>
  <c r="AL50" i="826"/>
  <c r="AK50" i="826"/>
  <c r="AH108" i="826"/>
  <c r="AL32" i="826"/>
  <c r="AK32" i="826"/>
  <c r="AL41" i="826"/>
  <c r="AK41" i="826"/>
  <c r="AJ43" i="826"/>
  <c r="AL78" i="826"/>
  <c r="AK78" i="826"/>
  <c r="AL5" i="826"/>
  <c r="AK5" i="826"/>
  <c r="AL33" i="826"/>
  <c r="AK33" i="826"/>
  <c r="AJ81" i="826"/>
  <c r="AH81" i="826"/>
  <c r="AK105" i="826"/>
  <c r="AL105" i="826"/>
  <c r="AK140" i="826"/>
  <c r="AL140" i="826"/>
  <c r="AJ37" i="826"/>
  <c r="AH58" i="826"/>
  <c r="AH27" i="826"/>
  <c r="AH23" i="826"/>
  <c r="AJ131" i="826"/>
  <c r="AH131" i="826"/>
  <c r="AL103" i="826"/>
  <c r="AK103" i="826"/>
  <c r="AL86" i="826"/>
  <c r="AK86" i="826"/>
  <c r="AH130" i="826"/>
  <c r="AH141" i="826"/>
  <c r="AJ141" i="826"/>
  <c r="AK104" i="826"/>
  <c r="AL104" i="826"/>
  <c r="AL106" i="826"/>
  <c r="AK106" i="826"/>
  <c r="AH128" i="826"/>
  <c r="AJ128" i="826"/>
  <c r="AL117" i="826"/>
  <c r="AK117" i="826"/>
  <c r="AK37" i="826"/>
  <c r="AL37" i="826"/>
  <c r="AH138" i="826"/>
  <c r="AJ138" i="826"/>
  <c r="AL36" i="826"/>
  <c r="AK36" i="826"/>
  <c r="AJ39" i="826"/>
  <c r="AH39" i="826"/>
  <c r="AL84" i="826"/>
  <c r="AK84" i="826"/>
  <c r="AK122" i="826"/>
  <c r="AL122" i="826"/>
  <c r="AL96" i="826"/>
  <c r="AK96" i="826"/>
  <c r="AH70" i="826"/>
  <c r="AJ70" i="826"/>
  <c r="AL88" i="826"/>
  <c r="AK88" i="826"/>
  <c r="AL56" i="826"/>
  <c r="AK56" i="826"/>
  <c r="AK34" i="826"/>
  <c r="AL34" i="826"/>
  <c r="AL69" i="826"/>
  <c r="AK69" i="826"/>
  <c r="AL92" i="826"/>
  <c r="AK92" i="826"/>
  <c r="AJ64" i="826"/>
  <c r="AL133" i="826"/>
  <c r="AK133" i="826"/>
  <c r="AH120" i="826"/>
  <c r="AL59" i="826"/>
  <c r="AK59" i="826"/>
  <c r="AL85" i="826"/>
  <c r="AK85" i="826"/>
  <c r="AL9" i="826"/>
  <c r="AK9" i="826"/>
  <c r="AK74" i="826"/>
  <c r="AL74" i="826"/>
  <c r="AL116" i="826"/>
  <c r="AK116" i="826"/>
  <c r="AL53" i="826"/>
  <c r="AK53" i="826"/>
  <c r="AK40" i="826"/>
  <c r="AL40" i="826"/>
  <c r="AK83" i="826"/>
  <c r="AL83" i="826"/>
  <c r="AK125" i="826"/>
  <c r="AL125" i="826"/>
  <c r="AL127" i="826"/>
  <c r="AK127" i="826"/>
  <c r="AF13" i="825"/>
  <c r="AK99" i="826" l="1"/>
  <c r="AL38" i="826"/>
  <c r="AK91" i="826"/>
  <c r="AL94" i="826"/>
  <c r="AL142" i="826"/>
  <c r="AK19" i="826"/>
  <c r="AL11" i="826"/>
  <c r="AK71" i="826"/>
  <c r="AK13" i="826"/>
  <c r="AK72" i="826"/>
  <c r="AL72" i="826"/>
  <c r="AK128" i="826"/>
  <c r="AL128" i="826"/>
  <c r="AL141" i="826"/>
  <c r="AK141" i="826"/>
  <c r="AL70" i="826"/>
  <c r="AK70" i="826"/>
  <c r="AK120" i="826"/>
  <c r="AL120" i="826"/>
  <c r="AL81" i="826"/>
  <c r="AK81" i="826"/>
  <c r="AL23" i="826"/>
  <c r="AK23" i="826"/>
  <c r="AL66" i="826"/>
  <c r="AK66" i="826"/>
  <c r="AL63" i="826"/>
  <c r="AK63" i="826"/>
  <c r="AK77" i="826"/>
  <c r="AL77" i="826"/>
  <c r="AL139" i="826"/>
  <c r="AK139" i="826"/>
  <c r="AL39" i="826"/>
  <c r="AK39" i="826"/>
  <c r="AL109" i="826"/>
  <c r="AK109" i="826"/>
  <c r="AL131" i="826"/>
  <c r="AK131" i="826"/>
  <c r="AK27" i="826"/>
  <c r="AL27" i="826"/>
  <c r="AL108" i="826"/>
  <c r="AK108" i="826"/>
  <c r="AL112" i="826"/>
  <c r="AK112" i="826"/>
  <c r="AK61" i="826"/>
  <c r="AL61" i="826"/>
  <c r="AL60" i="826"/>
  <c r="AK60" i="826"/>
  <c r="AL55" i="826"/>
  <c r="AK55" i="826"/>
  <c r="AL47" i="826"/>
  <c r="AK47" i="826"/>
  <c r="AL54" i="826"/>
  <c r="AK54" i="826"/>
  <c r="AL52" i="826"/>
  <c r="AK52" i="826"/>
  <c r="AL115" i="826"/>
  <c r="AK115" i="826"/>
  <c r="AL130" i="826"/>
  <c r="AK130" i="826"/>
  <c r="AL97" i="826"/>
  <c r="AK97" i="826"/>
  <c r="AK138" i="826"/>
  <c r="AL138" i="826"/>
  <c r="AK58" i="826"/>
  <c r="AL58" i="826"/>
  <c r="N14" i="825"/>
  <c r="AF11" i="825"/>
  <c r="N20" i="825" l="1"/>
  <c r="N18" i="825"/>
  <c r="AX140" i="825" l="1"/>
  <c r="AW140" i="825"/>
  <c r="AN140" i="825"/>
  <c r="AO140" i="825" s="1"/>
  <c r="U140" i="825"/>
  <c r="V140" i="825" s="1"/>
  <c r="N140" i="825"/>
  <c r="AX139" i="825"/>
  <c r="AW139" i="825"/>
  <c r="AN139" i="825"/>
  <c r="AO139" i="825" s="1"/>
  <c r="U139" i="825"/>
  <c r="V139" i="825" s="1"/>
  <c r="N139" i="825"/>
  <c r="AX138" i="825"/>
  <c r="AW138" i="825"/>
  <c r="AN138" i="825"/>
  <c r="AO138" i="825" s="1"/>
  <c r="U138" i="825"/>
  <c r="V138" i="825" s="1"/>
  <c r="N138" i="825"/>
  <c r="AX137" i="825"/>
  <c r="AW137" i="825"/>
  <c r="AN137" i="825"/>
  <c r="AO137" i="825" s="1"/>
  <c r="U137" i="825"/>
  <c r="V137" i="825" s="1"/>
  <c r="N137" i="825"/>
  <c r="AX136" i="825"/>
  <c r="AW136" i="825"/>
  <c r="AN136" i="825"/>
  <c r="AO136" i="825" s="1"/>
  <c r="U136" i="825"/>
  <c r="V136" i="825" s="1"/>
  <c r="N136" i="825"/>
  <c r="AX135" i="825"/>
  <c r="AW135" i="825"/>
  <c r="AN135" i="825"/>
  <c r="AO135" i="825" s="1"/>
  <c r="U135" i="825"/>
  <c r="V135" i="825" s="1"/>
  <c r="N135" i="825"/>
  <c r="AX134" i="825"/>
  <c r="AW134" i="825"/>
  <c r="AO134" i="825"/>
  <c r="AN134" i="825"/>
  <c r="U134" i="825"/>
  <c r="V134" i="825" s="1"/>
  <c r="N134" i="825"/>
  <c r="AX133" i="825"/>
  <c r="AW133" i="825"/>
  <c r="AN133" i="825"/>
  <c r="AO133" i="825" s="1"/>
  <c r="U133" i="825"/>
  <c r="V133" i="825" s="1"/>
  <c r="N133" i="825"/>
  <c r="AX132" i="825"/>
  <c r="AW132" i="825"/>
  <c r="AN132" i="825"/>
  <c r="AO132" i="825" s="1"/>
  <c r="U132" i="825"/>
  <c r="V132" i="825" s="1"/>
  <c r="N132" i="825"/>
  <c r="AX131" i="825"/>
  <c r="AW131" i="825"/>
  <c r="AN131" i="825"/>
  <c r="AO131" i="825" s="1"/>
  <c r="U131" i="825"/>
  <c r="V131" i="825" s="1"/>
  <c r="N131" i="825"/>
  <c r="AX130" i="825"/>
  <c r="AW130" i="825"/>
  <c r="AN130" i="825"/>
  <c r="AO130" i="825" s="1"/>
  <c r="U130" i="825"/>
  <c r="V130" i="825" s="1"/>
  <c r="N130" i="825"/>
  <c r="AX129" i="825"/>
  <c r="AW129" i="825"/>
  <c r="AN129" i="825"/>
  <c r="AO129" i="825" s="1"/>
  <c r="U129" i="825"/>
  <c r="V129" i="825" s="1"/>
  <c r="N129" i="825"/>
  <c r="AX128" i="825"/>
  <c r="AW128" i="825"/>
  <c r="AN128" i="825"/>
  <c r="AO128" i="825" s="1"/>
  <c r="U128" i="825"/>
  <c r="V128" i="825" s="1"/>
  <c r="N128" i="825"/>
  <c r="AX127" i="825"/>
  <c r="AW127" i="825"/>
  <c r="AN127" i="825"/>
  <c r="AO127" i="825" s="1"/>
  <c r="U127" i="825"/>
  <c r="V127" i="825" s="1"/>
  <c r="N127" i="825"/>
  <c r="AX126" i="825"/>
  <c r="AW126" i="825"/>
  <c r="AN126" i="825"/>
  <c r="AO126" i="825" s="1"/>
  <c r="U126" i="825"/>
  <c r="V126" i="825" s="1"/>
  <c r="N126" i="825"/>
  <c r="AX125" i="825"/>
  <c r="AW125" i="825"/>
  <c r="AN125" i="825"/>
  <c r="AO125" i="825" s="1"/>
  <c r="U125" i="825"/>
  <c r="V125" i="825" s="1"/>
  <c r="N125" i="825"/>
  <c r="AX124" i="825"/>
  <c r="AW124" i="825"/>
  <c r="AN124" i="825"/>
  <c r="AO124" i="825" s="1"/>
  <c r="U124" i="825"/>
  <c r="V124" i="825" s="1"/>
  <c r="N124" i="825"/>
  <c r="AX123" i="825"/>
  <c r="AW123" i="825"/>
  <c r="AN123" i="825"/>
  <c r="AO123" i="825" s="1"/>
  <c r="U123" i="825"/>
  <c r="V123" i="825" s="1"/>
  <c r="N123" i="825"/>
  <c r="AX122" i="825"/>
  <c r="AW122" i="825"/>
  <c r="AN122" i="825"/>
  <c r="AO122" i="825" s="1"/>
  <c r="U122" i="825"/>
  <c r="V122" i="825" s="1"/>
  <c r="N122" i="825"/>
  <c r="AX121" i="825"/>
  <c r="AW121" i="825"/>
  <c r="AN121" i="825"/>
  <c r="AO121" i="825" s="1"/>
  <c r="U121" i="825"/>
  <c r="V121" i="825" s="1"/>
  <c r="N121" i="825"/>
  <c r="AX120" i="825"/>
  <c r="AW120" i="825"/>
  <c r="AN120" i="825"/>
  <c r="AO120" i="825" s="1"/>
  <c r="U120" i="825"/>
  <c r="V120" i="825" s="1"/>
  <c r="N120" i="825"/>
  <c r="AX119" i="825"/>
  <c r="AW119" i="825"/>
  <c r="AN119" i="825"/>
  <c r="AO119" i="825" s="1"/>
  <c r="AB119" i="825"/>
  <c r="AC119" i="825" s="1"/>
  <c r="AE119" i="825" s="1"/>
  <c r="U119" i="825"/>
  <c r="V119" i="825" s="1"/>
  <c r="N119" i="825"/>
  <c r="AX118" i="825"/>
  <c r="AW118" i="825"/>
  <c r="AN118" i="825"/>
  <c r="AO118" i="825" s="1"/>
  <c r="U118" i="825"/>
  <c r="V118" i="825" s="1"/>
  <c r="N118" i="825"/>
  <c r="AX117" i="825"/>
  <c r="AW117" i="825"/>
  <c r="AN117" i="825"/>
  <c r="AO117" i="825" s="1"/>
  <c r="U117" i="825"/>
  <c r="V117" i="825" s="1"/>
  <c r="N117" i="825"/>
  <c r="AX116" i="825"/>
  <c r="AW116" i="825"/>
  <c r="AN116" i="825"/>
  <c r="AO116" i="825" s="1"/>
  <c r="U116" i="825"/>
  <c r="V116" i="825" s="1"/>
  <c r="N116" i="825"/>
  <c r="AX115" i="825"/>
  <c r="AW115" i="825"/>
  <c r="AN115" i="825"/>
  <c r="AO115" i="825" s="1"/>
  <c r="U115" i="825"/>
  <c r="V115" i="825" s="1"/>
  <c r="N115" i="825"/>
  <c r="AX114" i="825"/>
  <c r="AW114" i="825"/>
  <c r="AN114" i="825"/>
  <c r="AO114" i="825" s="1"/>
  <c r="U114" i="825"/>
  <c r="V114" i="825" s="1"/>
  <c r="N114" i="825"/>
  <c r="AX113" i="825"/>
  <c r="AW113" i="825"/>
  <c r="AN113" i="825"/>
  <c r="AO113" i="825" s="1"/>
  <c r="U113" i="825"/>
  <c r="V113" i="825" s="1"/>
  <c r="N113" i="825"/>
  <c r="AX112" i="825"/>
  <c r="AW112" i="825"/>
  <c r="AN112" i="825"/>
  <c r="AO112" i="825" s="1"/>
  <c r="U112" i="825"/>
  <c r="V112" i="825" s="1"/>
  <c r="N112" i="825"/>
  <c r="AX111" i="825"/>
  <c r="AW111" i="825"/>
  <c r="AN111" i="825"/>
  <c r="AO111" i="825" s="1"/>
  <c r="AB111" i="825"/>
  <c r="AC111" i="825" s="1"/>
  <c r="AE111" i="825" s="1"/>
  <c r="U111" i="825"/>
  <c r="V111" i="825" s="1"/>
  <c r="N111" i="825"/>
  <c r="AX110" i="825"/>
  <c r="AW110" i="825"/>
  <c r="AN110" i="825"/>
  <c r="AO110" i="825" s="1"/>
  <c r="U110" i="825"/>
  <c r="V110" i="825" s="1"/>
  <c r="N110" i="825"/>
  <c r="AX109" i="825"/>
  <c r="AW109" i="825"/>
  <c r="AN109" i="825"/>
  <c r="AO109" i="825" s="1"/>
  <c r="U109" i="825"/>
  <c r="V109" i="825" s="1"/>
  <c r="N109" i="825"/>
  <c r="AX108" i="825"/>
  <c r="AW108" i="825"/>
  <c r="AN108" i="825"/>
  <c r="AO108" i="825" s="1"/>
  <c r="U108" i="825"/>
  <c r="V108" i="825" s="1"/>
  <c r="N108" i="825"/>
  <c r="AX107" i="825"/>
  <c r="AW107" i="825"/>
  <c r="AN107" i="825"/>
  <c r="AO107" i="825" s="1"/>
  <c r="U107" i="825"/>
  <c r="V107" i="825" s="1"/>
  <c r="N107" i="825"/>
  <c r="AX106" i="825"/>
  <c r="AW106" i="825"/>
  <c r="AN106" i="825"/>
  <c r="AO106" i="825" s="1"/>
  <c r="U106" i="825"/>
  <c r="V106" i="825" s="1"/>
  <c r="N106" i="825"/>
  <c r="AX105" i="825"/>
  <c r="AW105" i="825"/>
  <c r="AN105" i="825"/>
  <c r="AO105" i="825" s="1"/>
  <c r="U105" i="825"/>
  <c r="V105" i="825" s="1"/>
  <c r="N105" i="825"/>
  <c r="AX104" i="825"/>
  <c r="AW104" i="825"/>
  <c r="AN104" i="825"/>
  <c r="AO104" i="825" s="1"/>
  <c r="U104" i="825"/>
  <c r="V104" i="825" s="1"/>
  <c r="N104" i="825"/>
  <c r="AX103" i="825"/>
  <c r="AW103" i="825"/>
  <c r="AN103" i="825"/>
  <c r="AO103" i="825" s="1"/>
  <c r="U103" i="825"/>
  <c r="V103" i="825" s="1"/>
  <c r="N103" i="825"/>
  <c r="AX102" i="825"/>
  <c r="AW102" i="825"/>
  <c r="AN102" i="825"/>
  <c r="AO102" i="825" s="1"/>
  <c r="U102" i="825"/>
  <c r="V102" i="825" s="1"/>
  <c r="N102" i="825"/>
  <c r="AX101" i="825"/>
  <c r="AW101" i="825"/>
  <c r="AN101" i="825"/>
  <c r="AO101" i="825" s="1"/>
  <c r="U101" i="825"/>
  <c r="V101" i="825" s="1"/>
  <c r="N101" i="825"/>
  <c r="AX100" i="825"/>
  <c r="AW100" i="825"/>
  <c r="AN100" i="825"/>
  <c r="AO100" i="825" s="1"/>
  <c r="U100" i="825"/>
  <c r="V100" i="825" s="1"/>
  <c r="N100" i="825"/>
  <c r="AX99" i="825"/>
  <c r="AW99" i="825"/>
  <c r="AN99" i="825"/>
  <c r="AO99" i="825" s="1"/>
  <c r="U99" i="825"/>
  <c r="V99" i="825" s="1"/>
  <c r="N99" i="825"/>
  <c r="AX98" i="825"/>
  <c r="AW98" i="825"/>
  <c r="AN98" i="825"/>
  <c r="AO98" i="825" s="1"/>
  <c r="U98" i="825"/>
  <c r="V98" i="825" s="1"/>
  <c r="N98" i="825"/>
  <c r="AX97" i="825"/>
  <c r="AW97" i="825"/>
  <c r="AN97" i="825"/>
  <c r="AO97" i="825" s="1"/>
  <c r="U97" i="825"/>
  <c r="V97" i="825" s="1"/>
  <c r="N97" i="825"/>
  <c r="AX96" i="825"/>
  <c r="AW96" i="825"/>
  <c r="AN96" i="825"/>
  <c r="AO96" i="825" s="1"/>
  <c r="U96" i="825"/>
  <c r="V96" i="825" s="1"/>
  <c r="N96" i="825"/>
  <c r="AX95" i="825"/>
  <c r="AW95" i="825"/>
  <c r="AN95" i="825"/>
  <c r="AO95" i="825" s="1"/>
  <c r="U95" i="825"/>
  <c r="V95" i="825" s="1"/>
  <c r="N95" i="825"/>
  <c r="AX94" i="825"/>
  <c r="AW94" i="825"/>
  <c r="AN94" i="825"/>
  <c r="AO94" i="825" s="1"/>
  <c r="U94" i="825"/>
  <c r="V94" i="825" s="1"/>
  <c r="N94" i="825"/>
  <c r="AX93" i="825"/>
  <c r="AW93" i="825"/>
  <c r="AN93" i="825"/>
  <c r="AO93" i="825" s="1"/>
  <c r="U93" i="825"/>
  <c r="V93" i="825" s="1"/>
  <c r="N93" i="825"/>
  <c r="AX92" i="825"/>
  <c r="AW92" i="825"/>
  <c r="AN92" i="825"/>
  <c r="AO92" i="825" s="1"/>
  <c r="U92" i="825"/>
  <c r="V92" i="825" s="1"/>
  <c r="N92" i="825"/>
  <c r="AX91" i="825"/>
  <c r="AW91" i="825"/>
  <c r="AN91" i="825"/>
  <c r="AO91" i="825" s="1"/>
  <c r="U91" i="825"/>
  <c r="V91" i="825" s="1"/>
  <c r="N91" i="825"/>
  <c r="AX90" i="825"/>
  <c r="AW90" i="825"/>
  <c r="AN90" i="825"/>
  <c r="AO90" i="825" s="1"/>
  <c r="U90" i="825"/>
  <c r="V90" i="825" s="1"/>
  <c r="N90" i="825"/>
  <c r="AX89" i="825"/>
  <c r="AW89" i="825"/>
  <c r="AN89" i="825"/>
  <c r="AO89" i="825" s="1"/>
  <c r="U89" i="825"/>
  <c r="V89" i="825" s="1"/>
  <c r="N89" i="825"/>
  <c r="AX88" i="825"/>
  <c r="AW88" i="825"/>
  <c r="AN88" i="825"/>
  <c r="AO88" i="825" s="1"/>
  <c r="U88" i="825"/>
  <c r="V88" i="825" s="1"/>
  <c r="N88" i="825"/>
  <c r="AX87" i="825"/>
  <c r="AW87" i="825"/>
  <c r="AN87" i="825"/>
  <c r="AO87" i="825" s="1"/>
  <c r="U87" i="825"/>
  <c r="V87" i="825" s="1"/>
  <c r="N87" i="825"/>
  <c r="AX86" i="825"/>
  <c r="AW86" i="825"/>
  <c r="AN86" i="825"/>
  <c r="AO86" i="825" s="1"/>
  <c r="U86" i="825"/>
  <c r="V86" i="825" s="1"/>
  <c r="N86" i="825"/>
  <c r="AX85" i="825"/>
  <c r="AW85" i="825"/>
  <c r="AN85" i="825"/>
  <c r="AO85" i="825" s="1"/>
  <c r="U85" i="825"/>
  <c r="V85" i="825" s="1"/>
  <c r="N85" i="825"/>
  <c r="AX84" i="825"/>
  <c r="AW84" i="825"/>
  <c r="AN84" i="825"/>
  <c r="AO84" i="825" s="1"/>
  <c r="U84" i="825"/>
  <c r="V84" i="825" s="1"/>
  <c r="N84" i="825"/>
  <c r="AX83" i="825"/>
  <c r="AW83" i="825"/>
  <c r="AN83" i="825"/>
  <c r="AO83" i="825" s="1"/>
  <c r="U83" i="825"/>
  <c r="V83" i="825" s="1"/>
  <c r="N83" i="825"/>
  <c r="AX82" i="825"/>
  <c r="AW82" i="825"/>
  <c r="AN82" i="825"/>
  <c r="AO82" i="825" s="1"/>
  <c r="U82" i="825"/>
  <c r="V82" i="825" s="1"/>
  <c r="N82" i="825"/>
  <c r="AX81" i="825"/>
  <c r="AW81" i="825"/>
  <c r="AN81" i="825"/>
  <c r="AO81" i="825" s="1"/>
  <c r="U81" i="825"/>
  <c r="V81" i="825" s="1"/>
  <c r="N81" i="825"/>
  <c r="AX80" i="825"/>
  <c r="AW80" i="825"/>
  <c r="AN80" i="825"/>
  <c r="AO80" i="825" s="1"/>
  <c r="U80" i="825"/>
  <c r="V80" i="825" s="1"/>
  <c r="N80" i="825"/>
  <c r="AX79" i="825"/>
  <c r="AW79" i="825"/>
  <c r="AN79" i="825"/>
  <c r="AO79" i="825" s="1"/>
  <c r="U79" i="825"/>
  <c r="V79" i="825" s="1"/>
  <c r="N79" i="825"/>
  <c r="AX78" i="825"/>
  <c r="AW78" i="825"/>
  <c r="AN78" i="825"/>
  <c r="AO78" i="825" s="1"/>
  <c r="U78" i="825"/>
  <c r="V78" i="825" s="1"/>
  <c r="N78" i="825"/>
  <c r="AX77" i="825"/>
  <c r="AW77" i="825"/>
  <c r="AN77" i="825"/>
  <c r="AO77" i="825" s="1"/>
  <c r="U77" i="825"/>
  <c r="V77" i="825" s="1"/>
  <c r="N77" i="825"/>
  <c r="AX76" i="825"/>
  <c r="AW76" i="825"/>
  <c r="AN76" i="825"/>
  <c r="AO76" i="825" s="1"/>
  <c r="U76" i="825"/>
  <c r="V76" i="825" s="1"/>
  <c r="N76" i="825"/>
  <c r="AX75" i="825"/>
  <c r="AW75" i="825"/>
  <c r="AN75" i="825"/>
  <c r="AO75" i="825" s="1"/>
  <c r="U75" i="825"/>
  <c r="V75" i="825" s="1"/>
  <c r="N75" i="825"/>
  <c r="AX74" i="825"/>
  <c r="AW74" i="825"/>
  <c r="AN74" i="825"/>
  <c r="AO74" i="825" s="1"/>
  <c r="U74" i="825"/>
  <c r="V74" i="825" s="1"/>
  <c r="N74" i="825"/>
  <c r="AX73" i="825"/>
  <c r="AW73" i="825"/>
  <c r="AN73" i="825"/>
  <c r="AO73" i="825" s="1"/>
  <c r="U73" i="825"/>
  <c r="V73" i="825" s="1"/>
  <c r="N73" i="825"/>
  <c r="AX72" i="825"/>
  <c r="AW72" i="825"/>
  <c r="AN72" i="825"/>
  <c r="AO72" i="825" s="1"/>
  <c r="U72" i="825"/>
  <c r="V72" i="825" s="1"/>
  <c r="N72" i="825"/>
  <c r="AX71" i="825"/>
  <c r="AW71" i="825"/>
  <c r="AN71" i="825"/>
  <c r="AO71" i="825" s="1"/>
  <c r="U71" i="825"/>
  <c r="V71" i="825" s="1"/>
  <c r="N71" i="825"/>
  <c r="AX70" i="825"/>
  <c r="AW70" i="825"/>
  <c r="AN70" i="825"/>
  <c r="AO70" i="825" s="1"/>
  <c r="U70" i="825"/>
  <c r="V70" i="825" s="1"/>
  <c r="N70" i="825"/>
  <c r="AX69" i="825"/>
  <c r="AW69" i="825"/>
  <c r="AN69" i="825"/>
  <c r="AO69" i="825" s="1"/>
  <c r="U69" i="825"/>
  <c r="V69" i="825" s="1"/>
  <c r="N69" i="825"/>
  <c r="AX68" i="825"/>
  <c r="AW68" i="825"/>
  <c r="AN68" i="825"/>
  <c r="AO68" i="825" s="1"/>
  <c r="U68" i="825"/>
  <c r="V68" i="825" s="1"/>
  <c r="N68" i="825"/>
  <c r="AX67" i="825"/>
  <c r="AW67" i="825"/>
  <c r="AN67" i="825"/>
  <c r="AO67" i="825" s="1"/>
  <c r="U67" i="825"/>
  <c r="V67" i="825" s="1"/>
  <c r="N67" i="825"/>
  <c r="AX66" i="825"/>
  <c r="AW66" i="825"/>
  <c r="AO66" i="825"/>
  <c r="AN66" i="825"/>
  <c r="U66" i="825"/>
  <c r="V66" i="825" s="1"/>
  <c r="N66" i="825"/>
  <c r="AX65" i="825"/>
  <c r="AW65" i="825"/>
  <c r="AN65" i="825"/>
  <c r="AO65" i="825" s="1"/>
  <c r="U65" i="825"/>
  <c r="V65" i="825" s="1"/>
  <c r="N65" i="825"/>
  <c r="AX64" i="825"/>
  <c r="AW64" i="825"/>
  <c r="AN64" i="825"/>
  <c r="AO64" i="825" s="1"/>
  <c r="U64" i="825"/>
  <c r="V64" i="825" s="1"/>
  <c r="N64" i="825"/>
  <c r="AX63" i="825"/>
  <c r="AW63" i="825"/>
  <c r="AN63" i="825"/>
  <c r="AO63" i="825" s="1"/>
  <c r="U63" i="825"/>
  <c r="V63" i="825" s="1"/>
  <c r="N63" i="825"/>
  <c r="AX62" i="825"/>
  <c r="AW62" i="825"/>
  <c r="AN62" i="825"/>
  <c r="AO62" i="825" s="1"/>
  <c r="U62" i="825"/>
  <c r="V62" i="825" s="1"/>
  <c r="N62" i="825"/>
  <c r="AX61" i="825"/>
  <c r="AW61" i="825"/>
  <c r="AN61" i="825"/>
  <c r="AO61" i="825" s="1"/>
  <c r="U61" i="825"/>
  <c r="V61" i="825" s="1"/>
  <c r="N61" i="825"/>
  <c r="AX60" i="825"/>
  <c r="AW60" i="825"/>
  <c r="AN60" i="825"/>
  <c r="AO60" i="825" s="1"/>
  <c r="U60" i="825"/>
  <c r="V60" i="825" s="1"/>
  <c r="N60" i="825"/>
  <c r="AX59" i="825"/>
  <c r="AW59" i="825"/>
  <c r="AN59" i="825"/>
  <c r="AO59" i="825" s="1"/>
  <c r="U59" i="825"/>
  <c r="V59" i="825" s="1"/>
  <c r="N59" i="825"/>
  <c r="AX58" i="825"/>
  <c r="AW58" i="825"/>
  <c r="AN58" i="825"/>
  <c r="AO58" i="825" s="1"/>
  <c r="U58" i="825"/>
  <c r="V58" i="825" s="1"/>
  <c r="N58" i="825"/>
  <c r="AX57" i="825"/>
  <c r="AW57" i="825"/>
  <c r="AN57" i="825"/>
  <c r="AO57" i="825" s="1"/>
  <c r="U57" i="825"/>
  <c r="V57" i="825" s="1"/>
  <c r="N57" i="825"/>
  <c r="AX56" i="825"/>
  <c r="AW56" i="825"/>
  <c r="AN56" i="825"/>
  <c r="AO56" i="825" s="1"/>
  <c r="U56" i="825"/>
  <c r="V56" i="825" s="1"/>
  <c r="N56" i="825"/>
  <c r="AX55" i="825"/>
  <c r="AW55" i="825"/>
  <c r="AN55" i="825"/>
  <c r="AO55" i="825" s="1"/>
  <c r="U55" i="825"/>
  <c r="V55" i="825" s="1"/>
  <c r="N55" i="825"/>
  <c r="AX54" i="825"/>
  <c r="AW54" i="825"/>
  <c r="AN54" i="825"/>
  <c r="AO54" i="825" s="1"/>
  <c r="U54" i="825"/>
  <c r="V54" i="825" s="1"/>
  <c r="N54" i="825"/>
  <c r="AX53" i="825"/>
  <c r="AW53" i="825"/>
  <c r="AN53" i="825"/>
  <c r="AO53" i="825" s="1"/>
  <c r="U53" i="825"/>
  <c r="V53" i="825" s="1"/>
  <c r="N53" i="825"/>
  <c r="AX52" i="825"/>
  <c r="AW52" i="825"/>
  <c r="AN52" i="825"/>
  <c r="AO52" i="825" s="1"/>
  <c r="U52" i="825"/>
  <c r="V52" i="825" s="1"/>
  <c r="N52" i="825"/>
  <c r="AX51" i="825"/>
  <c r="AW51" i="825"/>
  <c r="AN51" i="825"/>
  <c r="AO51" i="825" s="1"/>
  <c r="U51" i="825"/>
  <c r="V51" i="825" s="1"/>
  <c r="N51" i="825"/>
  <c r="AX50" i="825"/>
  <c r="AW50" i="825"/>
  <c r="AN50" i="825"/>
  <c r="AO50" i="825" s="1"/>
  <c r="U50" i="825"/>
  <c r="V50" i="825" s="1"/>
  <c r="N50" i="825"/>
  <c r="AX49" i="825"/>
  <c r="AW49" i="825"/>
  <c r="AN49" i="825"/>
  <c r="AO49" i="825" s="1"/>
  <c r="U49" i="825"/>
  <c r="V49" i="825" s="1"/>
  <c r="N49" i="825"/>
  <c r="AX48" i="825"/>
  <c r="AW48" i="825"/>
  <c r="AN48" i="825"/>
  <c r="AO48" i="825" s="1"/>
  <c r="U48" i="825"/>
  <c r="V48" i="825" s="1"/>
  <c r="N48" i="825"/>
  <c r="AX47" i="825"/>
  <c r="AW47" i="825"/>
  <c r="AN47" i="825"/>
  <c r="AO47" i="825" s="1"/>
  <c r="U47" i="825"/>
  <c r="V47" i="825" s="1"/>
  <c r="N47" i="825"/>
  <c r="AX46" i="825"/>
  <c r="AW46" i="825"/>
  <c r="AN46" i="825"/>
  <c r="AO46" i="825" s="1"/>
  <c r="U46" i="825"/>
  <c r="V46" i="825" s="1"/>
  <c r="N46" i="825"/>
  <c r="AX45" i="825"/>
  <c r="AW45" i="825"/>
  <c r="AN45" i="825"/>
  <c r="AO45" i="825" s="1"/>
  <c r="U45" i="825"/>
  <c r="V45" i="825" s="1"/>
  <c r="N45" i="825"/>
  <c r="AX44" i="825"/>
  <c r="AW44" i="825"/>
  <c r="AN44" i="825"/>
  <c r="AO44" i="825" s="1"/>
  <c r="U44" i="825"/>
  <c r="V44" i="825" s="1"/>
  <c r="N44" i="825"/>
  <c r="AX43" i="825"/>
  <c r="AW43" i="825"/>
  <c r="AN43" i="825"/>
  <c r="AO43" i="825" s="1"/>
  <c r="U43" i="825"/>
  <c r="V43" i="825" s="1"/>
  <c r="N43" i="825"/>
  <c r="AX42" i="825"/>
  <c r="AW42" i="825"/>
  <c r="AN42" i="825"/>
  <c r="AO42" i="825" s="1"/>
  <c r="U42" i="825"/>
  <c r="V42" i="825" s="1"/>
  <c r="N42" i="825"/>
  <c r="AX41" i="825"/>
  <c r="AW41" i="825"/>
  <c r="AN41" i="825"/>
  <c r="AO41" i="825" s="1"/>
  <c r="U41" i="825"/>
  <c r="V41" i="825" s="1"/>
  <c r="N41" i="825"/>
  <c r="AX40" i="825"/>
  <c r="AW40" i="825"/>
  <c r="AN40" i="825"/>
  <c r="AO40" i="825" s="1"/>
  <c r="U40" i="825"/>
  <c r="V40" i="825" s="1"/>
  <c r="N40" i="825"/>
  <c r="AX39" i="825"/>
  <c r="AW39" i="825"/>
  <c r="AN39" i="825"/>
  <c r="AO39" i="825" s="1"/>
  <c r="U39" i="825"/>
  <c r="V39" i="825" s="1"/>
  <c r="N39" i="825"/>
  <c r="AX38" i="825"/>
  <c r="AW38" i="825"/>
  <c r="AN38" i="825"/>
  <c r="AO38" i="825" s="1"/>
  <c r="U38" i="825"/>
  <c r="V38" i="825" s="1"/>
  <c r="N38" i="825"/>
  <c r="AX37" i="825"/>
  <c r="AW37" i="825"/>
  <c r="AN37" i="825"/>
  <c r="AO37" i="825" s="1"/>
  <c r="U37" i="825"/>
  <c r="V37" i="825" s="1"/>
  <c r="N37" i="825"/>
  <c r="AX36" i="825"/>
  <c r="AW36" i="825"/>
  <c r="AN36" i="825"/>
  <c r="AO36" i="825" s="1"/>
  <c r="U36" i="825"/>
  <c r="V36" i="825" s="1"/>
  <c r="N36" i="825"/>
  <c r="AX35" i="825"/>
  <c r="AW35" i="825"/>
  <c r="AN35" i="825"/>
  <c r="AO35" i="825" s="1"/>
  <c r="U35" i="825"/>
  <c r="V35" i="825" s="1"/>
  <c r="N35" i="825"/>
  <c r="AX34" i="825"/>
  <c r="AW34" i="825"/>
  <c r="AN34" i="825"/>
  <c r="AO34" i="825" s="1"/>
  <c r="U34" i="825"/>
  <c r="V34" i="825" s="1"/>
  <c r="N34" i="825"/>
  <c r="AX33" i="825"/>
  <c r="AW33" i="825"/>
  <c r="AN33" i="825"/>
  <c r="AO33" i="825" s="1"/>
  <c r="U33" i="825"/>
  <c r="V33" i="825" s="1"/>
  <c r="N33" i="825"/>
  <c r="AX32" i="825"/>
  <c r="AW32" i="825"/>
  <c r="AN32" i="825"/>
  <c r="AO32" i="825" s="1"/>
  <c r="U32" i="825"/>
  <c r="V32" i="825" s="1"/>
  <c r="N32" i="825"/>
  <c r="AX31" i="825"/>
  <c r="AW31" i="825"/>
  <c r="AN31" i="825"/>
  <c r="AO31" i="825" s="1"/>
  <c r="U31" i="825"/>
  <c r="V31" i="825" s="1"/>
  <c r="N31" i="825"/>
  <c r="AX30" i="825"/>
  <c r="AW30" i="825"/>
  <c r="AN30" i="825"/>
  <c r="AO30" i="825" s="1"/>
  <c r="U30" i="825"/>
  <c r="V30" i="825" s="1"/>
  <c r="N30" i="825"/>
  <c r="AX29" i="825"/>
  <c r="AW29" i="825"/>
  <c r="AN29" i="825"/>
  <c r="AO29" i="825" s="1"/>
  <c r="U29" i="825"/>
  <c r="V29" i="825" s="1"/>
  <c r="N29" i="825"/>
  <c r="AX28" i="825"/>
  <c r="AW28" i="825"/>
  <c r="AN28" i="825"/>
  <c r="AO28" i="825" s="1"/>
  <c r="U28" i="825"/>
  <c r="V28" i="825" s="1"/>
  <c r="N28" i="825"/>
  <c r="AX27" i="825"/>
  <c r="AW27" i="825"/>
  <c r="AN27" i="825"/>
  <c r="AO27" i="825" s="1"/>
  <c r="U27" i="825"/>
  <c r="V27" i="825" s="1"/>
  <c r="N27" i="825"/>
  <c r="AX26" i="825"/>
  <c r="AW26" i="825"/>
  <c r="AN26" i="825"/>
  <c r="AO26" i="825" s="1"/>
  <c r="U26" i="825"/>
  <c r="V26" i="825" s="1"/>
  <c r="N26" i="825"/>
  <c r="AX25" i="825"/>
  <c r="AW25" i="825"/>
  <c r="AN25" i="825"/>
  <c r="AO25" i="825" s="1"/>
  <c r="U25" i="825"/>
  <c r="V25" i="825" s="1"/>
  <c r="N25" i="825"/>
  <c r="AX24" i="825"/>
  <c r="AW24" i="825"/>
  <c r="AN24" i="825"/>
  <c r="AO24" i="825" s="1"/>
  <c r="U24" i="825"/>
  <c r="V24" i="825" s="1"/>
  <c r="N24" i="825"/>
  <c r="AX23" i="825"/>
  <c r="AW23" i="825"/>
  <c r="AN23" i="825"/>
  <c r="AO23" i="825" s="1"/>
  <c r="U23" i="825"/>
  <c r="V23" i="825" s="1"/>
  <c r="N23" i="825"/>
  <c r="AX22" i="825"/>
  <c r="AW22" i="825"/>
  <c r="AN22" i="825"/>
  <c r="AO22" i="825" s="1"/>
  <c r="U22" i="825"/>
  <c r="V22" i="825" s="1"/>
  <c r="N22" i="825"/>
  <c r="AX21" i="825"/>
  <c r="AW21" i="825"/>
  <c r="AN21" i="825"/>
  <c r="AO21" i="825" s="1"/>
  <c r="U21" i="825"/>
  <c r="V21" i="825" s="1"/>
  <c r="N21" i="825"/>
  <c r="AX19" i="825"/>
  <c r="AW19" i="825"/>
  <c r="AN19" i="825"/>
  <c r="AO19" i="825" s="1"/>
  <c r="U19" i="825"/>
  <c r="V19" i="825" s="1"/>
  <c r="N19" i="825"/>
  <c r="AX17" i="825"/>
  <c r="AW17" i="825"/>
  <c r="AN17" i="825"/>
  <c r="AO17" i="825" s="1"/>
  <c r="U17" i="825"/>
  <c r="V17" i="825" s="1"/>
  <c r="N17" i="825"/>
  <c r="N16" i="825"/>
  <c r="AX15" i="825"/>
  <c r="AW15" i="825"/>
  <c r="AN15" i="825"/>
  <c r="AO15" i="825" s="1"/>
  <c r="U15" i="825"/>
  <c r="V15" i="825" s="1"/>
  <c r="N15" i="825"/>
  <c r="AX13" i="825"/>
  <c r="AW13" i="825"/>
  <c r="AO13" i="825"/>
  <c r="AN13" i="825"/>
  <c r="U13" i="825"/>
  <c r="V13" i="825" s="1"/>
  <c r="N13" i="825"/>
  <c r="N12" i="825"/>
  <c r="AX11" i="825"/>
  <c r="AW11" i="825"/>
  <c r="AN11" i="825"/>
  <c r="AO11" i="825" s="1"/>
  <c r="U11" i="825"/>
  <c r="V11" i="825" s="1"/>
  <c r="N11" i="825"/>
  <c r="N10" i="825"/>
  <c r="AX9" i="825"/>
  <c r="AW9" i="825"/>
  <c r="AN9" i="825"/>
  <c r="AO9" i="825" s="1"/>
  <c r="U9" i="825"/>
  <c r="V9" i="825" s="1"/>
  <c r="N9" i="825"/>
  <c r="N8" i="825"/>
  <c r="AX7" i="825"/>
  <c r="AW7" i="825"/>
  <c r="AN7" i="825"/>
  <c r="AO7" i="825" s="1"/>
  <c r="U7" i="825"/>
  <c r="V7" i="825" s="1"/>
  <c r="N7" i="825"/>
  <c r="N6" i="825"/>
  <c r="AX5" i="825"/>
  <c r="AW5" i="825"/>
  <c r="AN5" i="825"/>
  <c r="AO5" i="825" s="1"/>
  <c r="U5" i="825"/>
  <c r="V5" i="825" s="1"/>
  <c r="N5" i="825"/>
  <c r="AS2" i="825"/>
  <c r="AA2" i="825"/>
  <c r="AD2" i="825" s="1"/>
  <c r="I2" i="825"/>
  <c r="AB128" i="825" s="1"/>
  <c r="AC128" i="825" s="1"/>
  <c r="AE128" i="825" s="1"/>
  <c r="AB89" i="825" l="1"/>
  <c r="AC89" i="825" s="1"/>
  <c r="AE89" i="825" s="1"/>
  <c r="AB61" i="825"/>
  <c r="AC61" i="825" s="1"/>
  <c r="AE61" i="825" s="1"/>
  <c r="AB31" i="825"/>
  <c r="AC31" i="825" s="1"/>
  <c r="AE31" i="825" s="1"/>
  <c r="AJ31" i="825" s="1"/>
  <c r="AB86" i="825"/>
  <c r="AC86" i="825" s="1"/>
  <c r="AE86" i="825" s="1"/>
  <c r="AH86" i="825" s="1"/>
  <c r="AL86" i="825" s="1"/>
  <c r="AB98" i="825"/>
  <c r="AC98" i="825" s="1"/>
  <c r="AE98" i="825" s="1"/>
  <c r="AB17" i="825"/>
  <c r="AC17" i="825" s="1"/>
  <c r="AE17" i="825" s="1"/>
  <c r="AJ17" i="825" s="1"/>
  <c r="AB34" i="825"/>
  <c r="AC34" i="825" s="1"/>
  <c r="AE34" i="825" s="1"/>
  <c r="AH34" i="825" s="1"/>
  <c r="AB40" i="825"/>
  <c r="AC40" i="825" s="1"/>
  <c r="AE40" i="825" s="1"/>
  <c r="AB52" i="825"/>
  <c r="AC52" i="825" s="1"/>
  <c r="AE52" i="825" s="1"/>
  <c r="AJ52" i="825" s="1"/>
  <c r="AH98" i="825"/>
  <c r="AL98" i="825" s="1"/>
  <c r="AJ98" i="825"/>
  <c r="AJ118" i="825"/>
  <c r="AH118" i="825"/>
  <c r="AK118" i="825" s="1"/>
  <c r="AH128" i="825"/>
  <c r="AL128" i="825" s="1"/>
  <c r="AJ40" i="825"/>
  <c r="AJ38" i="825"/>
  <c r="AH38" i="825"/>
  <c r="AB46" i="825"/>
  <c r="AC46" i="825" s="1"/>
  <c r="AE46" i="825" s="1"/>
  <c r="AH46" i="825" s="1"/>
  <c r="AB58" i="825"/>
  <c r="AC58" i="825" s="1"/>
  <c r="AE58" i="825" s="1"/>
  <c r="AJ58" i="825" s="1"/>
  <c r="AB83" i="825"/>
  <c r="AC83" i="825" s="1"/>
  <c r="AE83" i="825" s="1"/>
  <c r="AJ83" i="825" s="1"/>
  <c r="AB114" i="825"/>
  <c r="AC114" i="825" s="1"/>
  <c r="AE114" i="825" s="1"/>
  <c r="AJ114" i="825" s="1"/>
  <c r="AB43" i="825"/>
  <c r="AC43" i="825" s="1"/>
  <c r="AE43" i="825" s="1"/>
  <c r="AJ43" i="825" s="1"/>
  <c r="AB38" i="825"/>
  <c r="AC38" i="825" s="1"/>
  <c r="AE38" i="825" s="1"/>
  <c r="AB90" i="825"/>
  <c r="AC90" i="825" s="1"/>
  <c r="AE90" i="825" s="1"/>
  <c r="AH90" i="825" s="1"/>
  <c r="AB71" i="825"/>
  <c r="AC71" i="825" s="1"/>
  <c r="AE71" i="825" s="1"/>
  <c r="AB133" i="825"/>
  <c r="AC133" i="825" s="1"/>
  <c r="AE133" i="825" s="1"/>
  <c r="AJ133" i="825" s="1"/>
  <c r="AB136" i="825"/>
  <c r="AC136" i="825" s="1"/>
  <c r="AE136" i="825" s="1"/>
  <c r="AB5" i="825"/>
  <c r="AC5" i="825" s="1"/>
  <c r="AE5" i="825" s="1"/>
  <c r="AH5" i="825" s="1"/>
  <c r="AB27" i="825"/>
  <c r="AC27" i="825" s="1"/>
  <c r="AE27" i="825" s="1"/>
  <c r="AJ27" i="825" s="1"/>
  <c r="AB47" i="825"/>
  <c r="AC47" i="825" s="1"/>
  <c r="AE47" i="825" s="1"/>
  <c r="AJ47" i="825" s="1"/>
  <c r="AB50" i="825"/>
  <c r="AC50" i="825" s="1"/>
  <c r="AE50" i="825" s="1"/>
  <c r="AJ50" i="825" s="1"/>
  <c r="AB59" i="825"/>
  <c r="AC59" i="825" s="1"/>
  <c r="AE59" i="825" s="1"/>
  <c r="AH59" i="825" s="1"/>
  <c r="AB62" i="825"/>
  <c r="AC62" i="825" s="1"/>
  <c r="AE62" i="825" s="1"/>
  <c r="AJ62" i="825" s="1"/>
  <c r="AB130" i="825"/>
  <c r="AC130" i="825" s="1"/>
  <c r="AE130" i="825" s="1"/>
  <c r="AH130" i="825" s="1"/>
  <c r="AB11" i="825"/>
  <c r="AC11" i="825" s="1"/>
  <c r="AE11" i="825" s="1"/>
  <c r="AH11" i="825" s="1"/>
  <c r="AB30" i="825"/>
  <c r="AC30" i="825" s="1"/>
  <c r="AE30" i="825" s="1"/>
  <c r="AH30" i="825" s="1"/>
  <c r="AL30" i="825" s="1"/>
  <c r="AB68" i="825"/>
  <c r="AC68" i="825" s="1"/>
  <c r="AE68" i="825" s="1"/>
  <c r="AJ68" i="825" s="1"/>
  <c r="AH127" i="825"/>
  <c r="AL127" i="825" s="1"/>
  <c r="AB24" i="825"/>
  <c r="AC24" i="825" s="1"/>
  <c r="AE24" i="825" s="1"/>
  <c r="AH24" i="825" s="1"/>
  <c r="AK24" i="825" s="1"/>
  <c r="AB41" i="825"/>
  <c r="AC41" i="825" s="1"/>
  <c r="AE41" i="825" s="1"/>
  <c r="AJ41" i="825" s="1"/>
  <c r="AB78" i="825"/>
  <c r="AC78" i="825" s="1"/>
  <c r="AE78" i="825" s="1"/>
  <c r="AJ78" i="825" s="1"/>
  <c r="AB81" i="825"/>
  <c r="AC81" i="825" s="1"/>
  <c r="AE81" i="825" s="1"/>
  <c r="AH81" i="825" s="1"/>
  <c r="AB97" i="825"/>
  <c r="AC97" i="825" s="1"/>
  <c r="AE97" i="825" s="1"/>
  <c r="AH97" i="825" s="1"/>
  <c r="AB103" i="825"/>
  <c r="AC103" i="825" s="1"/>
  <c r="AE103" i="825" s="1"/>
  <c r="AB118" i="825"/>
  <c r="AC118" i="825" s="1"/>
  <c r="AE118" i="825" s="1"/>
  <c r="AB127" i="825"/>
  <c r="AC127" i="825" s="1"/>
  <c r="AE127" i="825" s="1"/>
  <c r="AJ127" i="825" s="1"/>
  <c r="AB56" i="825"/>
  <c r="AC56" i="825" s="1"/>
  <c r="AE56" i="825" s="1"/>
  <c r="AB36" i="825"/>
  <c r="AC36" i="825" s="1"/>
  <c r="AE36" i="825" s="1"/>
  <c r="AJ36" i="825" s="1"/>
  <c r="AB100" i="825"/>
  <c r="AC100" i="825" s="1"/>
  <c r="AE100" i="825" s="1"/>
  <c r="AJ100" i="825" s="1"/>
  <c r="AB91" i="825"/>
  <c r="AC91" i="825" s="1"/>
  <c r="AE91" i="825" s="1"/>
  <c r="AJ91" i="825" s="1"/>
  <c r="AB113" i="825"/>
  <c r="AC113" i="825" s="1"/>
  <c r="AE113" i="825" s="1"/>
  <c r="AH113" i="825" s="1"/>
  <c r="AB137" i="825"/>
  <c r="AC137" i="825" s="1"/>
  <c r="AE137" i="825" s="1"/>
  <c r="AH137" i="825" s="1"/>
  <c r="AB48" i="825"/>
  <c r="AC48" i="825" s="1"/>
  <c r="AE48" i="825" s="1"/>
  <c r="AH48" i="825" s="1"/>
  <c r="AB66" i="825"/>
  <c r="AC66" i="825" s="1"/>
  <c r="AE66" i="825" s="1"/>
  <c r="AJ66" i="825" s="1"/>
  <c r="AB69" i="825"/>
  <c r="AC69" i="825" s="1"/>
  <c r="AE69" i="825" s="1"/>
  <c r="AJ69" i="825" s="1"/>
  <c r="AB107" i="825"/>
  <c r="AC107" i="825" s="1"/>
  <c r="AE107" i="825" s="1"/>
  <c r="AJ107" i="825" s="1"/>
  <c r="AB134" i="825"/>
  <c r="AC134" i="825" s="1"/>
  <c r="AE134" i="825" s="1"/>
  <c r="AJ134" i="825" s="1"/>
  <c r="AB49" i="825"/>
  <c r="AC49" i="825" s="1"/>
  <c r="AE49" i="825" s="1"/>
  <c r="AH49" i="825" s="1"/>
  <c r="AB80" i="825"/>
  <c r="AC80" i="825" s="1"/>
  <c r="AE80" i="825" s="1"/>
  <c r="AH80" i="825" s="1"/>
  <c r="AB108" i="825"/>
  <c r="AC108" i="825" s="1"/>
  <c r="AE108" i="825" s="1"/>
  <c r="AH108" i="825" s="1"/>
  <c r="AB138" i="825"/>
  <c r="AC138" i="825" s="1"/>
  <c r="AE138" i="825" s="1"/>
  <c r="AJ138" i="825" s="1"/>
  <c r="AB126" i="825"/>
  <c r="AC126" i="825" s="1"/>
  <c r="AE126" i="825" s="1"/>
  <c r="AH126" i="825" s="1"/>
  <c r="AL126" i="825" s="1"/>
  <c r="AB74" i="825"/>
  <c r="AC74" i="825" s="1"/>
  <c r="AE74" i="825" s="1"/>
  <c r="AH74" i="825" s="1"/>
  <c r="AB123" i="825"/>
  <c r="AC123" i="825" s="1"/>
  <c r="AE123" i="825" s="1"/>
  <c r="AH123" i="825" s="1"/>
  <c r="AB93" i="825"/>
  <c r="AC93" i="825" s="1"/>
  <c r="AE93" i="825" s="1"/>
  <c r="AH93" i="825" s="1"/>
  <c r="AB120" i="825"/>
  <c r="AC120" i="825" s="1"/>
  <c r="AE120" i="825" s="1"/>
  <c r="AH120" i="825" s="1"/>
  <c r="AB53" i="825"/>
  <c r="AC53" i="825" s="1"/>
  <c r="AE53" i="825" s="1"/>
  <c r="AJ53" i="825" s="1"/>
  <c r="AB21" i="825"/>
  <c r="AC21" i="825" s="1"/>
  <c r="AE21" i="825" s="1"/>
  <c r="AJ21" i="825" s="1"/>
  <c r="AB33" i="825"/>
  <c r="AC33" i="825" s="1"/>
  <c r="AE33" i="825" s="1"/>
  <c r="AH33" i="825" s="1"/>
  <c r="AB94" i="825"/>
  <c r="AC94" i="825" s="1"/>
  <c r="AE94" i="825" s="1"/>
  <c r="AH94" i="825" s="1"/>
  <c r="AB54" i="825"/>
  <c r="AC54" i="825" s="1"/>
  <c r="AE54" i="825" s="1"/>
  <c r="AJ54" i="825" s="1"/>
  <c r="AB57" i="825"/>
  <c r="AC57" i="825" s="1"/>
  <c r="AE57" i="825" s="1"/>
  <c r="AH57" i="825" s="1"/>
  <c r="AB63" i="825"/>
  <c r="AC63" i="825" s="1"/>
  <c r="AE63" i="825" s="1"/>
  <c r="AH63" i="825" s="1"/>
  <c r="AB140" i="825"/>
  <c r="AC140" i="825" s="1"/>
  <c r="AE140" i="825" s="1"/>
  <c r="AH140" i="825" s="1"/>
  <c r="AB7" i="825"/>
  <c r="AC7" i="825" s="1"/>
  <c r="AE7" i="825" s="1"/>
  <c r="AJ7" i="825" s="1"/>
  <c r="AC13" i="825"/>
  <c r="AE13" i="825" s="1"/>
  <c r="AH13" i="825" s="1"/>
  <c r="AB28" i="825"/>
  <c r="AC28" i="825" s="1"/>
  <c r="AE28" i="825" s="1"/>
  <c r="AJ28" i="825" s="1"/>
  <c r="AB79" i="825"/>
  <c r="AC79" i="825" s="1"/>
  <c r="AE79" i="825" s="1"/>
  <c r="AH79" i="825" s="1"/>
  <c r="AB116" i="825"/>
  <c r="AC116" i="825" s="1"/>
  <c r="AE116" i="825" s="1"/>
  <c r="AJ116" i="825" s="1"/>
  <c r="AB64" i="825"/>
  <c r="AC64" i="825" s="1"/>
  <c r="AE64" i="825" s="1"/>
  <c r="AJ64" i="825" s="1"/>
  <c r="AB117" i="825"/>
  <c r="AC117" i="825" s="1"/>
  <c r="AE117" i="825" s="1"/>
  <c r="AJ117" i="825" s="1"/>
  <c r="AB77" i="825"/>
  <c r="AC77" i="825" s="1"/>
  <c r="AE77" i="825" s="1"/>
  <c r="AJ74" i="825"/>
  <c r="AB99" i="825"/>
  <c r="AC99" i="825" s="1"/>
  <c r="AE99" i="825" s="1"/>
  <c r="AH99" i="825" s="1"/>
  <c r="AB87" i="825"/>
  <c r="AC87" i="825" s="1"/>
  <c r="AE87" i="825" s="1"/>
  <c r="AH87" i="825" s="1"/>
  <c r="AB44" i="825"/>
  <c r="AC44" i="825" s="1"/>
  <c r="AE44" i="825" s="1"/>
  <c r="AJ44" i="825" s="1"/>
  <c r="AB121" i="825"/>
  <c r="AC121" i="825" s="1"/>
  <c r="AE121" i="825" s="1"/>
  <c r="AB124" i="825"/>
  <c r="AC124" i="825" s="1"/>
  <c r="AE124" i="825" s="1"/>
  <c r="AJ124" i="825" s="1"/>
  <c r="AB88" i="825"/>
  <c r="AC88" i="825" s="1"/>
  <c r="AE88" i="825" s="1"/>
  <c r="AJ88" i="825" s="1"/>
  <c r="AB39" i="825"/>
  <c r="AC39" i="825" s="1"/>
  <c r="AE39" i="825" s="1"/>
  <c r="AJ39" i="825" s="1"/>
  <c r="AB51" i="825"/>
  <c r="AC51" i="825" s="1"/>
  <c r="AE51" i="825" s="1"/>
  <c r="AH51" i="825" s="1"/>
  <c r="AB60" i="825"/>
  <c r="AC60" i="825" s="1"/>
  <c r="AE60" i="825" s="1"/>
  <c r="AJ60" i="825" s="1"/>
  <c r="AB110" i="825"/>
  <c r="AC110" i="825" s="1"/>
  <c r="AE110" i="825" s="1"/>
  <c r="AJ110" i="825" s="1"/>
  <c r="AB131" i="825"/>
  <c r="AC131" i="825" s="1"/>
  <c r="AE131" i="825" s="1"/>
  <c r="AH131" i="825" s="1"/>
  <c r="AB22" i="825"/>
  <c r="AC22" i="825" s="1"/>
  <c r="AE22" i="825" s="1"/>
  <c r="AH22" i="825" s="1"/>
  <c r="AB37" i="825"/>
  <c r="AC37" i="825" s="1"/>
  <c r="AE37" i="825" s="1"/>
  <c r="AJ37" i="825" s="1"/>
  <c r="AB42" i="825"/>
  <c r="AC42" i="825" s="1"/>
  <c r="AE42" i="825" s="1"/>
  <c r="AH42" i="825" s="1"/>
  <c r="AB76" i="825"/>
  <c r="AC76" i="825" s="1"/>
  <c r="AE76" i="825" s="1"/>
  <c r="AJ76" i="825" s="1"/>
  <c r="AB101" i="825"/>
  <c r="AC101" i="825" s="1"/>
  <c r="AE101" i="825" s="1"/>
  <c r="AH101" i="825" s="1"/>
  <c r="AB104" i="825"/>
  <c r="AC104" i="825" s="1"/>
  <c r="AE104" i="825" s="1"/>
  <c r="AH104" i="825" s="1"/>
  <c r="AK104" i="825" s="1"/>
  <c r="AK86" i="825"/>
  <c r="AH61" i="825"/>
  <c r="AJ61" i="825"/>
  <c r="AK126" i="825"/>
  <c r="AH121" i="825"/>
  <c r="AJ121" i="825"/>
  <c r="AJ56" i="825"/>
  <c r="AH56" i="825"/>
  <c r="AK97" i="825"/>
  <c r="AL97" i="825"/>
  <c r="AJ103" i="825"/>
  <c r="AH103" i="825"/>
  <c r="AJ77" i="825"/>
  <c r="AH77" i="825"/>
  <c r="AJ63" i="825"/>
  <c r="AJ119" i="825"/>
  <c r="AH119" i="825"/>
  <c r="AJ82" i="825"/>
  <c r="AH31" i="825"/>
  <c r="AJ128" i="825"/>
  <c r="AJ89" i="825"/>
  <c r="AH89" i="825"/>
  <c r="AH40" i="825"/>
  <c r="AJ71" i="825"/>
  <c r="AH71" i="825"/>
  <c r="AJ97" i="825"/>
  <c r="AJ111" i="825"/>
  <c r="AH111" i="825"/>
  <c r="AJ34" i="825"/>
  <c r="AJ86" i="825"/>
  <c r="AJ136" i="825"/>
  <c r="AH136" i="825"/>
  <c r="AH138" i="825"/>
  <c r="AJ106" i="825"/>
  <c r="AJ126" i="825"/>
  <c r="AH133" i="825"/>
  <c r="AJ93" i="825"/>
  <c r="AB96" i="825"/>
  <c r="AC96" i="825" s="1"/>
  <c r="AE96" i="825" s="1"/>
  <c r="AJ96" i="825" s="1"/>
  <c r="AB129" i="825"/>
  <c r="AC129" i="825" s="1"/>
  <c r="AE129" i="825" s="1"/>
  <c r="AH129" i="825" s="1"/>
  <c r="AB73" i="825"/>
  <c r="AC73" i="825" s="1"/>
  <c r="AE73" i="825" s="1"/>
  <c r="AJ73" i="825" s="1"/>
  <c r="AB109" i="825"/>
  <c r="AC109" i="825" s="1"/>
  <c r="AE109" i="825" s="1"/>
  <c r="AJ109" i="825" s="1"/>
  <c r="AB135" i="825"/>
  <c r="AC135" i="825" s="1"/>
  <c r="AE135" i="825" s="1"/>
  <c r="AB125" i="825"/>
  <c r="AC125" i="825" s="1"/>
  <c r="AE125" i="825" s="1"/>
  <c r="AB115" i="825"/>
  <c r="AC115" i="825" s="1"/>
  <c r="AE115" i="825" s="1"/>
  <c r="AB105" i="825"/>
  <c r="AC105" i="825" s="1"/>
  <c r="AE105" i="825" s="1"/>
  <c r="AJ105" i="825" s="1"/>
  <c r="AB95" i="825"/>
  <c r="AC95" i="825" s="1"/>
  <c r="AE95" i="825" s="1"/>
  <c r="AB85" i="825"/>
  <c r="AC85" i="825" s="1"/>
  <c r="AE85" i="825" s="1"/>
  <c r="AB75" i="825"/>
  <c r="AC75" i="825" s="1"/>
  <c r="AE75" i="825" s="1"/>
  <c r="AJ75" i="825" s="1"/>
  <c r="AB65" i="825"/>
  <c r="AC65" i="825" s="1"/>
  <c r="AE65" i="825" s="1"/>
  <c r="AJ65" i="825" s="1"/>
  <c r="AB55" i="825"/>
  <c r="AC55" i="825" s="1"/>
  <c r="AE55" i="825" s="1"/>
  <c r="AB45" i="825"/>
  <c r="AC45" i="825" s="1"/>
  <c r="AE45" i="825" s="1"/>
  <c r="AH45" i="825" s="1"/>
  <c r="AB35" i="825"/>
  <c r="AC35" i="825" s="1"/>
  <c r="AE35" i="825" s="1"/>
  <c r="AB25" i="825"/>
  <c r="AC25" i="825" s="1"/>
  <c r="AE25" i="825" s="1"/>
  <c r="AJ25" i="825" s="1"/>
  <c r="AB15" i="825"/>
  <c r="AC15" i="825" s="1"/>
  <c r="AE15" i="825" s="1"/>
  <c r="AB9" i="825"/>
  <c r="AC9" i="825" s="1"/>
  <c r="AE9" i="825" s="1"/>
  <c r="AJ9" i="825" s="1"/>
  <c r="AB132" i="825"/>
  <c r="AC132" i="825" s="1"/>
  <c r="AE132" i="825" s="1"/>
  <c r="AJ132" i="825" s="1"/>
  <c r="AB122" i="825"/>
  <c r="AC122" i="825" s="1"/>
  <c r="AE122" i="825" s="1"/>
  <c r="AH122" i="825" s="1"/>
  <c r="AB112" i="825"/>
  <c r="AC112" i="825" s="1"/>
  <c r="AE112" i="825" s="1"/>
  <c r="AJ112" i="825" s="1"/>
  <c r="AB102" i="825"/>
  <c r="AC102" i="825" s="1"/>
  <c r="AE102" i="825" s="1"/>
  <c r="AH102" i="825" s="1"/>
  <c r="AB92" i="825"/>
  <c r="AC92" i="825" s="1"/>
  <c r="AE92" i="825" s="1"/>
  <c r="AH92" i="825" s="1"/>
  <c r="AB82" i="825"/>
  <c r="AC82" i="825" s="1"/>
  <c r="AE82" i="825" s="1"/>
  <c r="AH82" i="825" s="1"/>
  <c r="AB72" i="825"/>
  <c r="AC72" i="825" s="1"/>
  <c r="AE72" i="825" s="1"/>
  <c r="AJ72" i="825" s="1"/>
  <c r="AB19" i="825"/>
  <c r="AC19" i="825" s="1"/>
  <c r="AE19" i="825" s="1"/>
  <c r="AJ19" i="825" s="1"/>
  <c r="AB23" i="825"/>
  <c r="AC23" i="825" s="1"/>
  <c r="AE23" i="825" s="1"/>
  <c r="AH23" i="825" s="1"/>
  <c r="AB26" i="825"/>
  <c r="AC26" i="825" s="1"/>
  <c r="AE26" i="825" s="1"/>
  <c r="AB29" i="825"/>
  <c r="AC29" i="825" s="1"/>
  <c r="AE29" i="825" s="1"/>
  <c r="AH29" i="825" s="1"/>
  <c r="AB32" i="825"/>
  <c r="AC32" i="825" s="1"/>
  <c r="AE32" i="825" s="1"/>
  <c r="AJ32" i="825" s="1"/>
  <c r="AB67" i="825"/>
  <c r="AC67" i="825" s="1"/>
  <c r="AE67" i="825" s="1"/>
  <c r="AJ67" i="825" s="1"/>
  <c r="AB70" i="825"/>
  <c r="AC70" i="825" s="1"/>
  <c r="AE70" i="825" s="1"/>
  <c r="AH70" i="825" s="1"/>
  <c r="AB84" i="825"/>
  <c r="AC84" i="825" s="1"/>
  <c r="AE84" i="825" s="1"/>
  <c r="AB106" i="825"/>
  <c r="AC106" i="825" s="1"/>
  <c r="AE106" i="825" s="1"/>
  <c r="AH106" i="825" s="1"/>
  <c r="AB139" i="825"/>
  <c r="AC139" i="825" s="1"/>
  <c r="AE139" i="825" s="1"/>
  <c r="AJ139" i="825" s="1"/>
  <c r="AH17" i="825" l="1"/>
  <c r="AL24" i="825"/>
  <c r="AH50" i="825"/>
  <c r="AJ108" i="825"/>
  <c r="AH116" i="825"/>
  <c r="AL118" i="825"/>
  <c r="AJ42" i="825"/>
  <c r="AJ79" i="825"/>
  <c r="AH76" i="825"/>
  <c r="AH28" i="825"/>
  <c r="AH44" i="825"/>
  <c r="AL44" i="825" s="1"/>
  <c r="AH109" i="825"/>
  <c r="AL109" i="825" s="1"/>
  <c r="AJ80" i="825"/>
  <c r="AH64" i="825"/>
  <c r="AL64" i="825" s="1"/>
  <c r="AH100" i="825"/>
  <c r="AL100" i="825" s="1"/>
  <c r="AJ101" i="825"/>
  <c r="AH53" i="825"/>
  <c r="AL53" i="825" s="1"/>
  <c r="AJ122" i="825"/>
  <c r="AH112" i="825"/>
  <c r="AH96" i="825"/>
  <c r="AL96" i="825" s="1"/>
  <c r="AH37" i="825"/>
  <c r="AL37" i="825" s="1"/>
  <c r="AH47" i="825"/>
  <c r="AL47" i="825" s="1"/>
  <c r="AH52" i="825"/>
  <c r="AJ129" i="825"/>
  <c r="AJ11" i="825"/>
  <c r="AJ59" i="825"/>
  <c r="AJ120" i="825"/>
  <c r="AJ113" i="825"/>
  <c r="AH134" i="825"/>
  <c r="AL134" i="825" s="1"/>
  <c r="AH105" i="825"/>
  <c r="AK105" i="825" s="1"/>
  <c r="AH66" i="825"/>
  <c r="AJ123" i="825"/>
  <c r="AJ130" i="825"/>
  <c r="AH124" i="825"/>
  <c r="AL124" i="825" s="1"/>
  <c r="AJ22" i="825"/>
  <c r="AH110" i="825"/>
  <c r="AK110" i="825" s="1"/>
  <c r="AH91" i="825"/>
  <c r="AK91" i="825" s="1"/>
  <c r="AJ90" i="825"/>
  <c r="AK128" i="825"/>
  <c r="AJ46" i="825"/>
  <c r="AJ51" i="825"/>
  <c r="AJ48" i="825"/>
  <c r="AH21" i="825"/>
  <c r="AL104" i="825"/>
  <c r="AH117" i="825"/>
  <c r="AH58" i="825"/>
  <c r="AL58" i="825" s="1"/>
  <c r="AJ137" i="825"/>
  <c r="AH88" i="825"/>
  <c r="AH43" i="825"/>
  <c r="AJ92" i="825"/>
  <c r="AH62" i="825"/>
  <c r="AK62" i="825" s="1"/>
  <c r="AH27" i="825"/>
  <c r="AL27" i="825" s="1"/>
  <c r="AH7" i="825"/>
  <c r="AK7" i="825" s="1"/>
  <c r="AJ94" i="825"/>
  <c r="AJ81" i="825"/>
  <c r="AJ33" i="825"/>
  <c r="AJ13" i="825"/>
  <c r="AH41" i="825"/>
  <c r="AK41" i="825" s="1"/>
  <c r="AJ57" i="825"/>
  <c r="AJ23" i="825"/>
  <c r="AJ102" i="825"/>
  <c r="AH69" i="825"/>
  <c r="AK69" i="825" s="1"/>
  <c r="AH114" i="825"/>
  <c r="AL114" i="825" s="1"/>
  <c r="AJ5" i="825"/>
  <c r="AH73" i="825"/>
  <c r="AK73" i="825" s="1"/>
  <c r="AH83" i="825"/>
  <c r="AL83" i="825" s="1"/>
  <c r="AH60" i="825"/>
  <c r="AK38" i="825"/>
  <c r="AL38" i="825"/>
  <c r="AJ29" i="825"/>
  <c r="AH78" i="825"/>
  <c r="AK78" i="825" s="1"/>
  <c r="AH68" i="825"/>
  <c r="AL68" i="825" s="1"/>
  <c r="AH132" i="825"/>
  <c r="AK132" i="825" s="1"/>
  <c r="AH54" i="825"/>
  <c r="AL54" i="825" s="1"/>
  <c r="AJ24" i="825"/>
  <c r="AH36" i="825"/>
  <c r="AL36" i="825" s="1"/>
  <c r="AH107" i="825"/>
  <c r="AL107" i="825" s="1"/>
  <c r="AJ104" i="825"/>
  <c r="AJ49" i="825"/>
  <c r="AH19" i="825"/>
  <c r="AL19" i="825" s="1"/>
  <c r="AJ99" i="825"/>
  <c r="AK30" i="825"/>
  <c r="AJ140" i="825"/>
  <c r="AJ131" i="825"/>
  <c r="AJ30" i="825"/>
  <c r="AH67" i="825"/>
  <c r="AK67" i="825" s="1"/>
  <c r="AH39" i="825"/>
  <c r="AL39" i="825" s="1"/>
  <c r="AJ87" i="825"/>
  <c r="AK127" i="825"/>
  <c r="AK98" i="825"/>
  <c r="AK82" i="825"/>
  <c r="AL82" i="825"/>
  <c r="AL45" i="825"/>
  <c r="AK45" i="825"/>
  <c r="AL70" i="825"/>
  <c r="AK70" i="825"/>
  <c r="AK57" i="825"/>
  <c r="AL57" i="825"/>
  <c r="AL102" i="825"/>
  <c r="AK102" i="825"/>
  <c r="AK64" i="825"/>
  <c r="AL56" i="825"/>
  <c r="AK56" i="825"/>
  <c r="AL106" i="825"/>
  <c r="AK106" i="825"/>
  <c r="AK48" i="825"/>
  <c r="AL48" i="825"/>
  <c r="AJ55" i="825"/>
  <c r="AH55" i="825"/>
  <c r="AH139" i="825"/>
  <c r="AK60" i="825"/>
  <c r="AL60" i="825"/>
  <c r="AL66" i="825"/>
  <c r="AK66" i="825"/>
  <c r="AL140" i="825"/>
  <c r="AK140" i="825"/>
  <c r="AH25" i="825"/>
  <c r="AK47" i="825"/>
  <c r="AJ85" i="825"/>
  <c r="AH85" i="825"/>
  <c r="AL40" i="825"/>
  <c r="AK40" i="825"/>
  <c r="AL137" i="825"/>
  <c r="AK137" i="825"/>
  <c r="AH95" i="825"/>
  <c r="AJ95" i="825"/>
  <c r="AL138" i="825"/>
  <c r="AK138" i="825"/>
  <c r="AL89" i="825"/>
  <c r="AK89" i="825"/>
  <c r="AL22" i="825"/>
  <c r="AK22" i="825"/>
  <c r="AL59" i="825"/>
  <c r="AK59" i="825"/>
  <c r="AL92" i="825"/>
  <c r="AK92" i="825"/>
  <c r="AH26" i="825"/>
  <c r="AJ26" i="825"/>
  <c r="AL136" i="825"/>
  <c r="AK136" i="825"/>
  <c r="AL101" i="825"/>
  <c r="AK101" i="825"/>
  <c r="AL79" i="825"/>
  <c r="AK79" i="825"/>
  <c r="AL23" i="825"/>
  <c r="AK23" i="825"/>
  <c r="AJ115" i="825"/>
  <c r="AH115" i="825"/>
  <c r="AL123" i="825"/>
  <c r="AK123" i="825"/>
  <c r="AL103" i="825"/>
  <c r="AK103" i="825"/>
  <c r="AL94" i="825"/>
  <c r="AK94" i="825"/>
  <c r="AJ125" i="825"/>
  <c r="AH125" i="825"/>
  <c r="AK11" i="825"/>
  <c r="AL11" i="825"/>
  <c r="AL33" i="825"/>
  <c r="AK33" i="825"/>
  <c r="AH65" i="825"/>
  <c r="AH72" i="825"/>
  <c r="AL130" i="825"/>
  <c r="AK130" i="825"/>
  <c r="AL67" i="825"/>
  <c r="AH35" i="825"/>
  <c r="AJ35" i="825"/>
  <c r="AL31" i="825"/>
  <c r="AK31" i="825"/>
  <c r="AL122" i="825"/>
  <c r="AK122" i="825"/>
  <c r="AL28" i="825"/>
  <c r="AK28" i="825"/>
  <c r="AL129" i="825"/>
  <c r="AK129" i="825"/>
  <c r="AL51" i="825"/>
  <c r="AK51" i="825"/>
  <c r="AL71" i="825"/>
  <c r="AK71" i="825"/>
  <c r="AL13" i="825"/>
  <c r="AK13" i="825"/>
  <c r="AL46" i="825"/>
  <c r="AK46" i="825"/>
  <c r="AH9" i="825"/>
  <c r="AL108" i="825"/>
  <c r="AK108" i="825"/>
  <c r="AL120" i="825"/>
  <c r="AK120" i="825"/>
  <c r="AK80" i="825"/>
  <c r="AL80" i="825"/>
  <c r="AL21" i="825"/>
  <c r="AK21" i="825"/>
  <c r="AL43" i="825"/>
  <c r="AK43" i="825"/>
  <c r="AL34" i="825"/>
  <c r="AK34" i="825"/>
  <c r="AL119" i="825"/>
  <c r="AK119" i="825"/>
  <c r="AK99" i="825"/>
  <c r="AL99" i="825"/>
  <c r="AL42" i="825"/>
  <c r="AK42" i="825"/>
  <c r="AL81" i="825"/>
  <c r="AK81" i="825"/>
  <c r="AK5" i="825"/>
  <c r="AL5" i="825"/>
  <c r="AL61" i="825"/>
  <c r="AK61" i="825"/>
  <c r="AJ45" i="825"/>
  <c r="AL112" i="825"/>
  <c r="AK112" i="825"/>
  <c r="AL93" i="825"/>
  <c r="AK93" i="825"/>
  <c r="AH32" i="825"/>
  <c r="AK50" i="825"/>
  <c r="AL50" i="825"/>
  <c r="AL133" i="825"/>
  <c r="AK133" i="825"/>
  <c r="AJ15" i="825"/>
  <c r="AH15" i="825"/>
  <c r="AL62" i="825"/>
  <c r="AK29" i="825"/>
  <c r="AL29" i="825"/>
  <c r="AL76" i="825"/>
  <c r="AK76" i="825"/>
  <c r="AJ84" i="825"/>
  <c r="AH84" i="825"/>
  <c r="AK109" i="825"/>
  <c r="AL49" i="825"/>
  <c r="AK49" i="825"/>
  <c r="AK77" i="825"/>
  <c r="AL77" i="825"/>
  <c r="AK121" i="825"/>
  <c r="AL121" i="825"/>
  <c r="AL116" i="825"/>
  <c r="AK116" i="825"/>
  <c r="AJ135" i="825"/>
  <c r="AH135" i="825"/>
  <c r="AL131" i="825"/>
  <c r="AK131" i="825"/>
  <c r="AL87" i="825"/>
  <c r="AK87" i="825"/>
  <c r="AH75" i="825"/>
  <c r="AL90" i="825"/>
  <c r="AK90" i="825"/>
  <c r="AJ70" i="825"/>
  <c r="AL113" i="825"/>
  <c r="AK113" i="825"/>
  <c r="AL74" i="825"/>
  <c r="AK74" i="825"/>
  <c r="AL111" i="825"/>
  <c r="AK111" i="825"/>
  <c r="AK63" i="825"/>
  <c r="AL63" i="825"/>
  <c r="AL17" i="825"/>
  <c r="AK17" i="825"/>
  <c r="AK96" i="825" l="1"/>
  <c r="AK100" i="825"/>
  <c r="AL7" i="825"/>
  <c r="AK53" i="825"/>
  <c r="AK44" i="825"/>
  <c r="AK37" i="825"/>
  <c r="AK36" i="825"/>
  <c r="AL91" i="825"/>
  <c r="AK27" i="825"/>
  <c r="AL132" i="825"/>
  <c r="AK117" i="825"/>
  <c r="AL117" i="825"/>
  <c r="AK124" i="825"/>
  <c r="AL52" i="825"/>
  <c r="AK52" i="825"/>
  <c r="AL105" i="825"/>
  <c r="AK134" i="825"/>
  <c r="AL110" i="825"/>
  <c r="AK83" i="825"/>
  <c r="AK58" i="825"/>
  <c r="AK54" i="825"/>
  <c r="AL78" i="825"/>
  <c r="AK68" i="825"/>
  <c r="AK39" i="825"/>
  <c r="AK107" i="825"/>
  <c r="AK19" i="825"/>
  <c r="AL73" i="825"/>
  <c r="AK88" i="825"/>
  <c r="AL88" i="825"/>
  <c r="AL41" i="825"/>
  <c r="AK114" i="825"/>
  <c r="AL69" i="825"/>
  <c r="AL85" i="825"/>
  <c r="AK85" i="825"/>
  <c r="AL25" i="825"/>
  <c r="AK25" i="825"/>
  <c r="AK15" i="825"/>
  <c r="AL15" i="825"/>
  <c r="AL72" i="825"/>
  <c r="AK72" i="825"/>
  <c r="AL65" i="825"/>
  <c r="AK65" i="825"/>
  <c r="AK32" i="825"/>
  <c r="AL32" i="825"/>
  <c r="AK9" i="825"/>
  <c r="AL9" i="825"/>
  <c r="AL135" i="825"/>
  <c r="AK135" i="825"/>
  <c r="AL35" i="825"/>
  <c r="AK35" i="825"/>
  <c r="AL125" i="825"/>
  <c r="AK125" i="825"/>
  <c r="AK95" i="825"/>
  <c r="AL95" i="825"/>
  <c r="AL75" i="825"/>
  <c r="AK75" i="825"/>
  <c r="AK139" i="825"/>
  <c r="AL139" i="825"/>
  <c r="AL55" i="825"/>
  <c r="AK55" i="825"/>
  <c r="AL26" i="825"/>
  <c r="AK26" i="825"/>
  <c r="AL115" i="825"/>
  <c r="AK115" i="825"/>
  <c r="AL84" i="825"/>
  <c r="AK84" i="825"/>
</calcChain>
</file>

<file path=xl/sharedStrings.xml><?xml version="1.0" encoding="utf-8"?>
<sst xmlns="http://schemas.openxmlformats.org/spreadsheetml/2006/main" count="1977" uniqueCount="706">
  <si>
    <t>신인도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</si>
  <si>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</si>
  <si>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</si>
  <si>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</si>
  <si>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</si>
  <si>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예상점수</t>
    <phoneticPr fontId="3" type="noConversion"/>
  </si>
  <si>
    <t>입찰점수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</si>
  <si>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</si>
  <si>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</si>
  <si>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</si>
  <si>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</si>
  <si>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경영          (15점만점)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</si>
  <si>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</si>
  <si>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</si>
  <si>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</si>
  <si>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</si>
  <si>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</si>
  <si>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</si>
  <si>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가점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</si>
  <si>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</si>
  <si>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</si>
  <si>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</si>
  <si>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설계금액</t>
    <phoneticPr fontId="3" type="noConversion"/>
  </si>
  <si>
    <t>시평기준</t>
    <phoneticPr fontId="3" type="noConversion"/>
  </si>
  <si>
    <t>시공능력</t>
    <phoneticPr fontId="3" type="noConversion"/>
  </si>
  <si>
    <t>추정가격</t>
    <phoneticPr fontId="3" type="noConversion"/>
  </si>
  <si>
    <t>순공사
점수</t>
    <phoneticPr fontId="3" type="noConversion"/>
  </si>
  <si>
    <t>구성원4</t>
    <phoneticPr fontId="3" type="noConversion"/>
  </si>
  <si>
    <t>실적만점</t>
    <phoneticPr fontId="3" type="noConversion"/>
  </si>
  <si>
    <t>추정금액
(시공비율)</t>
    <phoneticPr fontId="3" type="noConversion"/>
  </si>
  <si>
    <t>입찰</t>
    <phoneticPr fontId="3" type="noConversion"/>
  </si>
  <si>
    <t>경영적용점수</t>
    <phoneticPr fontId="3" type="noConversion"/>
  </si>
  <si>
    <t>참여가능비율</t>
  </si>
  <si>
    <t>시공능력구성사1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</si>
  <si>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</si>
  <si>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</si>
  <si>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</si>
  <si>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시공능력대표사</t>
    <phoneticPr fontId="3" type="noConversion"/>
  </si>
  <si>
    <t>참가자격
시평제한</t>
    <phoneticPr fontId="3" type="noConversion"/>
  </si>
  <si>
    <t>구성원2</t>
    <phoneticPr fontId="3" type="noConversion"/>
  </si>
  <si>
    <t>시공경험(최근5년간 1배수, 품질평가점수)</t>
    <phoneticPr fontId="3" type="noConversion"/>
  </si>
  <si>
    <t>송원이앤씨</t>
    <phoneticPr fontId="3" type="noConversion"/>
  </si>
  <si>
    <t>대흥디씨티</t>
    <phoneticPr fontId="3" type="noConversion"/>
  </si>
  <si>
    <t xml:space="preserve">품질 88점이상:3점/ 85점이상:2점/ 83점이상:1.5점/ 80점이상:1점 </t>
    <phoneticPr fontId="3" type="noConversion"/>
  </si>
  <si>
    <t>2024.04.15</t>
    <phoneticPr fontId="3" type="noConversion"/>
  </si>
  <si>
    <t>단순
합산</t>
    <phoneticPr fontId="3" type="noConversion"/>
  </si>
  <si>
    <t>5년1배수</t>
    <phoneticPr fontId="3" type="noConversion"/>
  </si>
  <si>
    <t>연번</t>
    <phoneticPr fontId="3" type="noConversion"/>
  </si>
  <si>
    <t>경영상태(부채,유동,영업기간)</t>
    <phoneticPr fontId="3" type="noConversion"/>
  </si>
  <si>
    <t>수행능력
점수</t>
    <phoneticPr fontId="3" type="noConversion"/>
  </si>
  <si>
    <t>에코엠이엔씨</t>
    <phoneticPr fontId="3" type="noConversion"/>
  </si>
  <si>
    <t>합산
지분</t>
    <phoneticPr fontId="3" type="noConversion"/>
  </si>
  <si>
    <t>시공능력구성사2</t>
    <phoneticPr fontId="3" type="noConversion"/>
  </si>
  <si>
    <t>시공능력구성사3</t>
    <phoneticPr fontId="3" type="noConversion"/>
  </si>
  <si>
    <t>덕원전설</t>
    <phoneticPr fontId="3" type="noConversion"/>
  </si>
  <si>
    <t>입찰참가자격
전기</t>
    <phoneticPr fontId="3" type="noConversion"/>
  </si>
  <si>
    <t>입찰참가자격
소방</t>
    <phoneticPr fontId="3" type="noConversion"/>
  </si>
  <si>
    <t>에스지씨이앤씨</t>
    <phoneticPr fontId="3" type="noConversion"/>
  </si>
  <si>
    <t>지음이엔아이</t>
    <phoneticPr fontId="3" type="noConversion"/>
  </si>
  <si>
    <t>도원이엔아이</t>
    <phoneticPr fontId="3" type="noConversion"/>
  </si>
  <si>
    <t>도화엔지니어링</t>
    <phoneticPr fontId="3" type="noConversion"/>
  </si>
  <si>
    <t>우진일렉트</t>
    <phoneticPr fontId="3" type="noConversion"/>
  </si>
  <si>
    <t>삼천리이엔지</t>
    <phoneticPr fontId="3" type="noConversion"/>
  </si>
  <si>
    <t>지음쏠라테크</t>
    <phoneticPr fontId="3" type="noConversion"/>
  </si>
  <si>
    <t>이화공영</t>
    <phoneticPr fontId="3" type="noConversion"/>
  </si>
  <si>
    <t>정준테크</t>
    <phoneticPr fontId="3" type="noConversion"/>
  </si>
  <si>
    <t>엔케이이엔씨</t>
    <phoneticPr fontId="3" type="noConversion"/>
  </si>
  <si>
    <t>태호ENG_이동훈</t>
    <phoneticPr fontId="3" type="noConversion"/>
  </si>
  <si>
    <t>거성전력
윤명숙</t>
    <phoneticPr fontId="3" type="noConversion"/>
  </si>
  <si>
    <t>서울 49%, 5개사</t>
    <phoneticPr fontId="3" type="noConversion"/>
  </si>
  <si>
    <t>강남이엔씨_이동훈
57.62</t>
    <phoneticPr fontId="3" type="noConversion"/>
  </si>
  <si>
    <t>태건전설_윤명숙
56.31</t>
    <phoneticPr fontId="3" type="noConversion"/>
  </si>
  <si>
    <t>세현전력
윤명숙
39.61</t>
    <phoneticPr fontId="3" type="noConversion"/>
  </si>
  <si>
    <t>거성전력
윤명숙
20.50</t>
    <phoneticPr fontId="3" type="noConversion"/>
  </si>
  <si>
    <t>영웅개발
30.61</t>
    <phoneticPr fontId="3" type="noConversion"/>
  </si>
  <si>
    <t>근원전력㈜</t>
  </si>
  <si>
    <t>송원이앤씨</t>
    <phoneticPr fontId="3" type="noConversion"/>
  </si>
  <si>
    <t>불가</t>
    <phoneticPr fontId="3" type="noConversion"/>
  </si>
  <si>
    <t>연희전력
윤명숙</t>
    <phoneticPr fontId="3" type="noConversion"/>
  </si>
  <si>
    <t>택산전설㈜윤명숙
29.30</t>
    <phoneticPr fontId="3" type="noConversion"/>
  </si>
  <si>
    <t>아람이엔테크</t>
    <phoneticPr fontId="3" type="noConversion"/>
  </si>
  <si>
    <t>㈜정준테크 61.19</t>
    <phoneticPr fontId="3" type="noConversion"/>
  </si>
  <si>
    <t>알림</t>
    <phoneticPr fontId="3" type="noConversion"/>
  </si>
  <si>
    <t>정정</t>
    <phoneticPr fontId="3" type="noConversion"/>
  </si>
  <si>
    <t xml:space="preserve"> 2502705-00 2025년 서울권 건설·매입임대 조명기구 교체공사(서울신림1 등 5개 단지)</t>
    <phoneticPr fontId="3" type="noConversion"/>
  </si>
  <si>
    <t>지음이엔아이</t>
  </si>
  <si>
    <t>에코엠이엔씨</t>
  </si>
  <si>
    <t>아람이엔테크</t>
    <phoneticPr fontId="3" type="noConversion"/>
  </si>
  <si>
    <t>대흥디씨티</t>
  </si>
  <si>
    <t>우진일렉트</t>
  </si>
  <si>
    <t>대한종합산전</t>
  </si>
  <si>
    <t>동해전기공사44.54
박재웅</t>
    <phoneticPr fontId="3" type="noConversion"/>
  </si>
  <si>
    <t xml:space="preserve">삼영플랜트
</t>
    <phoneticPr fontId="3" type="noConversion"/>
  </si>
  <si>
    <t>일광이앤씨</t>
  </si>
  <si>
    <t>이엘케이</t>
    <phoneticPr fontId="3" type="noConversion"/>
  </si>
  <si>
    <t>정준테크
이동훈</t>
  </si>
  <si>
    <t>광동전력
이동훈</t>
    <phoneticPr fontId="3" type="noConversion"/>
  </si>
  <si>
    <t>남양계전</t>
    <phoneticPr fontId="3" type="noConversion"/>
  </si>
  <si>
    <t xml:space="preserve">품질 88점이상:3점/ 85점이상:2점/ 83점이상:1.5점/ 80점이상:1점 </t>
    <phoneticPr fontId="3" type="noConversion"/>
  </si>
  <si>
    <t>녹십자이엠 80.43
유형민</t>
    <phoneticPr fontId="3" type="noConversion"/>
  </si>
  <si>
    <t>엠라이테크 50.83</t>
    <phoneticPr fontId="3" type="noConversion"/>
  </si>
  <si>
    <t>경기 30%, 5개사</t>
    <phoneticPr fontId="3" type="noConversion"/>
  </si>
  <si>
    <t>알림</t>
    <phoneticPr fontId="3" type="noConversion"/>
  </si>
  <si>
    <t>정정</t>
    <phoneticPr fontId="3" type="noConversion"/>
  </si>
  <si>
    <t>보원엔지니어링</t>
    <phoneticPr fontId="3" type="noConversion"/>
  </si>
  <si>
    <t>지음쏠라테크
78.66</t>
    <phoneticPr fontId="3" type="noConversion"/>
  </si>
  <si>
    <t>정정</t>
    <phoneticPr fontId="3" type="noConversion"/>
  </si>
  <si>
    <t>추정가격</t>
    <phoneticPr fontId="3" type="noConversion"/>
  </si>
  <si>
    <t>추정금액
(시공비율)</t>
    <phoneticPr fontId="3" type="noConversion"/>
  </si>
  <si>
    <t>시공능력</t>
    <phoneticPr fontId="3" type="noConversion"/>
  </si>
  <si>
    <t>시평기준</t>
    <phoneticPr fontId="3" type="noConversion"/>
  </si>
  <si>
    <t>입찰참가자격
전기</t>
    <phoneticPr fontId="3" type="noConversion"/>
  </si>
  <si>
    <t>단순
합산</t>
    <phoneticPr fontId="3" type="noConversion"/>
  </si>
  <si>
    <t>설계금액</t>
    <phoneticPr fontId="3" type="noConversion"/>
  </si>
  <si>
    <t>5년1배수</t>
    <phoneticPr fontId="3" type="noConversion"/>
  </si>
  <si>
    <t>입찰</t>
    <phoneticPr fontId="3" type="noConversion"/>
  </si>
  <si>
    <t>입찰참가자격
소방</t>
    <phoneticPr fontId="3" type="noConversion"/>
  </si>
  <si>
    <t>2024.04.15</t>
    <phoneticPr fontId="3" type="noConversion"/>
  </si>
  <si>
    <t>참가자격
시평제한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</si>
  <si>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</si>
  <si>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</si>
  <si>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</si>
  <si>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</si>
  <si>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</si>
  <si>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</si>
  <si>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</si>
  <si>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시공경험(최근5년간 1배수, 품질평가점수)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</si>
  <si>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</si>
  <si>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</si>
  <si>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</si>
  <si>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</si>
  <si>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</si>
  <si>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</si>
  <si>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</si>
  <si>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</si>
  <si>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</si>
  <si>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</si>
  <si>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</si>
  <si>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</si>
  <si>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</si>
  <si>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</si>
  <si>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</si>
  <si>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</si>
  <si>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</si>
  <si>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</si>
  <si>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소방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</si>
  <si>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</si>
  <si>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</si>
  <si>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</si>
  <si>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</si>
  <si>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경영          (15점만점)</t>
    <phoneticPr fontId="3" type="noConversion"/>
  </si>
  <si>
    <t>경영적용점수</t>
    <phoneticPr fontId="3" type="noConversion"/>
  </si>
  <si>
    <t>구성원4</t>
    <phoneticPr fontId="3" type="noConversion"/>
  </si>
  <si>
    <t>실적         (13점만점)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</si>
  <si>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</si>
  <si>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</si>
  <si>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</si>
  <si>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</si>
  <si>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</si>
  <si>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</si>
  <si>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입찰점수</t>
    <phoneticPr fontId="3" type="noConversion"/>
  </si>
  <si>
    <t>예상점수</t>
    <phoneticPr fontId="3" type="noConversion"/>
  </si>
  <si>
    <t>우진일렉트</t>
    <phoneticPr fontId="3" type="noConversion"/>
  </si>
  <si>
    <t xml:space="preserve">품질 88점이상:3점/ 85점이상:2점/ 83점이상:1.5점/ 80점이상:1점 </t>
    <phoneticPr fontId="3" type="noConversion"/>
  </si>
  <si>
    <t>대흥디씨티</t>
    <phoneticPr fontId="3" type="noConversion"/>
  </si>
  <si>
    <t>디케이
36.03
송종윤</t>
    <phoneticPr fontId="3" type="noConversion"/>
  </si>
  <si>
    <t>케이지건설 21.87
유형민</t>
    <phoneticPr fontId="3" type="noConversion"/>
  </si>
  <si>
    <t>아람이엔테크</t>
    <phoneticPr fontId="3" type="noConversion"/>
  </si>
  <si>
    <t>지음쏠라테크 
57.56</t>
    <phoneticPr fontId="3" type="noConversion"/>
  </si>
  <si>
    <t>지음이엔아이</t>
    <phoneticPr fontId="3" type="noConversion"/>
  </si>
  <si>
    <t>에코엠이엔씨</t>
    <phoneticPr fontId="3" type="noConversion"/>
  </si>
  <si>
    <t>경남 30%, 5개사</t>
    <phoneticPr fontId="3" type="noConversion"/>
  </si>
  <si>
    <t>2502804-00 의왕월암 공공주택지구 도시기반 전기공사</t>
    <phoneticPr fontId="3" type="noConversion"/>
  </si>
  <si>
    <t>진사전력기술단
윤명숙</t>
    <phoneticPr fontId="3" type="noConversion"/>
  </si>
  <si>
    <t>케이케이디씨
18.79
윤명숙</t>
    <phoneticPr fontId="3" type="noConversion"/>
  </si>
  <si>
    <t>지음이엔아이</t>
    <phoneticPr fontId="3" type="noConversion"/>
  </si>
  <si>
    <t>알림</t>
    <phoneticPr fontId="3" type="noConversion"/>
  </si>
  <si>
    <t>추가</t>
    <phoneticPr fontId="3" type="noConversion"/>
  </si>
  <si>
    <t>한도전기공사
박성균</t>
    <phoneticPr fontId="3" type="noConversion"/>
  </si>
  <si>
    <t>2502554-00 밀양아리랑 무형문화재 전수교육관 전기공사</t>
    <phoneticPr fontId="3" type="noConversion"/>
  </si>
  <si>
    <t>입찰참가자격
전기</t>
    <phoneticPr fontId="3" type="noConversion"/>
  </si>
  <si>
    <t>전남 30%, 5개사</t>
    <phoneticPr fontId="3" type="noConversion"/>
  </si>
  <si>
    <t>해동건설
24.70</t>
    <phoneticPr fontId="3" type="noConversion"/>
  </si>
  <si>
    <t>극동전력
24.59</t>
    <phoneticPr fontId="3" type="noConversion"/>
  </si>
  <si>
    <t>극동전력
30%</t>
    <phoneticPr fontId="3" type="noConversion"/>
  </si>
  <si>
    <t>아람이엔테크</t>
    <phoneticPr fontId="3" type="noConversion"/>
  </si>
  <si>
    <t>알림</t>
    <phoneticPr fontId="3" type="noConversion"/>
  </si>
  <si>
    <t>새천년종합건설
31.59</t>
    <phoneticPr fontId="3" type="noConversion"/>
  </si>
  <si>
    <t>지음쏠라테크 
73.68</t>
    <phoneticPr fontId="3" type="noConversion"/>
  </si>
  <si>
    <t>남일이엔씨_김대열
58.63</t>
    <phoneticPr fontId="3" type="noConversion"/>
  </si>
  <si>
    <t>덕흥건설
30%</t>
    <phoneticPr fontId="3" type="noConversion"/>
  </si>
  <si>
    <t>대상전력
36.25
김희준</t>
    <phoneticPr fontId="3" type="noConversion"/>
  </si>
  <si>
    <t>덕흥건설
4.55</t>
    <phoneticPr fontId="3" type="noConversion"/>
  </si>
  <si>
    <t>해동건설 30%</t>
    <phoneticPr fontId="3" type="noConversion"/>
  </si>
  <si>
    <t>2502912-00 2025년 강원권 임대주택 노후 조명기구 교체공사(원주무실7 등 9개 단지)</t>
    <phoneticPr fontId="3" type="noConversion"/>
  </si>
  <si>
    <t>강원 49%, 4개사</t>
    <phoneticPr fontId="3" type="noConversion"/>
  </si>
  <si>
    <t>대금종합건설
33.54</t>
    <phoneticPr fontId="3" type="noConversion"/>
  </si>
  <si>
    <t>2502935-00 남양주진접2 B-1BL 아파트 소방시설공사 2공구</t>
    <phoneticPr fontId="3" type="noConversion"/>
  </si>
  <si>
    <t>2502913-02 여수국동 및 담양담양 및 함평기산 아파트 소방시설공사</t>
    <phoneticPr fontId="3" type="noConversion"/>
  </si>
  <si>
    <t>추가</t>
    <phoneticPr fontId="3" type="noConversion"/>
  </si>
  <si>
    <t>진도전력
윤명숙
59.37</t>
    <phoneticPr fontId="3" type="noConversion"/>
  </si>
  <si>
    <t>광동전력92.42</t>
    <phoneticPr fontId="3" type="noConversion"/>
  </si>
  <si>
    <t>부국전력통신공사
49.62</t>
    <phoneticPr fontId="3" type="noConversion"/>
  </si>
  <si>
    <t>동산씨앤이
이동훈</t>
    <phoneticPr fontId="3" type="noConversion"/>
  </si>
  <si>
    <t>대흥전력기술
윤명숙</t>
    <phoneticPr fontId="3" type="noConversion"/>
  </si>
  <si>
    <t>영웅개발</t>
    <phoneticPr fontId="3" type="noConversion"/>
  </si>
  <si>
    <t>신신이앤씨
김장섭</t>
    <phoneticPr fontId="3" type="noConversion"/>
  </si>
  <si>
    <t>대일소방산업
김희준</t>
    <phoneticPr fontId="3" type="noConversion"/>
  </si>
  <si>
    <t>송원이앤씨 53.56</t>
    <phoneticPr fontId="3" type="noConversion"/>
  </si>
  <si>
    <t>거산소방공사
김희준</t>
    <phoneticPr fontId="3" type="noConversion"/>
  </si>
  <si>
    <t xml:space="preserve">품질 88점이상:3점/ 85점이상:2점/ 83점이상:1.5점/ 80점이상:1점 </t>
    <phoneticPr fontId="3" type="noConversion"/>
  </si>
  <si>
    <t>세진종합
40%</t>
    <phoneticPr fontId="3" type="noConversion"/>
  </si>
  <si>
    <t>세진종합이엔씨_김장섭32.86</t>
    <phoneticPr fontId="3" type="noConversion"/>
  </si>
  <si>
    <t>화인메컨
박성균</t>
    <phoneticPr fontId="3" type="noConversion"/>
  </si>
  <si>
    <t xml:space="preserve">품질 88점이상:3점/ 85점이상:2점/ 83점이상:1.5점/ 80점이상:1점 </t>
    <phoneticPr fontId="3" type="noConversion"/>
  </si>
  <si>
    <t>에스지씨이앤씨</t>
    <phoneticPr fontId="3" type="noConversion"/>
  </si>
  <si>
    <t>세영이앤씨 57.23
이동훈</t>
    <phoneticPr fontId="3" type="noConversion"/>
  </si>
  <si>
    <t xml:space="preserve">품질 88점이상:3점/ 85점이상:2점/ 83점이상:1.5점/ 80점이상:1점 </t>
    <phoneticPr fontId="3" type="noConversion"/>
  </si>
  <si>
    <t>김호건설
30%</t>
    <phoneticPr fontId="3" type="noConversion"/>
  </si>
  <si>
    <t>김호건설
19.60
이동훈</t>
    <phoneticPr fontId="3" type="noConversion"/>
  </si>
  <si>
    <t>부현전기</t>
    <phoneticPr fontId="3" type="noConversion"/>
  </si>
  <si>
    <t xml:space="preserve">품질 88점이상:3점/ 85점이상:2점/ 83점이상:1.5점/ 80점이상:1점 </t>
    <phoneticPr fontId="3" type="noConversion"/>
  </si>
  <si>
    <t>대한종합
51</t>
    <phoneticPr fontId="3" type="noConversion"/>
  </si>
  <si>
    <t>와이제이이엔지
박성균
76.20</t>
    <phoneticPr fontId="3" type="noConversion"/>
  </si>
  <si>
    <t>대한종합산전
42.8</t>
    <phoneticPr fontId="3" type="noConversion"/>
  </si>
  <si>
    <t>파워텔
30%</t>
    <phoneticPr fontId="3" type="noConversion"/>
  </si>
  <si>
    <t>파워텔레콤 19.002
김대열</t>
    <phoneticPr fontId="3" type="noConversion"/>
  </si>
  <si>
    <t>하나전기</t>
    <phoneticPr fontId="3" type="noConversion"/>
  </si>
  <si>
    <t>대원15%</t>
    <phoneticPr fontId="3" type="noConversion"/>
  </si>
  <si>
    <t>코원건설
26.39
유형민</t>
    <phoneticPr fontId="3" type="noConversion"/>
  </si>
  <si>
    <t>대원전력공사_윤명숙 10.79</t>
    <phoneticPr fontId="3" type="noConversion"/>
  </si>
  <si>
    <t>경우전기</t>
    <phoneticPr fontId="3" type="noConversion"/>
  </si>
  <si>
    <t>신우
30%</t>
    <phoneticPr fontId="3" type="noConversion"/>
  </si>
  <si>
    <t>신우이엔아이_김장섭 19.41</t>
    <phoneticPr fontId="3" type="noConversion"/>
  </si>
  <si>
    <t>구보공영
김희준</t>
    <phoneticPr fontId="3" type="noConversion"/>
  </si>
  <si>
    <t>에이스원
40%</t>
    <phoneticPr fontId="3" type="noConversion"/>
  </si>
  <si>
    <t>에이스원
조세희
30.58</t>
    <phoneticPr fontId="3" type="noConversion"/>
  </si>
  <si>
    <t>김앤드이</t>
    <phoneticPr fontId="3" type="noConversion"/>
  </si>
  <si>
    <t>지음쏠라 51%</t>
    <phoneticPr fontId="3" type="noConversion"/>
  </si>
  <si>
    <t>일광이앤씨</t>
    <phoneticPr fontId="3" type="noConversion"/>
  </si>
  <si>
    <t>지음쏠라테크
50.47</t>
    <phoneticPr fontId="3" type="noConversion"/>
  </si>
  <si>
    <t xml:space="preserve">품질 88점이상:3점/ 85점이상:2점/ 83점이상:1.5점/ 80점이상:1점 </t>
    <phoneticPr fontId="3" type="noConversion"/>
  </si>
  <si>
    <t xml:space="preserve">품질 88점이상:3점/ 85점이상:2점/ 83점이상:1.5점/ 80점이상:1점 </t>
    <phoneticPr fontId="3" type="noConversion"/>
  </si>
  <si>
    <t xml:space="preserve">품질 88점이상:3점/ 85점이상:2점/ 83점이상:1.5점/ 80점이상:1점 </t>
    <phoneticPr fontId="3" type="noConversion"/>
  </si>
  <si>
    <t>아람이엔테크</t>
    <phoneticPr fontId="3" type="noConversion"/>
  </si>
  <si>
    <t>에코엠
40%</t>
    <phoneticPr fontId="3" type="noConversion"/>
  </si>
  <si>
    <t>대상전력
김희준
24.83</t>
    <phoneticPr fontId="3" type="noConversion"/>
  </si>
  <si>
    <t>에코엠이엔씨
20.70</t>
    <phoneticPr fontId="3" type="noConversion"/>
  </si>
  <si>
    <t>입찰점수</t>
    <phoneticPr fontId="3" type="noConversion"/>
  </si>
  <si>
    <t>수행능력
점수</t>
    <phoneticPr fontId="3" type="noConversion"/>
  </si>
  <si>
    <t>순공사
점수</t>
    <phoneticPr fontId="3" type="noConversion"/>
  </si>
  <si>
    <t>신인도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</si>
  <si>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</si>
  <si>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</si>
  <si>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</si>
  <si>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</si>
  <si>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</si>
  <si>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</si>
  <si>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</si>
  <si>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</si>
  <si>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</si>
  <si>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경영적용점수</t>
    <phoneticPr fontId="3" type="noConversion"/>
  </si>
  <si>
    <t>경영          (15점만점)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</si>
  <si>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</si>
  <si>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</si>
  <si>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</si>
  <si>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</si>
  <si>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</si>
  <si>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</si>
  <si>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</si>
  <si>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</si>
  <si>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구성원3</t>
    <phoneticPr fontId="3" type="noConversion"/>
  </si>
  <si>
    <t>구성원1</t>
    <phoneticPr fontId="3" type="noConversion"/>
  </si>
  <si>
    <t>대표사</t>
    <phoneticPr fontId="3" type="noConversion"/>
  </si>
  <si>
    <t>시공능력
*시공비율</t>
    <phoneticPr fontId="3" type="noConversion"/>
  </si>
  <si>
    <t>시공능력
단순합산</t>
    <phoneticPr fontId="3" type="noConversion"/>
  </si>
  <si>
    <t>시공능력구성사4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</si>
  <si>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</si>
  <si>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</si>
  <si>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</si>
  <si>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</si>
  <si>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</si>
  <si>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</si>
  <si>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</si>
  <si>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</si>
  <si>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</si>
  <si>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시공경험(최근5년간 1배수, 품질평가점수)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</si>
  <si>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</si>
  <si>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</si>
  <si>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</si>
  <si>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</si>
  <si>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</si>
  <si>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</si>
  <si>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</si>
  <si>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참가자격
시평제한</t>
    <phoneticPr fontId="3" type="noConversion"/>
  </si>
  <si>
    <t>2024.04.15</t>
    <phoneticPr fontId="3" type="noConversion"/>
  </si>
  <si>
    <t>입찰참가자격
소방</t>
    <phoneticPr fontId="3" type="noConversion"/>
  </si>
  <si>
    <t>경기 30%, 5개사</t>
    <phoneticPr fontId="3" type="noConversion"/>
  </si>
  <si>
    <t>입찰</t>
    <phoneticPr fontId="3" type="noConversion"/>
  </si>
  <si>
    <t>5년1배수</t>
    <phoneticPr fontId="3" type="noConversion"/>
  </si>
  <si>
    <t>실적만점</t>
    <phoneticPr fontId="3" type="noConversion"/>
  </si>
  <si>
    <t>설계금액</t>
    <phoneticPr fontId="3" type="noConversion"/>
  </si>
  <si>
    <t>단순
합산</t>
    <phoneticPr fontId="3" type="noConversion"/>
  </si>
  <si>
    <t>입찰참가자격
전기</t>
    <phoneticPr fontId="3" type="noConversion"/>
  </si>
  <si>
    <t>시평기준</t>
    <phoneticPr fontId="3" type="noConversion"/>
  </si>
  <si>
    <t>시공능력</t>
    <phoneticPr fontId="3" type="noConversion"/>
  </si>
  <si>
    <t>추정금액
(시공비율)</t>
    <phoneticPr fontId="3" type="noConversion"/>
  </si>
  <si>
    <t>추정가격</t>
    <phoneticPr fontId="3" type="noConversion"/>
  </si>
  <si>
    <t>만양
37.89
이동훈</t>
    <phoneticPr fontId="3" type="noConversion"/>
  </si>
  <si>
    <t>만양
40%</t>
    <phoneticPr fontId="3" type="noConversion"/>
  </si>
  <si>
    <t>은성산업
35.60
불가능</t>
    <phoneticPr fontId="3" type="noConversion"/>
  </si>
  <si>
    <t>일진종합전설47.78
박성균</t>
    <phoneticPr fontId="3" type="noConversion"/>
  </si>
  <si>
    <t>케이비에스비니지스</t>
    <phoneticPr fontId="3" type="noConversion"/>
  </si>
  <si>
    <t>부원전기
67.87
김장섭</t>
    <phoneticPr fontId="3" type="noConversion"/>
  </si>
  <si>
    <t>대상전력
30%</t>
    <phoneticPr fontId="3" type="noConversion"/>
  </si>
  <si>
    <t>우진이엔씨 52.92
임태균</t>
    <phoneticPr fontId="3" type="noConversion"/>
  </si>
  <si>
    <t>대광건영</t>
    <phoneticPr fontId="3" type="noConversion"/>
  </si>
  <si>
    <t>3,551,490,00</t>
    <phoneticPr fontId="3" type="noConversion"/>
  </si>
  <si>
    <t>코원건설
28.9</t>
    <phoneticPr fontId="3" type="noConversion"/>
  </si>
  <si>
    <t>삼영플랜트</t>
    <phoneticPr fontId="3" type="noConversion"/>
  </si>
  <si>
    <t>녹십자이엠 43.8
유형민</t>
    <phoneticPr fontId="3" type="noConversion"/>
  </si>
  <si>
    <t>동해전기공사24.25
박재웅</t>
    <phoneticPr fontId="3" type="noConversion"/>
  </si>
  <si>
    <t>동해전기
30</t>
    <phoneticPr fontId="3" type="noConversion"/>
  </si>
  <si>
    <t>부현전기</t>
    <phoneticPr fontId="3" type="noConversion"/>
  </si>
  <si>
    <t>지음쏠라테크
42. 84</t>
    <phoneticPr fontId="3" type="noConversion"/>
  </si>
  <si>
    <t>엠라이테크 27.68</t>
    <phoneticPr fontId="3" type="noConversion"/>
  </si>
  <si>
    <t>정준테크
50.71
이동훈</t>
    <phoneticPr fontId="3" type="noConversion"/>
  </si>
  <si>
    <t>코레일테크</t>
    <phoneticPr fontId="3" type="noConversion"/>
  </si>
  <si>
    <t>광동전력
41.32
이동훈</t>
    <phoneticPr fontId="3" type="noConversion"/>
  </si>
  <si>
    <t>도원이엔아이</t>
    <phoneticPr fontId="3" type="noConversion"/>
  </si>
  <si>
    <t>민재전기
34.09
이동훈</t>
    <phoneticPr fontId="3" type="noConversion"/>
  </si>
  <si>
    <t>민재전기
35</t>
    <phoneticPr fontId="3" type="noConversion"/>
  </si>
  <si>
    <t>한라전기
31.26
이동훈</t>
    <phoneticPr fontId="3" type="noConversion"/>
  </si>
  <si>
    <t>대한전력
25.01
이동훈</t>
    <phoneticPr fontId="3" type="noConversion"/>
  </si>
  <si>
    <t>신광전력
구성서</t>
    <phoneticPr fontId="3" type="noConversion"/>
  </si>
  <si>
    <t>대한전력
30</t>
    <phoneticPr fontId="3" type="noConversion"/>
  </si>
  <si>
    <t>김호건설
51</t>
    <phoneticPr fontId="3" type="noConversion"/>
  </si>
  <si>
    <t>도화엔지니어링</t>
    <phoneticPr fontId="3" type="noConversion"/>
  </si>
  <si>
    <t>원전력공사 37.75
윤명숙</t>
    <phoneticPr fontId="3" type="noConversion"/>
  </si>
  <si>
    <t>김호건설
50.39
이동훈</t>
    <phoneticPr fontId="3" type="noConversion"/>
  </si>
  <si>
    <t>신우이엔아이
58.30
김장섭</t>
    <phoneticPr fontId="3" type="noConversion"/>
  </si>
  <si>
    <t>지음쏠라51</t>
    <phoneticPr fontId="3" type="noConversion"/>
  </si>
  <si>
    <t>명성30</t>
    <phoneticPr fontId="3" type="noConversion"/>
  </si>
  <si>
    <t>일광이앤씨 65.98</t>
    <phoneticPr fontId="3" type="noConversion"/>
  </si>
  <si>
    <t>규암전력
49.83
이동훈</t>
    <phoneticPr fontId="3" type="noConversion"/>
  </si>
  <si>
    <t>규암
51</t>
    <phoneticPr fontId="3" type="noConversion"/>
  </si>
  <si>
    <t>세지엔지니어링
62.62
윤명숙</t>
    <phoneticPr fontId="3" type="noConversion"/>
  </si>
  <si>
    <t>이엘케이</t>
    <phoneticPr fontId="3" type="noConversion"/>
  </si>
  <si>
    <t>수영전기공사 29.03
김희준</t>
    <phoneticPr fontId="3" type="noConversion"/>
  </si>
  <si>
    <t>성은전기
19.88
김희준</t>
    <phoneticPr fontId="3" type="noConversion"/>
  </si>
  <si>
    <t>수영전기
30</t>
    <phoneticPr fontId="3" type="noConversion"/>
  </si>
  <si>
    <t>엠라이테크30</t>
    <phoneticPr fontId="3" type="noConversion"/>
  </si>
  <si>
    <t>정준55
성은20</t>
    <phoneticPr fontId="3" type="noConversion"/>
  </si>
  <si>
    <t>대명지이씨</t>
    <phoneticPr fontId="3" type="noConversion"/>
  </si>
  <si>
    <t>명성이엔씨 22.91
 나의상</t>
    <phoneticPr fontId="3" type="noConversion"/>
  </si>
  <si>
    <t>대흥디씨티</t>
    <phoneticPr fontId="3" type="noConversion"/>
  </si>
  <si>
    <t>에코엠이엔씨</t>
    <phoneticPr fontId="3" type="noConversion"/>
  </si>
  <si>
    <t>지음쏠라테크79</t>
    <phoneticPr fontId="3" type="noConversion"/>
  </si>
  <si>
    <t xml:space="preserve">품질 88점이상:3점/ 85점이상:2점/ 83점이상:1.5점/ 80점이상:1점 </t>
    <phoneticPr fontId="3" type="noConversion"/>
  </si>
  <si>
    <t>합포이엔지18.26</t>
    <phoneticPr fontId="3" type="noConversion"/>
  </si>
  <si>
    <t>지음이엔아이
품질93.38</t>
    <phoneticPr fontId="3" type="noConversion"/>
  </si>
  <si>
    <t>진사전력기술단_윤명숙</t>
    <phoneticPr fontId="3" type="noConversion"/>
  </si>
  <si>
    <t>우진일렉트</t>
    <phoneticPr fontId="3" type="noConversion"/>
  </si>
  <si>
    <t>케이지건설29.44</t>
    <phoneticPr fontId="3" type="noConversion"/>
  </si>
  <si>
    <t>아람이엔테크
품질90.73</t>
    <phoneticPr fontId="3" type="noConversion"/>
  </si>
  <si>
    <t>예상점수</t>
    <phoneticPr fontId="3" type="noConversion"/>
  </si>
  <si>
    <t>입찰점수</t>
    <phoneticPr fontId="3" type="noConversion"/>
  </si>
  <si>
    <t>수행능력
점수</t>
    <phoneticPr fontId="3" type="noConversion"/>
  </si>
  <si>
    <t>순공사
점수</t>
    <phoneticPr fontId="3" type="noConversion"/>
  </si>
  <si>
    <t>신인도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</si>
  <si>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</si>
  <si>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</si>
  <si>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</si>
  <si>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</si>
  <si>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</si>
  <si>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</si>
  <si>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</si>
  <si>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</si>
  <si>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</si>
  <si>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경영적용점수</t>
    <phoneticPr fontId="3" type="noConversion"/>
  </si>
  <si>
    <t>경영          (15점만점)</t>
    <phoneticPr fontId="3" type="noConversion"/>
  </si>
  <si>
    <t>대표사</t>
    <phoneticPr fontId="3" type="noConversion"/>
  </si>
  <si>
    <t>소방</t>
    <phoneticPr fontId="3" type="noConversion"/>
  </si>
  <si>
    <t>구성원2</t>
    <phoneticPr fontId="3" type="noConversion"/>
  </si>
  <si>
    <t>시공능력
*시공비율</t>
    <phoneticPr fontId="3" type="noConversion"/>
  </si>
  <si>
    <t>시공능력
단순합산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</si>
  <si>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</si>
  <si>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</si>
  <si>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</si>
  <si>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</si>
  <si>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</si>
  <si>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</si>
  <si>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</si>
  <si>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</si>
  <si>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</si>
  <si>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</si>
  <si>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</si>
  <si>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시공경험(최근5년간 1배수, 품질평가점수)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</si>
  <si>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</si>
  <si>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</si>
  <si>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</si>
  <si>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</si>
  <si>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</si>
  <si>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</si>
  <si>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</si>
  <si>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참가자격
시평제한</t>
    <phoneticPr fontId="3" type="noConversion"/>
  </si>
  <si>
    <t>2025.09.14</t>
    <phoneticPr fontId="3" type="noConversion"/>
  </si>
  <si>
    <t>경남의무30%, 5개사</t>
    <phoneticPr fontId="3" type="noConversion"/>
  </si>
  <si>
    <t>입찰</t>
    <phoneticPr fontId="3" type="noConversion"/>
  </si>
  <si>
    <t>5년1배수</t>
    <phoneticPr fontId="3" type="noConversion"/>
  </si>
  <si>
    <t>실적만점</t>
    <phoneticPr fontId="3" type="noConversion"/>
  </si>
  <si>
    <t>설계금액</t>
    <phoneticPr fontId="3" type="noConversion"/>
  </si>
  <si>
    <t>단순
합산</t>
    <phoneticPr fontId="3" type="noConversion"/>
  </si>
  <si>
    <t>입찰참가자격
전기</t>
    <phoneticPr fontId="3" type="noConversion"/>
  </si>
  <si>
    <t>시평기준</t>
    <phoneticPr fontId="3" type="noConversion"/>
  </si>
  <si>
    <t>시공능력</t>
    <phoneticPr fontId="3" type="noConversion"/>
  </si>
  <si>
    <t>추정금액
(시공비율)</t>
    <phoneticPr fontId="3" type="noConversion"/>
  </si>
  <si>
    <t>추정가격</t>
    <phoneticPr fontId="3" type="noConversion"/>
  </si>
  <si>
    <t>대륙전기
김희준</t>
    <phoneticPr fontId="3" type="noConversion"/>
  </si>
  <si>
    <t>구평전력
김희준</t>
    <phoneticPr fontId="3" type="noConversion"/>
  </si>
  <si>
    <t>㈜화인이앤텍
김희준</t>
    <phoneticPr fontId="3" type="noConversion"/>
  </si>
  <si>
    <t>알림</t>
    <phoneticPr fontId="3" type="noConversion"/>
  </si>
  <si>
    <t>정정</t>
    <phoneticPr fontId="3" type="noConversion"/>
  </si>
  <si>
    <t>현창
57</t>
    <phoneticPr fontId="3" type="noConversion"/>
  </si>
  <si>
    <t>+</t>
    <phoneticPr fontId="3" type="noConversion"/>
  </si>
  <si>
    <t>현창이앤씨 50.72
구성서</t>
    <phoneticPr fontId="3" type="noConversion"/>
  </si>
  <si>
    <t>2503212-01 사천선인 공공주택지구 도시기반 전기공사</t>
    <phoneticPr fontId="3" type="noConversion"/>
  </si>
  <si>
    <t>경기의무30%, 5개사</t>
    <phoneticPr fontId="3" type="noConversion"/>
  </si>
  <si>
    <t>지음이엔아이</t>
    <phoneticPr fontId="3" type="noConversion"/>
  </si>
  <si>
    <t>아람이엔테크</t>
    <phoneticPr fontId="3" type="noConversion"/>
  </si>
  <si>
    <t>대흥디씨티 88.42</t>
    <phoneticPr fontId="3" type="noConversion"/>
  </si>
  <si>
    <t>우진일렉트 90.27</t>
    <phoneticPr fontId="3" type="noConversion"/>
  </si>
  <si>
    <t>부원전기
김장섭
16.53</t>
    <phoneticPr fontId="3" type="noConversion"/>
  </si>
  <si>
    <t>유티정보
조재진
72.42</t>
    <phoneticPr fontId="3" type="noConversion"/>
  </si>
  <si>
    <t>코원건설
유형민
31.04</t>
    <phoneticPr fontId="3" type="noConversion"/>
  </si>
  <si>
    <t>대상전력
김희준
21.36</t>
    <phoneticPr fontId="3" type="noConversion"/>
  </si>
  <si>
    <t>은성산업
유형민
7.82</t>
    <phoneticPr fontId="3" type="noConversion"/>
  </si>
  <si>
    <t>녹십자이엠 18.59</t>
    <phoneticPr fontId="3" type="noConversion"/>
  </si>
  <si>
    <t>세진종합이엔씨31.68</t>
    <phoneticPr fontId="3" type="noConversion"/>
  </si>
  <si>
    <t>일광이앤씨 16.95</t>
    <phoneticPr fontId="3" type="noConversion"/>
  </si>
  <si>
    <t>태평양개발 78.62
조재진</t>
    <phoneticPr fontId="3" type="noConversion"/>
  </si>
  <si>
    <t xml:space="preserve">건양전기신호_ 허민선11.14
</t>
    <phoneticPr fontId="3" type="noConversion"/>
  </si>
  <si>
    <t>우주전기통신
김희준</t>
    <phoneticPr fontId="3" type="noConversion"/>
  </si>
  <si>
    <t>부현전기</t>
    <phoneticPr fontId="3" type="noConversion"/>
  </si>
  <si>
    <t>광원 27.51
윤명숙</t>
    <phoneticPr fontId="3" type="noConversion"/>
  </si>
  <si>
    <t>신신이앤씨
김장섭</t>
  </si>
  <si>
    <t>경우전기
김장섭</t>
  </si>
  <si>
    <t>케이비에스비즈니스 박성균</t>
    <phoneticPr fontId="3" type="noConversion"/>
  </si>
  <si>
    <t>유명이앤씨
윤명숙</t>
    <phoneticPr fontId="3" type="noConversion"/>
  </si>
  <si>
    <t>빛탑건설
윤명숙
19.94</t>
    <phoneticPr fontId="3" type="noConversion"/>
  </si>
  <si>
    <t>아이디스
김기성</t>
    <phoneticPr fontId="3" type="noConversion"/>
  </si>
  <si>
    <t>하나전기
김기성</t>
    <phoneticPr fontId="3" type="noConversion"/>
  </si>
  <si>
    <t>동우텍
김기성</t>
    <phoneticPr fontId="3" type="noConversion"/>
  </si>
  <si>
    <t>스타버킷
최진규</t>
    <phoneticPr fontId="3" type="noConversion"/>
  </si>
  <si>
    <t>유리시스템즈 52.48
김기성</t>
    <phoneticPr fontId="3" type="noConversion"/>
  </si>
  <si>
    <t>트래콘건설 66.81</t>
    <phoneticPr fontId="3" type="noConversion"/>
  </si>
  <si>
    <t>대한종합산전 31.01</t>
    <phoneticPr fontId="3" type="noConversion"/>
  </si>
  <si>
    <t>우진기전
71.90
이동훈</t>
    <phoneticPr fontId="3" type="noConversion"/>
  </si>
  <si>
    <t>코레일테크</t>
    <phoneticPr fontId="3" type="noConversion"/>
  </si>
  <si>
    <t>길리
47.86
김희준</t>
    <phoneticPr fontId="3" type="noConversion"/>
  </si>
  <si>
    <t>일광
30%</t>
    <phoneticPr fontId="3" type="noConversion"/>
  </si>
  <si>
    <t>개성건설
85.37</t>
    <phoneticPr fontId="3" type="noConversion"/>
  </si>
  <si>
    <t>길리
51%</t>
    <phoneticPr fontId="3" type="noConversion"/>
  </si>
  <si>
    <t>에스지씨이앤씨㈜
60.91</t>
    <phoneticPr fontId="3" type="noConversion"/>
  </si>
  <si>
    <t>광원42%</t>
    <phoneticPr fontId="3" type="noConversion"/>
  </si>
  <si>
    <t>대상
30%</t>
    <phoneticPr fontId="3" type="noConversion"/>
  </si>
  <si>
    <t>여성기업</t>
    <phoneticPr fontId="3" type="noConversion"/>
  </si>
  <si>
    <t>여성기업</t>
    <phoneticPr fontId="3" type="noConversion"/>
  </si>
  <si>
    <t>대유기전공사
16.51</t>
    <phoneticPr fontId="3" type="noConversion"/>
  </si>
  <si>
    <t>대구의무30%, 5개사</t>
    <phoneticPr fontId="3" type="noConversion"/>
  </si>
  <si>
    <t>입찰참가자격
통신</t>
    <phoneticPr fontId="3" type="noConversion"/>
  </si>
  <si>
    <t>경북 30%, 5개사</t>
    <phoneticPr fontId="3" type="noConversion"/>
  </si>
  <si>
    <t>구평전력
김희준
16.45</t>
    <phoneticPr fontId="3" type="noConversion"/>
  </si>
  <si>
    <t>지음이엔아이</t>
    <phoneticPr fontId="3" type="noConversion"/>
  </si>
  <si>
    <t>구평전력
30%</t>
    <phoneticPr fontId="3" type="noConversion"/>
  </si>
  <si>
    <t>광명에너지 6.78</t>
    <phoneticPr fontId="3" type="noConversion"/>
  </si>
  <si>
    <t>아람이엔테크</t>
    <phoneticPr fontId="3" type="noConversion"/>
  </si>
  <si>
    <t>건아전기
이재웅
39.36</t>
    <phoneticPr fontId="3" type="noConversion"/>
  </si>
  <si>
    <t>지성전설
조정
27.97</t>
    <phoneticPr fontId="3" type="noConversion"/>
  </si>
  <si>
    <t>삼원종합전기 20.97
김대열</t>
    <phoneticPr fontId="3" type="noConversion"/>
  </si>
  <si>
    <t>에코엠이엔씨
21.88</t>
    <phoneticPr fontId="3" type="noConversion"/>
  </si>
  <si>
    <t>지음쏠라테크
53.36</t>
    <phoneticPr fontId="3" type="noConversion"/>
  </si>
  <si>
    <t>삼원
30%</t>
    <phoneticPr fontId="3" type="noConversion"/>
  </si>
  <si>
    <t>다인전력
22.99
윤명숙</t>
    <phoneticPr fontId="3" type="noConversion"/>
  </si>
  <si>
    <t>다인전력
30%</t>
    <phoneticPr fontId="3" type="noConversion"/>
  </si>
  <si>
    <t>대동종합전설82.18
윤명숙</t>
    <phoneticPr fontId="3" type="noConversion"/>
  </si>
  <si>
    <t>2503322-00 경산대임 A-1BL 아파트 소방시설공사</t>
    <phoneticPr fontId="3" type="noConversion"/>
  </si>
  <si>
    <t>2503332-00 대구연호 스마트도시 정보통신공사</t>
    <phoneticPr fontId="3" type="noConversion"/>
  </si>
  <si>
    <t>2503218-00 구리갈매역세권 공공주택지구 도시기반 전기공사</t>
    <phoneticPr fontId="3" type="noConversion"/>
  </si>
  <si>
    <t>추정가격</t>
    <phoneticPr fontId="3" type="noConversion"/>
  </si>
  <si>
    <t>추정금액
(시공비율)</t>
    <phoneticPr fontId="3" type="noConversion"/>
  </si>
  <si>
    <t>시공능력</t>
    <phoneticPr fontId="3" type="noConversion"/>
  </si>
  <si>
    <t>시평기준</t>
    <phoneticPr fontId="3" type="noConversion"/>
  </si>
  <si>
    <t>입찰참가자격
전기</t>
    <phoneticPr fontId="3" type="noConversion"/>
  </si>
  <si>
    <t>단순
합산</t>
    <phoneticPr fontId="3" type="noConversion"/>
  </si>
  <si>
    <t>설계금액</t>
    <phoneticPr fontId="3" type="noConversion"/>
  </si>
  <si>
    <t>실적만점</t>
    <phoneticPr fontId="3" type="noConversion"/>
  </si>
  <si>
    <t>5년1배수</t>
    <phoneticPr fontId="3" type="noConversion"/>
  </si>
  <si>
    <t>입찰</t>
    <phoneticPr fontId="3" type="noConversion"/>
  </si>
  <si>
    <t>경기 30%, 5개사</t>
    <phoneticPr fontId="3" type="noConversion"/>
  </si>
  <si>
    <t>입찰참가자격
소방</t>
    <phoneticPr fontId="3" type="noConversion"/>
  </si>
  <si>
    <t>2024.04.15</t>
    <phoneticPr fontId="3" type="noConversion"/>
  </si>
  <si>
    <t>참가자격
시평제한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</si>
  <si>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</si>
  <si>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</si>
  <si>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</si>
  <si>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</si>
  <si>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</si>
  <si>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</si>
  <si>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</si>
  <si>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+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</si>
  <si>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</si>
  <si>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</si>
  <si>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</si>
  <si>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</si>
  <si>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</si>
  <si>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</si>
  <si>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</si>
  <si>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</si>
  <si>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</si>
  <si>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</si>
  <si>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</si>
  <si>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</si>
  <si>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</si>
  <si>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</si>
  <si>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</si>
  <si>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</si>
  <si>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</si>
  <si>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</si>
  <si>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구성원2</t>
    <phoneticPr fontId="3" type="noConversion"/>
  </si>
  <si>
    <t>경영          (15점만점)</t>
    <phoneticPr fontId="3" type="noConversion"/>
  </si>
  <si>
    <t>경영적용점수</t>
    <phoneticPr fontId="3" type="noConversion"/>
  </si>
  <si>
    <t>대표사</t>
    <phoneticPr fontId="3" type="noConversion"/>
  </si>
  <si>
    <t>실적         (13점만점)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</si>
  <si>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</si>
  <si>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</si>
  <si>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</si>
  <si>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</si>
  <si>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</si>
  <si>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</si>
  <si>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입찰점수</t>
    <phoneticPr fontId="3" type="noConversion"/>
  </si>
  <si>
    <t>예상점수</t>
    <phoneticPr fontId="3" type="noConversion"/>
  </si>
  <si>
    <t xml:space="preserve">품질 88점이상:3점/ 85점이상:2점/ 83점이상:1.5점/ 80점이상:1점 </t>
    <phoneticPr fontId="3" type="noConversion"/>
  </si>
  <si>
    <t>아람이엔테크</t>
    <phoneticPr fontId="3" type="noConversion"/>
  </si>
  <si>
    <t>삼영플랜트</t>
    <phoneticPr fontId="3" type="noConversion"/>
  </si>
  <si>
    <t>지음쏠라테크</t>
    <phoneticPr fontId="3" type="noConversion"/>
  </si>
  <si>
    <t>민재전기
이동훈
36.15</t>
    <phoneticPr fontId="3" type="noConversion"/>
  </si>
  <si>
    <t>도화엔지니어링</t>
    <phoneticPr fontId="3" type="noConversion"/>
  </si>
  <si>
    <t>동해전기공사 25.72
박재웅</t>
    <phoneticPr fontId="3" type="noConversion"/>
  </si>
  <si>
    <t>세렉스
10.13
김기성</t>
    <phoneticPr fontId="3" type="noConversion"/>
  </si>
  <si>
    <t>정준테크
53.77
이동훈</t>
    <phoneticPr fontId="3" type="noConversion"/>
  </si>
  <si>
    <t>녹십자이엠 46.44
유형민</t>
    <phoneticPr fontId="3" type="noConversion"/>
  </si>
  <si>
    <t>신광전력
구성서</t>
    <phoneticPr fontId="3" type="noConversion"/>
  </si>
  <si>
    <t>엠라이테크 29.35</t>
    <phoneticPr fontId="3" type="noConversion"/>
  </si>
  <si>
    <t>경동이앤지 이동훈</t>
    <phoneticPr fontId="3" type="noConversion"/>
  </si>
  <si>
    <t>코원건설
30.64</t>
    <phoneticPr fontId="3" type="noConversion"/>
  </si>
  <si>
    <t>광동전력
43.81
이동훈</t>
    <phoneticPr fontId="3" type="noConversion"/>
  </si>
  <si>
    <t>이엘케이
56.42</t>
    <phoneticPr fontId="3" type="noConversion"/>
  </si>
  <si>
    <t>유니온</t>
    <phoneticPr fontId="3" type="noConversion"/>
  </si>
  <si>
    <t>원전력공사 윤명숙
40.03</t>
    <phoneticPr fontId="3" type="noConversion"/>
  </si>
  <si>
    <t>부현전기</t>
    <phoneticPr fontId="3" type="noConversion"/>
  </si>
  <si>
    <t>한라전기
이동훈
33.15</t>
    <phoneticPr fontId="3" type="noConversion"/>
  </si>
  <si>
    <t>경우전기</t>
    <phoneticPr fontId="3" type="noConversion"/>
  </si>
  <si>
    <t>태성전설
이동훈
30.96</t>
    <phoneticPr fontId="3" type="noConversion"/>
  </si>
  <si>
    <t>대한전력
이동훈
26.52</t>
    <phoneticPr fontId="3" type="noConversion"/>
  </si>
  <si>
    <t>영성전력구성서
69.91</t>
    <phoneticPr fontId="3" type="noConversion"/>
  </si>
  <si>
    <t>태광전기공사43.72
이동훈</t>
    <phoneticPr fontId="3" type="noConversion"/>
  </si>
  <si>
    <t>김호건설
이동훈
53.43</t>
    <phoneticPr fontId="3" type="noConversion"/>
  </si>
  <si>
    <t>코레일테크</t>
    <phoneticPr fontId="3" type="noConversion"/>
  </si>
  <si>
    <t>일광이앤씨 69.54</t>
    <phoneticPr fontId="3" type="noConversion"/>
  </si>
  <si>
    <t>남양계전</t>
    <phoneticPr fontId="3" type="noConversion"/>
  </si>
  <si>
    <t>인텍에프에이44.45
이동훈</t>
    <phoneticPr fontId="3" type="noConversion"/>
  </si>
  <si>
    <t>케이비에스비즈니스 박성균</t>
    <phoneticPr fontId="3" type="noConversion"/>
  </si>
  <si>
    <t>신신이앤씨
김장섭</t>
    <phoneticPr fontId="3" type="noConversion"/>
  </si>
  <si>
    <t>에스지씨이엔씨</t>
    <phoneticPr fontId="3" type="noConversion"/>
  </si>
  <si>
    <t>건화티에스</t>
    <phoneticPr fontId="3" type="noConversion"/>
  </si>
  <si>
    <t>건화티에스
윤명숙</t>
    <phoneticPr fontId="3" type="noConversion"/>
  </si>
  <si>
    <t>우주전기통신
김희준</t>
    <phoneticPr fontId="3" type="noConversion"/>
  </si>
  <si>
    <t>엠라이
30%</t>
    <phoneticPr fontId="3" type="noConversion"/>
  </si>
  <si>
    <t>광동전력
51%</t>
    <phoneticPr fontId="3" type="noConversion"/>
  </si>
  <si>
    <t>정준테크
55%</t>
    <phoneticPr fontId="3" type="noConversion"/>
  </si>
  <si>
    <t>대한전력
30%</t>
    <phoneticPr fontId="3" type="noConversion"/>
  </si>
  <si>
    <t>정정</t>
    <phoneticPr fontId="3" type="noConversion"/>
  </si>
  <si>
    <t>동해전기
30%</t>
    <phoneticPr fontId="3" type="noConversion"/>
  </si>
  <si>
    <t>2503346-01 양주회천 택지개발사업 3단계 도시기반 전기공사</t>
    <phoneticPr fontId="3" type="noConversion"/>
  </si>
  <si>
    <t>인천 30%, 5개사</t>
    <phoneticPr fontId="3" type="noConversion"/>
  </si>
  <si>
    <t>새천년이엔씨
82.54</t>
    <phoneticPr fontId="3" type="noConversion"/>
  </si>
  <si>
    <t>대건전기제어 99.8</t>
    <phoneticPr fontId="3" type="noConversion"/>
  </si>
  <si>
    <t>지음쏠라테크</t>
    <phoneticPr fontId="3" type="noConversion"/>
  </si>
  <si>
    <t>청운전기
20.56
김장섭</t>
    <phoneticPr fontId="3" type="noConversion"/>
  </si>
  <si>
    <t>청운전기
30%</t>
    <phoneticPr fontId="3" type="noConversion"/>
  </si>
  <si>
    <t>의무지분만!</t>
    <phoneticPr fontId="3" type="noConversion"/>
  </si>
  <si>
    <t>지음이엔아이</t>
    <phoneticPr fontId="3" type="noConversion"/>
  </si>
  <si>
    <r>
      <t xml:space="preserve">규암전력
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>이동훈
46.60</t>
    </r>
    <phoneticPr fontId="3" type="noConversion"/>
  </si>
  <si>
    <t>송원이앤씨
女 이동훈</t>
    <phoneticPr fontId="3" type="noConversion"/>
  </si>
  <si>
    <t>대흥디씨티 62.86</t>
    <phoneticPr fontId="3" type="noConversion"/>
  </si>
  <si>
    <t>우진일렉트 64.18</t>
    <phoneticPr fontId="3" type="noConversion"/>
  </si>
  <si>
    <t>유티정보
조재진
51.49</t>
    <phoneticPr fontId="3" type="noConversion"/>
  </si>
  <si>
    <t>녹십자이엠 13.22</t>
  </si>
  <si>
    <t>태평양개발 55.90
조재진</t>
  </si>
  <si>
    <t>세진종합이엔씨22.52</t>
  </si>
  <si>
    <t>아이디스
김기성</t>
  </si>
  <si>
    <t>코원건설
유형민
22.07</t>
    <phoneticPr fontId="3" type="noConversion"/>
  </si>
  <si>
    <t>일광이앤씨 12.05</t>
  </si>
  <si>
    <t>2503272-00 의정부우정 A-2BL 아파트 정보통신공사 2공구</t>
    <phoneticPr fontId="3" type="noConversion"/>
  </si>
  <si>
    <t>선우이엔씨</t>
    <phoneticPr fontId="3" type="noConversion"/>
  </si>
  <si>
    <t>만양</t>
    <phoneticPr fontId="3" type="noConversion"/>
  </si>
  <si>
    <t>에쓰엔정보기술
박성균</t>
  </si>
  <si>
    <t>트래콘건설 47.50</t>
  </si>
  <si>
    <t>건양전기신호_ 허민선7.92</t>
  </si>
  <si>
    <t>빛탑건설
윤명숙
14.17</t>
    <phoneticPr fontId="3" type="noConversion"/>
  </si>
  <si>
    <r>
      <t xml:space="preserve">대상전력
김희준 </t>
    </r>
    <r>
      <rPr>
        <b/>
        <sz val="10"/>
        <color rgb="FFFF0000"/>
        <rFont val="굴림체"/>
        <family val="3"/>
        <charset val="129"/>
      </rPr>
      <t>女</t>
    </r>
    <r>
      <rPr>
        <sz val="10"/>
        <color rgb="FF000000"/>
        <rFont val="굴림체"/>
        <family val="3"/>
        <charset val="129"/>
      </rPr>
      <t xml:space="preserve">
15.18</t>
    </r>
    <phoneticPr fontId="3" type="noConversion"/>
  </si>
  <si>
    <r>
      <t xml:space="preserve">광원 </t>
    </r>
    <r>
      <rPr>
        <b/>
        <sz val="10"/>
        <color rgb="FFFF0000"/>
        <rFont val="굴림체"/>
        <family val="3"/>
        <charset val="129"/>
      </rPr>
      <t>女</t>
    </r>
    <r>
      <rPr>
        <sz val="10"/>
        <color rgb="FF000000"/>
        <rFont val="굴림체"/>
        <family val="3"/>
        <charset val="129"/>
      </rPr>
      <t>19.56
윤명숙</t>
    </r>
    <phoneticPr fontId="3" type="noConversion"/>
  </si>
  <si>
    <t>유리시스템즈 37.31
김기성</t>
    <phoneticPr fontId="3" type="noConversion"/>
  </si>
  <si>
    <t>기전사
39.17
이재웅</t>
    <phoneticPr fontId="3" type="noConversion"/>
  </si>
  <si>
    <t>대한종합산전 22.05</t>
    <phoneticPr fontId="3" type="noConversion"/>
  </si>
  <si>
    <t>부원전기
김장섭
10.71</t>
    <phoneticPr fontId="3" type="noConversion"/>
  </si>
  <si>
    <t>우진기전
51.12
이동훈</t>
    <phoneticPr fontId="3" type="noConversion"/>
  </si>
  <si>
    <t>개성건설
60.69</t>
    <phoneticPr fontId="3" type="noConversion"/>
  </si>
  <si>
    <t>선우이엔씨 56.87
나의상</t>
    <phoneticPr fontId="3" type="noConversion"/>
  </si>
  <si>
    <t>오파스넷</t>
    <phoneticPr fontId="3" type="noConversion"/>
  </si>
  <si>
    <t>대상20</t>
    <phoneticPr fontId="3" type="noConversion"/>
  </si>
  <si>
    <t>스타버킷
최진규
75</t>
    <phoneticPr fontId="3" type="noConversion"/>
  </si>
  <si>
    <t>건양
10</t>
    <phoneticPr fontId="3" type="noConversion"/>
  </si>
  <si>
    <r>
      <t>만양</t>
    </r>
    <r>
      <rPr>
        <b/>
        <sz val="10"/>
        <color rgb="FFFF0000"/>
        <rFont val="굴림체"/>
        <family val="3"/>
        <charset val="129"/>
      </rPr>
      <t>女</t>
    </r>
    <r>
      <rPr>
        <sz val="10"/>
        <color rgb="FF000000"/>
        <rFont val="굴림체"/>
        <family val="3"/>
        <charset val="129"/>
      </rPr>
      <t xml:space="preserve">
46 이동훈</t>
    </r>
    <phoneticPr fontId="3" type="noConversion"/>
  </si>
  <si>
    <t>온세이엔씨 71.83</t>
    <phoneticPr fontId="3" type="noConversion"/>
  </si>
  <si>
    <t>길리
34.03</t>
    <phoneticPr fontId="3" type="noConversion"/>
  </si>
  <si>
    <t>우진66</t>
    <phoneticPr fontId="3" type="noConversion"/>
  </si>
  <si>
    <t>지음쏠라테크
65.50</t>
    <phoneticPr fontId="3" type="noConversion"/>
  </si>
  <si>
    <t>신우이엔아이_김장섭 25.19</t>
    <phoneticPr fontId="3" type="noConversion"/>
  </si>
  <si>
    <t>대원전력공사_윤명숙 14.01</t>
  </si>
  <si>
    <t>코원건설
34.25
유형민</t>
  </si>
  <si>
    <t>파워텔레콤 24.66
김대열</t>
    <phoneticPr fontId="3" type="noConversion"/>
  </si>
  <si>
    <t>김호건설
25.44
이동훈</t>
  </si>
  <si>
    <t>세진종합이엔씨_김장섭42.65</t>
  </si>
  <si>
    <t>일진종합전설62.02
박성균</t>
    <phoneticPr fontId="3" type="noConversion"/>
  </si>
  <si>
    <t>만양
49.18
이동훈</t>
    <phoneticPr fontId="3" type="noConversion"/>
  </si>
  <si>
    <t>부원전기
88.09
김장섭</t>
    <phoneticPr fontId="3" type="noConversion"/>
  </si>
  <si>
    <t>송원이앤씨 69.51
이동훈</t>
    <phoneticPr fontId="3" type="noConversion"/>
  </si>
  <si>
    <t>에이스원
조세희
30.58</t>
    <phoneticPr fontId="3" type="noConversion"/>
  </si>
  <si>
    <t>대용와트스 57.60
윤명숙</t>
  </si>
  <si>
    <t>에스지씨이앤씨㈜
43.31</t>
    <phoneticPr fontId="3" type="noConversion"/>
  </si>
  <si>
    <t>건화티에스 39.89
윤명숙</t>
    <phoneticPr fontId="3" type="noConversion"/>
  </si>
  <si>
    <t>대광건영
유형민</t>
    <phoneticPr fontId="3" type="noConversion"/>
  </si>
  <si>
    <t>대광건영</t>
    <phoneticPr fontId="3" type="noConversion"/>
  </si>
  <si>
    <t>에코엠이엔씨
26.86</t>
    <phoneticPr fontId="3" type="noConversion"/>
  </si>
  <si>
    <t>오성방재공영 83.25
박성균</t>
    <phoneticPr fontId="3" type="noConversion"/>
  </si>
  <si>
    <t>빛탑건설
32.64
윤명숙</t>
  </si>
  <si>
    <t>대용와트스 윤명숙
62.27</t>
    <phoneticPr fontId="3" type="noConversion"/>
  </si>
  <si>
    <t>10억
미만</t>
    <phoneticPr fontId="3" type="noConversion"/>
  </si>
  <si>
    <t>2503458-00 하남감일 백제박물관 소방시설공사</t>
    <phoneticPr fontId="3" type="noConversion"/>
  </si>
  <si>
    <t>경기 30%, 5개사</t>
    <phoneticPr fontId="3" type="noConversion"/>
  </si>
  <si>
    <t>경영          (10점만점)</t>
    <phoneticPr fontId="3" type="noConversion"/>
  </si>
  <si>
    <t>시공품질(2점기본)</t>
    <phoneticPr fontId="3" type="noConversion"/>
  </si>
  <si>
    <t>실적         (8점만점)</t>
    <phoneticPr fontId="3" type="noConversion"/>
  </si>
  <si>
    <t>지음이엔아이</t>
    <phoneticPr fontId="3" type="noConversion"/>
  </si>
  <si>
    <t>대흥디씨티</t>
    <phoneticPr fontId="3" type="noConversion"/>
  </si>
  <si>
    <t>우진일렉트</t>
    <phoneticPr fontId="3" type="noConversion"/>
  </si>
  <si>
    <t>아람이엔테크</t>
    <phoneticPr fontId="3" type="noConversion"/>
  </si>
  <si>
    <t>지음쏠라테크</t>
    <phoneticPr fontId="3" type="noConversion"/>
  </si>
  <si>
    <t>파워텔레콤
김대열</t>
    <phoneticPr fontId="3" type="noConversion"/>
  </si>
  <si>
    <t>경우전기_김장섭</t>
    <phoneticPr fontId="3" type="noConversion"/>
  </si>
  <si>
    <t>일광이앤씨</t>
    <phoneticPr fontId="3" type="noConversion"/>
  </si>
  <si>
    <t>대한종합산전</t>
    <phoneticPr fontId="3" type="noConversion"/>
  </si>
  <si>
    <t>㈜신우이엔아이_김장섭</t>
    <phoneticPr fontId="3" type="noConversion"/>
  </si>
  <si>
    <t>대원전력공사_윤명숙</t>
    <phoneticPr fontId="3" type="noConversion"/>
  </si>
  <si>
    <t>광동전력
이동훈</t>
    <phoneticPr fontId="3" type="noConversion"/>
  </si>
  <si>
    <t>거산소방공사
김희준</t>
  </si>
  <si>
    <t>두성이앤씨 26.63
김희준</t>
  </si>
  <si>
    <t>철탑
조재진
21.20</t>
  </si>
  <si>
    <t>태평양개발 51.15
조재진</t>
  </si>
  <si>
    <t>화인메컨
박성균</t>
  </si>
  <si>
    <t>이화공영</t>
    <phoneticPr fontId="3" type="noConversion"/>
  </si>
  <si>
    <t>지테크
63.76
김대열</t>
  </si>
  <si>
    <t>대원전력
30%</t>
    <phoneticPr fontId="3" type="noConversion"/>
  </si>
  <si>
    <t>대한종합산전
55.55</t>
    <phoneticPr fontId="3" type="noConversion"/>
  </si>
  <si>
    <t>대일소방산업
김희준</t>
    <phoneticPr fontId="3" type="noConversion"/>
  </si>
  <si>
    <t>건화티에스 윤명숙
69.99</t>
    <phoneticPr fontId="3" type="noConversion"/>
  </si>
  <si>
    <t>화인메컨</t>
    <phoneticPr fontId="3" type="noConversion"/>
  </si>
  <si>
    <t>광동전력이동훈</t>
  </si>
  <si>
    <t>일광이앤씨</t>
    <phoneticPr fontId="3" type="noConversion"/>
  </si>
  <si>
    <t>대상전력
김희준
32.22</t>
    <phoneticPr fontId="3" type="noConversion"/>
  </si>
  <si>
    <t>지음쏠라
70%</t>
    <phoneticPr fontId="3" type="noConversion"/>
  </si>
  <si>
    <t>부국전력통신공사
64.40</t>
    <phoneticPr fontId="3" type="noConversion"/>
  </si>
  <si>
    <t>에이스원
40%</t>
    <phoneticPr fontId="3" type="noConversion"/>
  </si>
  <si>
    <t>김호건설
40%</t>
    <phoneticPr fontId="3" type="noConversion"/>
  </si>
  <si>
    <t>도원이엔아이
56.26</t>
    <phoneticPr fontId="3" type="noConversion"/>
  </si>
  <si>
    <t>파워텔레콤30%</t>
    <phoneticPr fontId="3" type="noConversion"/>
  </si>
  <si>
    <t>신신이앤씨
김장섭</t>
    <phoneticPr fontId="3" type="noConversion"/>
  </si>
  <si>
    <t>2503424-00 양주회천(3단계) 스마트도시 정보통신공사</t>
    <phoneticPr fontId="3" type="noConversion"/>
  </si>
  <si>
    <t>2503430-00 부천괴안 A-1BL 아파트 소방시설공사 2공구</t>
    <phoneticPr fontId="3" type="noConversion"/>
  </si>
  <si>
    <t>정정</t>
    <phoneticPr fontId="3" type="noConversion"/>
  </si>
  <si>
    <t>2503510-00 인천계양 A-9BL 아파트 정보통신공사 3공구</t>
    <phoneticPr fontId="3" type="noConversion"/>
  </si>
  <si>
    <t>건화티에스51.43
윤명숙</t>
    <phoneticPr fontId="3" type="noConversion"/>
  </si>
  <si>
    <t xml:space="preserve">새천년이엔씨
76.89
</t>
  </si>
  <si>
    <t>선경기전
38.31
허민선</t>
  </si>
  <si>
    <t>아람이엔테크</t>
    <phoneticPr fontId="3" type="noConversion"/>
  </si>
  <si>
    <t>우진일렉트 82.75</t>
    <phoneticPr fontId="3" type="noConversion"/>
  </si>
  <si>
    <t>아람이엔테크</t>
  </si>
  <si>
    <t>국동전설
27.805
윤명숙</t>
  </si>
  <si>
    <t>\</t>
    <phoneticPr fontId="3" type="noConversion"/>
  </si>
  <si>
    <t>2503374-00 인천계양 테크노밸리 공공주택지구 도시기반 1공구 및 공원등 1-1공구 전기공사</t>
    <phoneticPr fontId="3" type="noConversion"/>
  </si>
  <si>
    <t>경남 30%, 5개사</t>
    <phoneticPr fontId="3" type="noConversion"/>
  </si>
  <si>
    <t>공고명/공고번호</t>
    <phoneticPr fontId="3" type="noConversion"/>
  </si>
  <si>
    <t>비고</t>
    <phoneticPr fontId="3" type="noConversion"/>
  </si>
  <si>
    <t>입찰참가자격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</si>
</sst>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0.0%"/>
    <numFmt numFmtId="179" formatCode="_-* #,##0.00_-;\-* #,##0.00_-;_-* &quot;-&quot;_-;_-@_-"/>
    <numFmt numFmtId="180" formatCode="0.000%"/>
    <numFmt numFmtId="181" formatCode="_-* #,##0_-;\-* #,##0_-;_-* \-_-;_-@_-"/>
    <numFmt numFmtId="182" formatCode="_(* #,##0.00_);_(* \(#,##0.00\);_(* &quot;-&quot;_);_(@_)"/>
    <numFmt numFmtId="183" formatCode="0.0"/>
  </numFmts>
  <fonts count="2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8"/>
      <name val="굴림체"/>
      <family val="3"/>
      <charset val="129"/>
    </font>
    <font>
      <b/>
      <sz val="18"/>
      <name val="굴림체"/>
      <family val="3"/>
      <charset val="129"/>
    </font>
    <font>
      <sz val="9"/>
      <name val="굴림체"/>
      <family val="3"/>
      <charset val="129"/>
    </font>
    <font>
      <b/>
      <sz val="12"/>
      <name val="굴림체"/>
      <family val="3"/>
      <charset val="129"/>
    </font>
    <font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B0F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4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color rgb="FF0070C0"/>
      <name val="굴림체"/>
      <family val="3"/>
      <charset val="129"/>
    </font>
    <font>
      <b/>
      <sz val="12"/>
      <color theme="1"/>
      <name val="굴림체"/>
      <family val="3"/>
      <charset val="129"/>
    </font>
    <font>
      <sz val="9"/>
      <color rgb="FFFF0000"/>
      <name val="굴림체"/>
      <family val="3"/>
      <charset val="129"/>
    </font>
    <font>
      <b/>
      <sz val="11"/>
      <color rgb="FF0070C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6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rgb="FF000000"/>
      <name val="굴림체"/>
      <family val="3"/>
      <charset val="129"/>
    </font>
    <font>
      <sz val="11"/>
      <color theme="1"/>
      <name val="맑은 고딕"/>
      <family val="2"/>
      <scheme val="minor"/>
    </font>
    <font>
      <b/>
      <sz val="12"/>
      <color rgb="FF0070C0"/>
      <name val="굴림체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theme="9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1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24" fillId="0" borderId="0"/>
    <xf numFmtId="41" fontId="1" fillId="0" borderId="0" applyFont="0" applyFill="0" applyBorder="0" applyAlignment="0" applyProtection="0">
      <alignment vertical="center"/>
    </xf>
  </cellStyleXfs>
  <cellXfs count="38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 shrinkToFit="1"/>
    </xf>
    <xf numFmtId="178" fontId="9" fillId="0" borderId="16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9" fontId="9" fillId="0" borderId="35" xfId="0" applyNumberFormat="1" applyFont="1" applyBorder="1" applyAlignment="1">
      <alignment horizontal="center" vertical="center"/>
    </xf>
    <xf numFmtId="179" fontId="9" fillId="3" borderId="35" xfId="1" applyNumberFormat="1" applyFont="1" applyFill="1" applyBorder="1">
      <alignment vertical="center"/>
    </xf>
    <xf numFmtId="179" fontId="9" fillId="0" borderId="36" xfId="1" applyNumberFormat="1" applyFont="1" applyBorder="1">
      <alignment vertical="center"/>
    </xf>
    <xf numFmtId="179" fontId="9" fillId="0" borderId="3" xfId="1" applyNumberFormat="1" applyFont="1" applyBorder="1">
      <alignment vertical="center"/>
    </xf>
    <xf numFmtId="179" fontId="9" fillId="0" borderId="14" xfId="1" applyNumberFormat="1" applyFont="1" applyBorder="1">
      <alignment vertical="center"/>
    </xf>
    <xf numFmtId="179" fontId="10" fillId="0" borderId="35" xfId="1" applyNumberFormat="1" applyFont="1" applyBorder="1">
      <alignment vertical="center"/>
    </xf>
    <xf numFmtId="176" fontId="9" fillId="0" borderId="3" xfId="1" applyFont="1" applyBorder="1" applyAlignment="1">
      <alignment vertical="center" wrapText="1" shrinkToFit="1"/>
    </xf>
    <xf numFmtId="176" fontId="9" fillId="0" borderId="16" xfId="1" applyFont="1" applyBorder="1" applyAlignment="1">
      <alignment vertical="center" wrapText="1" shrinkToFit="1"/>
    </xf>
    <xf numFmtId="176" fontId="9" fillId="0" borderId="33" xfId="1" applyFont="1" applyBorder="1" applyAlignment="1">
      <alignment vertical="center" wrapText="1" shrinkToFit="1"/>
    </xf>
    <xf numFmtId="179" fontId="10" fillId="0" borderId="34" xfId="1" applyNumberFormat="1" applyFont="1" applyBorder="1">
      <alignment vertical="center"/>
    </xf>
    <xf numFmtId="179" fontId="9" fillId="0" borderId="3" xfId="0" applyNumberFormat="1" applyFont="1" applyBorder="1">
      <alignment vertical="center"/>
    </xf>
    <xf numFmtId="176" fontId="9" fillId="0" borderId="3" xfId="1" applyFont="1" applyBorder="1">
      <alignment vertical="center"/>
    </xf>
    <xf numFmtId="180" fontId="9" fillId="0" borderId="3" xfId="2" applyNumberFormat="1" applyFont="1" applyBorder="1">
      <alignment vertical="center"/>
    </xf>
    <xf numFmtId="177" fontId="4" fillId="0" borderId="17" xfId="0" applyNumberFormat="1" applyFont="1" applyBorder="1">
      <alignment vertical="center"/>
    </xf>
    <xf numFmtId="180" fontId="9" fillId="0" borderId="17" xfId="2" applyNumberFormat="1" applyFont="1" applyBorder="1">
      <alignment vertical="center"/>
    </xf>
    <xf numFmtId="0" fontId="9" fillId="0" borderId="0" xfId="0" applyFont="1">
      <alignment vertical="center"/>
    </xf>
    <xf numFmtId="176" fontId="9" fillId="0" borderId="15" xfId="1" applyFont="1" applyBorder="1">
      <alignment vertical="center"/>
    </xf>
    <xf numFmtId="179" fontId="9" fillId="0" borderId="31" xfId="1" applyNumberFormat="1" applyFont="1" applyBorder="1">
      <alignment vertical="center"/>
    </xf>
    <xf numFmtId="176" fontId="9" fillId="0" borderId="17" xfId="1" applyFont="1" applyBorder="1" applyAlignment="1">
      <alignment vertical="center" wrapText="1" shrinkToFit="1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176" fontId="9" fillId="0" borderId="31" xfId="1" applyFont="1" applyBorder="1" applyAlignment="1">
      <alignment vertical="center" wrapText="1" shrinkToFit="1"/>
    </xf>
    <xf numFmtId="0" fontId="9" fillId="6" borderId="3" xfId="0" applyFont="1" applyFill="1" applyBorder="1" applyAlignment="1">
      <alignment horizontal="left" vertical="center" wrapText="1" shrinkToFit="1"/>
    </xf>
    <xf numFmtId="0" fontId="9" fillId="5" borderId="31" xfId="0" applyFont="1" applyFill="1" applyBorder="1" applyAlignment="1">
      <alignment horizontal="left" vertical="center" wrapText="1" shrinkToFit="1"/>
    </xf>
    <xf numFmtId="0" fontId="9" fillId="5" borderId="3" xfId="0" applyFont="1" applyFill="1" applyBorder="1" applyAlignment="1">
      <alignment horizontal="left" vertical="center" wrapText="1" shrinkToFit="1"/>
    </xf>
    <xf numFmtId="0" fontId="9" fillId="6" borderId="31" xfId="0" applyFont="1" applyFill="1" applyBorder="1" applyAlignment="1">
      <alignment horizontal="left" vertical="center" wrapText="1" shrinkToFit="1"/>
    </xf>
    <xf numFmtId="0" fontId="9" fillId="6" borderId="40" xfId="0" applyFont="1" applyFill="1" applyBorder="1" applyAlignment="1">
      <alignment horizontal="left" vertical="center" wrapText="1" shrinkToFit="1"/>
    </xf>
    <xf numFmtId="0" fontId="9" fillId="6" borderId="17" xfId="0" applyFont="1" applyFill="1" applyBorder="1" applyAlignment="1">
      <alignment horizontal="left" vertical="center" wrapText="1" shrinkToFit="1"/>
    </xf>
    <xf numFmtId="0" fontId="4" fillId="2" borderId="0" xfId="0" applyFont="1" applyFill="1" applyBorder="1" applyAlignment="1">
      <alignment horizontal="center" vertical="center"/>
    </xf>
    <xf numFmtId="179" fontId="9" fillId="0" borderId="16" xfId="1" applyNumberFormat="1" applyFont="1" applyBorder="1">
      <alignment vertical="center"/>
    </xf>
    <xf numFmtId="41" fontId="9" fillId="0" borderId="16" xfId="4" applyFont="1" applyBorder="1" applyAlignment="1">
      <alignment vertical="center" wrapText="1" shrinkToFit="1"/>
    </xf>
    <xf numFmtId="41" fontId="9" fillId="0" borderId="3" xfId="4" applyFont="1" applyBorder="1" applyAlignment="1">
      <alignment vertical="center" wrapText="1" shrinkToFit="1"/>
    </xf>
    <xf numFmtId="41" fontId="9" fillId="0" borderId="17" xfId="4" applyFont="1" applyBorder="1" applyAlignment="1">
      <alignment vertical="center" wrapText="1" shrinkToFit="1"/>
    </xf>
    <xf numFmtId="41" fontId="9" fillId="0" borderId="14" xfId="4" applyFont="1" applyBorder="1" applyAlignment="1">
      <alignment vertical="center" wrapText="1" shrinkToFit="1"/>
    </xf>
    <xf numFmtId="182" fontId="9" fillId="0" borderId="16" xfId="1" applyNumberFormat="1" applyFont="1" applyBorder="1">
      <alignment vertical="center"/>
    </xf>
    <xf numFmtId="10" fontId="9" fillId="0" borderId="34" xfId="0" applyNumberFormat="1" applyFont="1" applyBorder="1" applyAlignment="1">
      <alignment horizontal="center" vertical="center"/>
    </xf>
    <xf numFmtId="179" fontId="10" fillId="6" borderId="35" xfId="1" applyNumberFormat="1" applyFont="1" applyFill="1" applyBorder="1">
      <alignment vertical="center"/>
    </xf>
    <xf numFmtId="0" fontId="9" fillId="6" borderId="15" xfId="0" applyFont="1" applyFill="1" applyBorder="1" applyAlignment="1">
      <alignment horizontal="center" vertical="center" wrapText="1" shrinkToFit="1"/>
    </xf>
    <xf numFmtId="0" fontId="9" fillId="5" borderId="5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center"/>
    </xf>
    <xf numFmtId="179" fontId="9" fillId="0" borderId="35" xfId="1" applyNumberFormat="1" applyFont="1" applyBorder="1">
      <alignment vertical="center"/>
    </xf>
    <xf numFmtId="0" fontId="10" fillId="2" borderId="39" xfId="0" applyFont="1" applyFill="1" applyBorder="1" applyAlignment="1">
      <alignment vertical="center" wrapText="1"/>
    </xf>
    <xf numFmtId="0" fontId="9" fillId="0" borderId="15" xfId="0" applyFont="1" applyBorder="1">
      <alignment vertical="center"/>
    </xf>
    <xf numFmtId="41" fontId="9" fillId="0" borderId="15" xfId="4" applyFont="1" applyBorder="1" applyAlignment="1">
      <alignment vertical="center" wrapText="1" shrinkToFit="1"/>
    </xf>
    <xf numFmtId="176" fontId="9" fillId="2" borderId="0" xfId="0" applyNumberFormat="1" applyFont="1" applyFill="1">
      <alignment vertical="center"/>
    </xf>
    <xf numFmtId="0" fontId="9" fillId="0" borderId="31" xfId="0" applyFont="1" applyFill="1" applyBorder="1" applyAlignment="1">
      <alignment horizontal="left" vertical="center" wrapText="1" shrinkToFit="1"/>
    </xf>
    <xf numFmtId="0" fontId="9" fillId="0" borderId="3" xfId="0" applyFont="1" applyFill="1" applyBorder="1" applyAlignment="1">
      <alignment horizontal="left" vertical="center" wrapText="1" shrinkToFit="1"/>
    </xf>
    <xf numFmtId="176" fontId="9" fillId="0" borderId="37" xfId="1" applyFont="1" applyBorder="1" applyAlignment="1">
      <alignment vertical="center" wrapText="1" shrinkToFit="1"/>
    </xf>
    <xf numFmtId="0" fontId="9" fillId="6" borderId="3" xfId="0" applyFont="1" applyFill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/>
    </xf>
    <xf numFmtId="10" fontId="9" fillId="0" borderId="33" xfId="0" applyNumberFormat="1" applyFont="1" applyBorder="1" applyAlignment="1">
      <alignment horizontal="center" vertical="center"/>
    </xf>
    <xf numFmtId="178" fontId="9" fillId="0" borderId="36" xfId="0" applyNumberFormat="1" applyFont="1" applyBorder="1" applyAlignment="1">
      <alignment horizontal="center" vertical="center"/>
    </xf>
    <xf numFmtId="179" fontId="9" fillId="0" borderId="1" xfId="1" applyNumberFormat="1" applyFont="1" applyFill="1" applyBorder="1">
      <alignment vertical="center"/>
    </xf>
    <xf numFmtId="179" fontId="9" fillId="0" borderId="3" xfId="1" applyNumberFormat="1" applyFont="1" applyFill="1" applyBorder="1">
      <alignment vertical="center"/>
    </xf>
    <xf numFmtId="176" fontId="9" fillId="0" borderId="36" xfId="1" applyFont="1" applyBorder="1" applyAlignment="1">
      <alignment vertical="center" wrapText="1" shrinkToFit="1"/>
    </xf>
    <xf numFmtId="10" fontId="9" fillId="0" borderId="3" xfId="0" applyNumberFormat="1" applyFont="1" applyBorder="1" applyAlignment="1">
      <alignment horizontal="center" vertical="center"/>
    </xf>
    <xf numFmtId="41" fontId="9" fillId="0" borderId="37" xfId="4" applyFont="1" applyBorder="1" applyAlignment="1">
      <alignment vertical="center" wrapText="1" shrinkToFit="1"/>
    </xf>
    <xf numFmtId="0" fontId="9" fillId="6" borderId="33" xfId="0" applyFont="1" applyFill="1" applyBorder="1" applyAlignment="1">
      <alignment horizontal="left" vertical="center" wrapText="1" shrinkToFit="1"/>
    </xf>
    <xf numFmtId="0" fontId="9" fillId="6" borderId="15" xfId="0" applyFont="1" applyFill="1" applyBorder="1" applyAlignment="1">
      <alignment horizontal="left" vertical="center" wrapText="1" shrinkToFit="1"/>
    </xf>
    <xf numFmtId="0" fontId="9" fillId="3" borderId="3" xfId="0" applyFont="1" applyFill="1" applyBorder="1" applyAlignment="1">
      <alignment horizontal="left" vertical="center" wrapText="1" shrinkToFit="1"/>
    </xf>
    <xf numFmtId="0" fontId="9" fillId="3" borderId="31" xfId="0" applyFont="1" applyFill="1" applyBorder="1" applyAlignment="1">
      <alignment horizontal="left" vertical="center" wrapText="1" shrinkToFit="1"/>
    </xf>
    <xf numFmtId="179" fontId="9" fillId="0" borderId="33" xfId="1" applyNumberFormat="1" applyFont="1" applyBorder="1">
      <alignment vertical="center"/>
    </xf>
    <xf numFmtId="176" fontId="9" fillId="0" borderId="2" xfId="1" applyFont="1" applyBorder="1" applyAlignment="1">
      <alignment vertical="center" wrapText="1" shrinkToFit="1"/>
    </xf>
    <xf numFmtId="10" fontId="9" fillId="0" borderId="14" xfId="0" applyNumberFormat="1" applyFont="1" applyBorder="1" applyAlignment="1">
      <alignment horizontal="center" vertical="center"/>
    </xf>
    <xf numFmtId="176" fontId="9" fillId="0" borderId="1" xfId="1" applyFont="1" applyBorder="1" applyAlignment="1">
      <alignment vertical="center" wrapText="1" shrinkToFit="1"/>
    </xf>
    <xf numFmtId="176" fontId="11" fillId="0" borderId="31" xfId="1" applyFont="1" applyBorder="1" applyAlignment="1">
      <alignment vertical="center" wrapText="1" shrinkToFit="1"/>
    </xf>
    <xf numFmtId="10" fontId="19" fillId="2" borderId="0" xfId="2" applyNumberFormat="1" applyFont="1" applyFill="1" applyBorder="1" applyAlignment="1">
      <alignment horizontal="left" vertical="center"/>
    </xf>
    <xf numFmtId="41" fontId="9" fillId="0" borderId="31" xfId="4" applyFont="1" applyBorder="1" applyAlignment="1">
      <alignment vertical="center" wrapText="1" shrinkToFit="1"/>
    </xf>
    <xf numFmtId="178" fontId="9" fillId="0" borderId="3" xfId="0" applyNumberFormat="1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 wrapText="1"/>
    </xf>
    <xf numFmtId="41" fontId="12" fillId="0" borderId="32" xfId="4" applyFont="1" applyBorder="1" applyAlignment="1">
      <alignment vertical="center" wrapText="1" shrinkToFit="1"/>
    </xf>
    <xf numFmtId="10" fontId="9" fillId="0" borderId="40" xfId="0" applyNumberFormat="1" applyFont="1" applyBorder="1" applyAlignment="1">
      <alignment horizontal="center" vertical="center"/>
    </xf>
    <xf numFmtId="179" fontId="9" fillId="0" borderId="40" xfId="1" applyNumberFormat="1" applyFont="1" applyBorder="1">
      <alignment vertical="center"/>
    </xf>
    <xf numFmtId="179" fontId="9" fillId="0" borderId="49" xfId="1" applyNumberFormat="1" applyFont="1" applyBorder="1">
      <alignment vertical="center"/>
    </xf>
    <xf numFmtId="176" fontId="9" fillId="0" borderId="40" xfId="1" applyFont="1" applyBorder="1" applyAlignment="1">
      <alignment vertical="center" wrapText="1" shrinkToFit="1"/>
    </xf>
    <xf numFmtId="0" fontId="12" fillId="6" borderId="3" xfId="0" applyFont="1" applyFill="1" applyBorder="1" applyAlignment="1">
      <alignment horizontal="left" vertical="center" wrapText="1" shrinkToFit="1"/>
    </xf>
    <xf numFmtId="179" fontId="20" fillId="0" borderId="3" xfId="1" applyNumberFormat="1" applyFont="1" applyBorder="1">
      <alignment vertical="center"/>
    </xf>
    <xf numFmtId="178" fontId="9" fillId="6" borderId="36" xfId="0" applyNumberFormat="1" applyFont="1" applyFill="1" applyBorder="1" applyAlignment="1">
      <alignment horizontal="center" vertical="center"/>
    </xf>
    <xf numFmtId="178" fontId="9" fillId="6" borderId="3" xfId="0" applyNumberFormat="1" applyFont="1" applyFill="1" applyBorder="1" applyAlignment="1">
      <alignment horizontal="center" vertical="center"/>
    </xf>
    <xf numFmtId="183" fontId="20" fillId="0" borderId="35" xfId="0" applyNumberFormat="1" applyFont="1" applyBorder="1" applyAlignment="1">
      <alignment horizontal="center" vertical="center"/>
    </xf>
    <xf numFmtId="180" fontId="9" fillId="0" borderId="31" xfId="2" applyNumberFormat="1" applyFont="1" applyBorder="1">
      <alignment vertical="center"/>
    </xf>
    <xf numFmtId="177" fontId="4" fillId="0" borderId="2" xfId="0" applyNumberFormat="1" applyFont="1" applyBorder="1">
      <alignment vertical="center"/>
    </xf>
    <xf numFmtId="180" fontId="9" fillId="0" borderId="2" xfId="2" applyNumberFormat="1" applyFont="1" applyBorder="1">
      <alignment vertical="center"/>
    </xf>
    <xf numFmtId="41" fontId="9" fillId="0" borderId="2" xfId="4" applyFont="1" applyBorder="1" applyAlignment="1">
      <alignment vertical="center" wrapText="1" shrinkToFit="1"/>
    </xf>
    <xf numFmtId="41" fontId="9" fillId="0" borderId="27" xfId="4" applyFont="1" applyBorder="1" applyAlignment="1">
      <alignment vertical="center" wrapText="1" shrinkToFit="1"/>
    </xf>
    <xf numFmtId="182" fontId="9" fillId="0" borderId="30" xfId="1" applyNumberFormat="1" applyFont="1" applyBorder="1">
      <alignment vertical="center"/>
    </xf>
    <xf numFmtId="179" fontId="9" fillId="0" borderId="30" xfId="1" applyNumberFormat="1" applyFont="1" applyBorder="1">
      <alignment vertical="center"/>
    </xf>
    <xf numFmtId="179" fontId="9" fillId="0" borderId="31" xfId="0" applyNumberFormat="1" applyFont="1" applyBorder="1">
      <alignment vertical="center"/>
    </xf>
    <xf numFmtId="176" fontId="9" fillId="0" borderId="31" xfId="1" applyFont="1" applyBorder="1">
      <alignment vertical="center"/>
    </xf>
    <xf numFmtId="0" fontId="9" fillId="7" borderId="25" xfId="0" applyFont="1" applyFill="1" applyBorder="1" applyAlignment="1">
      <alignment horizontal="center" vertical="center" wrapText="1" shrinkToFit="1"/>
    </xf>
    <xf numFmtId="0" fontId="9" fillId="2" borderId="25" xfId="0" applyFont="1" applyFill="1" applyBorder="1" applyAlignment="1">
      <alignment horizontal="center" vertical="center" wrapText="1" shrinkToFit="1"/>
    </xf>
    <xf numFmtId="0" fontId="9" fillId="2" borderId="26" xfId="0" applyFont="1" applyFill="1" applyBorder="1" applyAlignment="1">
      <alignment horizontal="center" vertical="center" wrapText="1" shrinkToFit="1"/>
    </xf>
    <xf numFmtId="178" fontId="9" fillId="0" borderId="56" xfId="0" applyNumberFormat="1" applyFont="1" applyBorder="1" applyAlignment="1">
      <alignment horizontal="center" vertical="center"/>
    </xf>
    <xf numFmtId="9" fontId="9" fillId="0" borderId="29" xfId="0" applyNumberFormat="1" applyFont="1" applyBorder="1" applyAlignment="1">
      <alignment horizontal="center" vertical="center"/>
    </xf>
    <xf numFmtId="179" fontId="9" fillId="3" borderId="29" xfId="1" applyNumberFormat="1" applyFont="1" applyFill="1" applyBorder="1">
      <alignment vertical="center"/>
    </xf>
    <xf numFmtId="179" fontId="10" fillId="0" borderId="29" xfId="1" applyNumberFormat="1" applyFont="1" applyBorder="1">
      <alignment vertical="center"/>
    </xf>
    <xf numFmtId="179" fontId="10" fillId="0" borderId="41" xfId="1" applyNumberFormat="1" applyFont="1" applyBorder="1">
      <alignment vertical="center"/>
    </xf>
    <xf numFmtId="179" fontId="9" fillId="0" borderId="29" xfId="1" applyNumberFormat="1" applyFont="1" applyBorder="1">
      <alignment vertical="center"/>
    </xf>
    <xf numFmtId="179" fontId="9" fillId="0" borderId="56" xfId="1" applyNumberFormat="1" applyFont="1" applyBorder="1">
      <alignment vertical="center"/>
    </xf>
    <xf numFmtId="0" fontId="9" fillId="0" borderId="27" xfId="0" applyFont="1" applyBorder="1" applyAlignment="1">
      <alignment horizontal="center" vertical="center" wrapText="1" shrinkToFit="1"/>
    </xf>
    <xf numFmtId="0" fontId="9" fillId="5" borderId="27" xfId="0" applyFont="1" applyFill="1" applyBorder="1" applyAlignment="1">
      <alignment horizontal="center" vertical="center" wrapText="1" shrinkToFit="1"/>
    </xf>
    <xf numFmtId="0" fontId="10" fillId="2" borderId="38" xfId="1" applyNumberFormat="1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10" fontId="16" fillId="2" borderId="38" xfId="2" applyNumberFormat="1" applyFont="1" applyFill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18" fillId="2" borderId="15" xfId="0" applyFont="1" applyFill="1" applyBorder="1" applyAlignment="1">
      <alignment horizontal="center" vertical="center" wrapText="1"/>
    </xf>
    <xf numFmtId="176" fontId="12" fillId="0" borderId="36" xfId="1" applyFont="1" applyBorder="1" applyAlignment="1">
      <alignment vertical="center" wrapText="1" shrinkToFit="1"/>
    </xf>
    <xf numFmtId="0" fontId="4" fillId="6" borderId="13" xfId="0" applyFont="1" applyFill="1" applyBorder="1" applyAlignment="1">
      <alignment horizontal="left" vertical="center" wrapText="1" shrinkToFit="1"/>
    </xf>
    <xf numFmtId="0" fontId="4" fillId="6" borderId="15" xfId="0" applyFont="1" applyFill="1" applyBorder="1" applyAlignment="1">
      <alignment horizontal="left" vertical="center" wrapText="1" shrinkToFit="1"/>
    </xf>
    <xf numFmtId="0" fontId="9" fillId="6" borderId="3" xfId="0" applyFont="1" applyFill="1" applyBorder="1" applyAlignment="1">
      <alignment vertical="center" wrapText="1" shrinkToFit="1"/>
    </xf>
    <xf numFmtId="0" fontId="8" fillId="2" borderId="38" xfId="0" applyFont="1" applyFill="1" applyBorder="1" applyAlignment="1">
      <alignment horizontal="left" vertical="center"/>
    </xf>
    <xf numFmtId="2" fontId="20" fillId="0" borderId="35" xfId="0" applyNumberFormat="1" applyFont="1" applyBorder="1" applyAlignment="1">
      <alignment horizontal="center" vertical="center"/>
    </xf>
    <xf numFmtId="176" fontId="12" fillId="0" borderId="16" xfId="1" applyFont="1" applyBorder="1" applyAlignment="1">
      <alignment vertical="center" wrapText="1" shrinkToFit="1"/>
    </xf>
    <xf numFmtId="179" fontId="20" fillId="5" borderId="3" xfId="1" applyNumberFormat="1" applyFont="1" applyFill="1" applyBorder="1">
      <alignment vertical="center"/>
    </xf>
    <xf numFmtId="0" fontId="4" fillId="6" borderId="35" xfId="0" applyFont="1" applyFill="1" applyBorder="1" applyAlignment="1">
      <alignment horizontal="left" vertical="center" wrapText="1" shrinkToFit="1"/>
    </xf>
    <xf numFmtId="176" fontId="9" fillId="0" borderId="58" xfId="1" applyFont="1" applyBorder="1" applyAlignment="1">
      <alignment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left" vertical="center" wrapText="1" shrinkToFit="1"/>
    </xf>
    <xf numFmtId="10" fontId="12" fillId="0" borderId="3" xfId="0" applyNumberFormat="1" applyFont="1" applyFill="1" applyBorder="1" applyAlignment="1">
      <alignment horizontal="center" vertical="center"/>
    </xf>
    <xf numFmtId="179" fontId="20" fillId="0" borderId="3" xfId="1" applyNumberFormat="1" applyFont="1" applyFill="1" applyBorder="1">
      <alignment vertical="center"/>
    </xf>
    <xf numFmtId="179" fontId="9" fillId="3" borderId="1" xfId="1" applyNumberFormat="1" applyFont="1" applyFill="1" applyBorder="1">
      <alignment vertical="center"/>
    </xf>
    <xf numFmtId="179" fontId="9" fillId="6" borderId="16" xfId="1" applyNumberFormat="1" applyFont="1" applyFill="1" applyBorder="1">
      <alignment vertical="center"/>
    </xf>
    <xf numFmtId="179" fontId="20" fillId="6" borderId="3" xfId="1" applyNumberFormat="1" applyFont="1" applyFill="1" applyBorder="1">
      <alignment vertical="center"/>
    </xf>
    <xf numFmtId="179" fontId="9" fillId="6" borderId="1" xfId="1" applyNumberFormat="1" applyFont="1" applyFill="1" applyBorder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182" fontId="9" fillId="3" borderId="16" xfId="1" applyNumberFormat="1" applyFont="1" applyFill="1" applyBorder="1">
      <alignment vertical="center"/>
    </xf>
    <xf numFmtId="0" fontId="9" fillId="9" borderId="3" xfId="0" applyFont="1" applyFill="1" applyBorder="1" applyAlignment="1">
      <alignment vertical="center" wrapText="1"/>
    </xf>
    <xf numFmtId="0" fontId="9" fillId="9" borderId="31" xfId="0" applyFont="1" applyFill="1" applyBorder="1" applyAlignment="1">
      <alignment vertical="center" wrapText="1"/>
    </xf>
    <xf numFmtId="0" fontId="9" fillId="6" borderId="31" xfId="0" applyFont="1" applyFill="1" applyBorder="1" applyAlignment="1">
      <alignment vertical="center" wrapText="1"/>
    </xf>
    <xf numFmtId="0" fontId="12" fillId="9" borderId="31" xfId="0" applyFont="1" applyFill="1" applyBorder="1" applyAlignment="1">
      <alignment vertical="center" wrapText="1"/>
    </xf>
    <xf numFmtId="3" fontId="12" fillId="0" borderId="59" xfId="5" applyNumberFormat="1" applyFont="1" applyBorder="1" applyAlignment="1">
      <alignment vertical="center" wrapText="1" shrinkToFit="1"/>
    </xf>
    <xf numFmtId="0" fontId="9" fillId="6" borderId="3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vertical="center" wrapText="1"/>
    </xf>
    <xf numFmtId="182" fontId="9" fillId="6" borderId="16" xfId="1" applyNumberFormat="1" applyFont="1" applyFill="1" applyBorder="1">
      <alignment vertical="center"/>
    </xf>
    <xf numFmtId="3" fontId="9" fillId="0" borderId="3" xfId="5" applyNumberFormat="1" applyFont="1" applyBorder="1" applyAlignment="1">
      <alignment vertical="center" wrapText="1" shrinkToFit="1"/>
    </xf>
    <xf numFmtId="3" fontId="9" fillId="0" borderId="16" xfId="6" applyNumberFormat="1" applyFont="1" applyBorder="1" applyAlignment="1">
      <alignment vertical="center" wrapText="1" shrinkToFit="1"/>
    </xf>
    <xf numFmtId="3" fontId="9" fillId="6" borderId="16" xfId="6" applyNumberFormat="1" applyFont="1" applyFill="1" applyBorder="1" applyAlignment="1">
      <alignment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left" vertical="center" wrapText="1" shrinkToFit="1"/>
    </xf>
    <xf numFmtId="3" fontId="9" fillId="5" borderId="3" xfId="0" applyNumberFormat="1" applyFont="1" applyFill="1" applyBorder="1" applyAlignment="1">
      <alignment horizontal="left" vertical="center" wrapText="1" shrinkToFit="1"/>
    </xf>
    <xf numFmtId="179" fontId="9" fillId="3" borderId="3" xfId="1" applyNumberFormat="1" applyFont="1" applyFill="1" applyBorder="1">
      <alignment vertical="center"/>
    </xf>
    <xf numFmtId="179" fontId="9" fillId="6" borderId="3" xfId="1" applyNumberFormat="1" applyFont="1" applyFill="1" applyBorder="1">
      <alignment vertical="center"/>
    </xf>
    <xf numFmtId="179" fontId="9" fillId="3" borderId="16" xfId="1" applyNumberFormat="1" applyFont="1" applyFill="1" applyBorder="1">
      <alignment vertical="center"/>
    </xf>
    <xf numFmtId="0" fontId="21" fillId="2" borderId="38" xfId="0" applyFont="1" applyFill="1" applyBorder="1" applyAlignment="1">
      <alignment horizontal="left" vertical="center"/>
    </xf>
    <xf numFmtId="176" fontId="12" fillId="0" borderId="53" xfId="1" applyFont="1" applyBorder="1" applyAlignment="1">
      <alignment vertical="center" wrapText="1" shrinkToFit="1"/>
    </xf>
    <xf numFmtId="179" fontId="20" fillId="0" borderId="36" xfId="1" applyNumberFormat="1" applyFont="1" applyBorder="1">
      <alignment vertical="center"/>
    </xf>
    <xf numFmtId="0" fontId="9" fillId="6" borderId="4" xfId="0" applyFont="1" applyFill="1" applyBorder="1" applyAlignment="1">
      <alignment horizontal="left" vertical="center" wrapText="1" shrinkToFit="1"/>
    </xf>
    <xf numFmtId="0" fontId="9" fillId="8" borderId="17" xfId="0" applyFont="1" applyFill="1" applyBorder="1" applyAlignment="1">
      <alignment horizontal="left"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left" vertical="center" wrapText="1" shrinkToFit="1"/>
    </xf>
    <xf numFmtId="179" fontId="10" fillId="3" borderId="35" xfId="1" applyNumberFormat="1" applyFont="1" applyFill="1" applyBorder="1">
      <alignment vertical="center"/>
    </xf>
    <xf numFmtId="178" fontId="9" fillId="3" borderId="3" xfId="0" applyNumberFormat="1" applyFont="1" applyFill="1" applyBorder="1" applyAlignment="1">
      <alignment horizontal="center" vertical="center"/>
    </xf>
    <xf numFmtId="41" fontId="12" fillId="0" borderId="36" xfId="4" applyFont="1" applyBorder="1" applyAlignment="1">
      <alignment vertical="center" wrapText="1" shrinkToFit="1"/>
    </xf>
    <xf numFmtId="179" fontId="10" fillId="0" borderId="35" xfId="1" applyNumberFormat="1" applyFont="1" applyFill="1" applyBorder="1">
      <alignment vertical="center"/>
    </xf>
    <xf numFmtId="179" fontId="10" fillId="0" borderId="29" xfId="1" applyNumberFormat="1" applyFont="1" applyFill="1" applyBorder="1">
      <alignment vertical="center"/>
    </xf>
    <xf numFmtId="179" fontId="9" fillId="5" borderId="35" xfId="1" applyNumberFormat="1" applyFont="1" applyFill="1" applyBorder="1">
      <alignment vertical="center"/>
    </xf>
    <xf numFmtId="179" fontId="12" fillId="3" borderId="35" xfId="1" applyNumberFormat="1" applyFont="1" applyFill="1" applyBorder="1">
      <alignment vertical="center"/>
    </xf>
    <xf numFmtId="0" fontId="9" fillId="0" borderId="31" xfId="0" applyFont="1" applyBorder="1" applyAlignment="1">
      <alignment horizontal="left" vertical="center" wrapText="1" shrinkToFit="1"/>
    </xf>
    <xf numFmtId="0" fontId="12" fillId="5" borderId="31" xfId="0" applyFont="1" applyFill="1" applyBorder="1" applyAlignment="1">
      <alignment horizontal="left" vertical="center" wrapText="1" shrinkToFit="1"/>
    </xf>
    <xf numFmtId="9" fontId="9" fillId="3" borderId="35" xfId="0" applyNumberFormat="1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left" vertical="center" wrapText="1" shrinkToFit="1"/>
    </xf>
    <xf numFmtId="0" fontId="4" fillId="6" borderId="15" xfId="0" applyFont="1" applyFill="1" applyBorder="1" applyAlignment="1">
      <alignment horizontal="center" vertical="center" wrapText="1" shrinkToFit="1"/>
    </xf>
    <xf numFmtId="179" fontId="9" fillId="6" borderId="30" xfId="1" applyNumberFormat="1" applyFont="1" applyFill="1" applyBorder="1">
      <alignment vertical="center"/>
    </xf>
    <xf numFmtId="0" fontId="9" fillId="6" borderId="3" xfId="0" applyFont="1" applyFill="1" applyBorder="1" applyAlignment="1">
      <alignment horizontal="center" vertical="center" wrapText="1" shrinkToFit="1"/>
    </xf>
    <xf numFmtId="0" fontId="12" fillId="10" borderId="31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6" fontId="9" fillId="0" borderId="3" xfId="1" applyFont="1" applyBorder="1" applyAlignment="1">
      <alignment horizontal="center" vertical="center" wrapText="1" shrinkToFit="1"/>
    </xf>
    <xf numFmtId="176" fontId="9" fillId="0" borderId="37" xfId="1" applyFont="1" applyBorder="1" applyAlignment="1">
      <alignment horizontal="center" vertical="center" wrapText="1" shrinkToFit="1"/>
    </xf>
    <xf numFmtId="178" fontId="9" fillId="3" borderId="36" xfId="0" applyNumberFormat="1" applyFont="1" applyFill="1" applyBorder="1" applyAlignment="1">
      <alignment horizontal="center" vertical="center"/>
    </xf>
    <xf numFmtId="9" fontId="9" fillId="6" borderId="35" xfId="0" applyNumberFormat="1" applyFont="1" applyFill="1" applyBorder="1" applyAlignment="1">
      <alignment horizontal="center" vertical="center"/>
    </xf>
    <xf numFmtId="41" fontId="9" fillId="0" borderId="36" xfId="4" applyFont="1" applyBorder="1" applyAlignment="1">
      <alignment vertical="center" wrapText="1" shrinkToFit="1"/>
    </xf>
    <xf numFmtId="0" fontId="9" fillId="5" borderId="3" xfId="0" applyFont="1" applyFill="1" applyBorder="1" applyAlignment="1">
      <alignment vertical="center" wrapText="1"/>
    </xf>
    <xf numFmtId="178" fontId="9" fillId="3" borderId="16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8" fontId="9" fillId="0" borderId="16" xfId="0" applyNumberFormat="1" applyFont="1" applyFill="1" applyBorder="1" applyAlignment="1">
      <alignment horizontal="center" vertical="center"/>
    </xf>
    <xf numFmtId="179" fontId="20" fillId="5" borderId="36" xfId="1" applyNumberFormat="1" applyFont="1" applyFill="1" applyBorder="1">
      <alignment vertical="center"/>
    </xf>
    <xf numFmtId="10" fontId="9" fillId="3" borderId="3" xfId="0" applyNumberFormat="1" applyFont="1" applyFill="1" applyBorder="1" applyAlignment="1">
      <alignment horizontal="center" vertical="center"/>
    </xf>
    <xf numFmtId="179" fontId="10" fillId="5" borderId="35" xfId="1" applyNumberFormat="1" applyFont="1" applyFill="1" applyBorder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9" fontId="20" fillId="6" borderId="36" xfId="1" applyNumberFormat="1" applyFont="1" applyFill="1" applyBorder="1">
      <alignment vertical="center"/>
    </xf>
    <xf numFmtId="10" fontId="9" fillId="6" borderId="3" xfId="0" applyNumberFormat="1" applyFont="1" applyFill="1" applyBorder="1" applyAlignment="1">
      <alignment horizontal="center" vertical="center"/>
    </xf>
    <xf numFmtId="179" fontId="9" fillId="0" borderId="16" xfId="1" applyNumberFormat="1" applyFont="1" applyFill="1" applyBorder="1">
      <alignment vertical="center"/>
    </xf>
    <xf numFmtId="182" fontId="9" fillId="0" borderId="16" xfId="1" applyNumberFormat="1" applyFont="1" applyFill="1" applyBorder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9" fontId="10" fillId="11" borderId="35" xfId="1" applyNumberFormat="1" applyFont="1" applyFill="1" applyBorder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8" fontId="9" fillId="6" borderId="16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3" fillId="12" borderId="17" xfId="0" applyFont="1" applyFill="1" applyBorder="1" applyAlignment="1">
      <alignment horizontal="left" vertical="center" wrapText="1" shrinkToFit="1"/>
    </xf>
    <xf numFmtId="178" fontId="23" fillId="0" borderId="3" xfId="0" applyNumberFormat="1" applyFont="1" applyFill="1" applyBorder="1" applyAlignment="1">
      <alignment horizontal="center" vertical="center"/>
    </xf>
    <xf numFmtId="179" fontId="23" fillId="0" borderId="1" xfId="1" applyNumberFormat="1" applyFont="1" applyFill="1" applyBorder="1">
      <alignment vertical="center"/>
    </xf>
    <xf numFmtId="41" fontId="23" fillId="0" borderId="16" xfId="4" applyFont="1" applyFill="1" applyBorder="1" applyAlignment="1">
      <alignment vertical="center" wrapText="1" shrinkToFit="1"/>
    </xf>
    <xf numFmtId="176" fontId="23" fillId="0" borderId="3" xfId="1" applyFont="1" applyFill="1" applyBorder="1" applyAlignment="1">
      <alignment vertical="center" wrapText="1" shrinkToFit="1"/>
    </xf>
    <xf numFmtId="0" fontId="23" fillId="13" borderId="3" xfId="0" applyFont="1" applyFill="1" applyBorder="1" applyAlignment="1">
      <alignment vertical="center" wrapText="1"/>
    </xf>
    <xf numFmtId="10" fontId="23" fillId="0" borderId="3" xfId="0" applyNumberFormat="1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left" vertical="center" wrapText="1" shrinkToFit="1"/>
    </xf>
    <xf numFmtId="0" fontId="23" fillId="12" borderId="3" xfId="0" applyFont="1" applyFill="1" applyBorder="1" applyAlignment="1">
      <alignment horizontal="left" vertical="center" wrapText="1" shrinkToFit="1"/>
    </xf>
    <xf numFmtId="179" fontId="23" fillId="0" borderId="3" xfId="1" applyNumberFormat="1" applyFont="1" applyFill="1" applyBorder="1">
      <alignment vertical="center"/>
    </xf>
    <xf numFmtId="176" fontId="23" fillId="0" borderId="16" xfId="1" applyFont="1" applyFill="1" applyBorder="1" applyAlignment="1">
      <alignment vertical="center" wrapText="1" shrinkToFit="1"/>
    </xf>
    <xf numFmtId="178" fontId="23" fillId="3" borderId="3" xfId="0" applyNumberFormat="1" applyFont="1" applyFill="1" applyBorder="1" applyAlignment="1">
      <alignment horizontal="center" vertical="center"/>
    </xf>
    <xf numFmtId="179" fontId="23" fillId="3" borderId="3" xfId="1" applyNumberFormat="1" applyFont="1" applyFill="1" applyBorder="1">
      <alignment vertical="center"/>
    </xf>
    <xf numFmtId="176" fontId="23" fillId="0" borderId="31" xfId="1" applyFont="1" applyFill="1" applyBorder="1" applyAlignment="1">
      <alignment vertical="center" wrapText="1" shrinkToFit="1"/>
    </xf>
    <xf numFmtId="179" fontId="23" fillId="3" borderId="1" xfId="1" applyNumberFormat="1" applyFont="1" applyFill="1" applyBorder="1">
      <alignment vertical="center"/>
    </xf>
    <xf numFmtId="178" fontId="23" fillId="6" borderId="3" xfId="0" applyNumberFormat="1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left" vertical="center" wrapText="1" shrinkToFit="1"/>
    </xf>
    <xf numFmtId="41" fontId="23" fillId="0" borderId="14" xfId="4" applyFont="1" applyFill="1" applyBorder="1" applyAlignment="1">
      <alignment vertical="center" wrapText="1" shrinkToFit="1"/>
    </xf>
    <xf numFmtId="0" fontId="23" fillId="12" borderId="31" xfId="0" applyFont="1" applyFill="1" applyBorder="1" applyAlignment="1">
      <alignment vertical="center" wrapText="1"/>
    </xf>
    <xf numFmtId="178" fontId="23" fillId="0" borderId="16" xfId="0" applyNumberFormat="1" applyFont="1" applyFill="1" applyBorder="1" applyAlignment="1">
      <alignment horizontal="center" vertical="center"/>
    </xf>
    <xf numFmtId="179" fontId="23" fillId="0" borderId="36" xfId="1" applyNumberFormat="1" applyFont="1" applyFill="1" applyBorder="1">
      <alignment vertical="center"/>
    </xf>
    <xf numFmtId="178" fontId="23" fillId="12" borderId="3" xfId="0" applyNumberFormat="1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vertical="center" wrapText="1"/>
    </xf>
    <xf numFmtId="176" fontId="23" fillId="0" borderId="36" xfId="1" applyFont="1" applyFill="1" applyBorder="1" applyAlignment="1">
      <alignment vertical="center" wrapText="1" shrinkToFit="1"/>
    </xf>
    <xf numFmtId="176" fontId="23" fillId="0" borderId="17" xfId="1" applyFont="1" applyFill="1" applyBorder="1" applyAlignment="1">
      <alignment vertical="center" wrapText="1" shrinkToFit="1"/>
    </xf>
    <xf numFmtId="179" fontId="23" fillId="0" borderId="16" xfId="1" applyNumberFormat="1" applyFont="1" applyFill="1" applyBorder="1">
      <alignment vertical="center"/>
    </xf>
    <xf numFmtId="179" fontId="23" fillId="12" borderId="3" xfId="1" applyNumberFormat="1" applyFont="1" applyFill="1" applyBorder="1">
      <alignment vertical="center"/>
    </xf>
    <xf numFmtId="178" fontId="12" fillId="3" borderId="36" xfId="0" applyNumberFormat="1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left" vertical="center" wrapText="1" shrinkToFit="1"/>
    </xf>
    <xf numFmtId="178" fontId="9" fillId="0" borderId="36" xfId="0" applyNumberFormat="1" applyFont="1" applyFill="1" applyBorder="1" applyAlignment="1">
      <alignment horizontal="center" vertical="center"/>
    </xf>
    <xf numFmtId="179" fontId="20" fillId="6" borderId="16" xfId="1" applyNumberFormat="1" applyFont="1" applyFill="1" applyBorder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left" vertical="center" wrapText="1" shrinkToFit="1"/>
    </xf>
    <xf numFmtId="41" fontId="23" fillId="0" borderId="3" xfId="4" applyFont="1" applyFill="1" applyBorder="1" applyAlignment="1">
      <alignment vertical="center" wrapText="1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left" vertical="center" wrapText="1" shrinkToFit="1"/>
    </xf>
    <xf numFmtId="176" fontId="23" fillId="0" borderId="3" xfId="1" applyFont="1" applyFill="1" applyBorder="1" applyAlignment="1">
      <alignment horizontal="center" vertical="center" wrapText="1" shrinkToFit="1"/>
    </xf>
    <xf numFmtId="3" fontId="23" fillId="0" borderId="16" xfId="6" applyNumberFormat="1" applyFont="1" applyFill="1" applyBorder="1" applyAlignment="1">
      <alignment vertical="center" wrapText="1" shrinkToFit="1"/>
    </xf>
    <xf numFmtId="41" fontId="23" fillId="0" borderId="36" xfId="4" applyFont="1" applyFill="1" applyBorder="1" applyAlignment="1">
      <alignment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3" fillId="12" borderId="31" xfId="0" applyFont="1" applyFill="1" applyBorder="1" applyAlignment="1">
      <alignment horizontal="left" vertical="center" wrapText="1" shrinkToFit="1"/>
    </xf>
    <xf numFmtId="0" fontId="23" fillId="9" borderId="31" xfId="0" applyFont="1" applyFill="1" applyBorder="1" applyAlignment="1">
      <alignment vertical="center" wrapText="1"/>
    </xf>
    <xf numFmtId="178" fontId="23" fillId="3" borderId="36" xfId="0" applyNumberFormat="1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vertical="center" wrapText="1"/>
    </xf>
    <xf numFmtId="0" fontId="10" fillId="10" borderId="31" xfId="0" applyFont="1" applyFill="1" applyBorder="1" applyAlignment="1">
      <alignment vertical="center" wrapText="1"/>
    </xf>
    <xf numFmtId="0" fontId="23" fillId="0" borderId="31" xfId="0" applyFont="1" applyFill="1" applyBorder="1" applyAlignment="1">
      <alignment horizontal="left" vertical="center" wrapText="1" shrinkToFit="1"/>
    </xf>
    <xf numFmtId="178" fontId="23" fillId="3" borderId="16" xfId="0" applyNumberFormat="1" applyFont="1" applyFill="1" applyBorder="1" applyAlignment="1">
      <alignment horizontal="center" vertical="center"/>
    </xf>
    <xf numFmtId="178" fontId="23" fillId="0" borderId="36" xfId="0" applyNumberFormat="1" applyFont="1" applyFill="1" applyBorder="1" applyAlignment="1">
      <alignment horizontal="center" vertical="center"/>
    </xf>
    <xf numFmtId="178" fontId="23" fillId="12" borderId="16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9" fontId="23" fillId="12" borderId="1" xfId="1" applyNumberFormat="1" applyFont="1" applyFill="1" applyBorder="1">
      <alignment vertical="center"/>
    </xf>
    <xf numFmtId="176" fontId="23" fillId="12" borderId="3" xfId="1" applyFont="1" applyFill="1" applyBorder="1" applyAlignment="1">
      <alignment vertical="center" wrapText="1" shrinkToFit="1"/>
    </xf>
    <xf numFmtId="179" fontId="20" fillId="12" borderId="3" xfId="1" applyNumberFormat="1" applyFont="1" applyFill="1" applyBorder="1">
      <alignment vertical="center"/>
    </xf>
    <xf numFmtId="41" fontId="23" fillId="12" borderId="3" xfId="4" applyFont="1" applyFill="1" applyBorder="1" applyAlignment="1">
      <alignment vertical="center" wrapText="1" shrinkToFit="1"/>
    </xf>
    <xf numFmtId="178" fontId="23" fillId="12" borderId="36" xfId="0" applyNumberFormat="1" applyFont="1" applyFill="1" applyBorder="1" applyAlignment="1">
      <alignment horizontal="center" vertical="center"/>
    </xf>
    <xf numFmtId="41" fontId="23" fillId="12" borderId="31" xfId="4" applyFont="1" applyFill="1" applyBorder="1" applyAlignment="1">
      <alignment vertical="center" wrapText="1" shrinkToFit="1"/>
    </xf>
    <xf numFmtId="179" fontId="23" fillId="12" borderId="36" xfId="1" applyNumberFormat="1" applyFont="1" applyFill="1" applyBorder="1">
      <alignment vertical="center"/>
    </xf>
    <xf numFmtId="41" fontId="23" fillId="12" borderId="16" xfId="4" applyFont="1" applyFill="1" applyBorder="1" applyAlignment="1">
      <alignment vertical="center" wrapText="1" shrinkToFit="1"/>
    </xf>
    <xf numFmtId="41" fontId="23" fillId="12" borderId="14" xfId="4" applyFont="1" applyFill="1" applyBorder="1" applyAlignment="1">
      <alignment vertical="center" wrapText="1" shrinkToFit="1"/>
    </xf>
    <xf numFmtId="176" fontId="23" fillId="12" borderId="15" xfId="1" applyFont="1" applyFill="1" applyBorder="1">
      <alignment vertical="center"/>
    </xf>
    <xf numFmtId="176" fontId="23" fillId="12" borderId="36" xfId="1" applyFont="1" applyFill="1" applyBorder="1" applyAlignment="1">
      <alignment vertical="center" wrapText="1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9" fontId="23" fillId="12" borderId="16" xfId="1" applyNumberFormat="1" applyFont="1" applyFill="1" applyBorder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76" fontId="8" fillId="2" borderId="9" xfId="1" applyFont="1" applyFill="1" applyBorder="1" applyAlignment="1">
      <alignment horizontal="center" vertical="center" wrapText="1"/>
    </xf>
    <xf numFmtId="176" fontId="8" fillId="2" borderId="10" xfId="1" applyFont="1" applyFill="1" applyBorder="1" applyAlignment="1">
      <alignment horizontal="center" vertical="center"/>
    </xf>
    <xf numFmtId="176" fontId="8" fillId="2" borderId="0" xfId="1" applyFont="1" applyFill="1" applyBorder="1" applyAlignment="1">
      <alignment horizontal="center" vertical="center"/>
    </xf>
    <xf numFmtId="176" fontId="4" fillId="2" borderId="44" xfId="1" applyFont="1" applyFill="1" applyBorder="1" applyAlignment="1">
      <alignment horizontal="center" vertical="center"/>
    </xf>
    <xf numFmtId="176" fontId="4" fillId="2" borderId="45" xfId="1" applyFont="1" applyFill="1" applyBorder="1" applyAlignment="1">
      <alignment horizontal="center" vertical="center"/>
    </xf>
    <xf numFmtId="176" fontId="4" fillId="2" borderId="4" xfId="1" applyFont="1" applyFill="1" applyBorder="1" applyAlignment="1">
      <alignment horizontal="center" vertical="center"/>
    </xf>
    <xf numFmtId="176" fontId="4" fillId="2" borderId="51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/>
    </xf>
    <xf numFmtId="22" fontId="13" fillId="2" borderId="0" xfId="1" applyNumberFormat="1" applyFont="1" applyFill="1" applyBorder="1" applyAlignment="1">
      <alignment horizontal="center" vertical="center"/>
    </xf>
    <xf numFmtId="176" fontId="7" fillId="2" borderId="3" xfId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176" fontId="9" fillId="2" borderId="52" xfId="0" applyNumberFormat="1" applyFont="1" applyFill="1" applyBorder="1" applyAlignment="1">
      <alignment horizontal="center" vertical="center"/>
    </xf>
    <xf numFmtId="176" fontId="9" fillId="2" borderId="51" xfId="0" applyNumberFormat="1" applyFont="1" applyFill="1" applyBorder="1" applyAlignment="1">
      <alignment horizontal="center" vertical="center"/>
    </xf>
    <xf numFmtId="10" fontId="8" fillId="5" borderId="4" xfId="2" applyNumberFormat="1" applyFont="1" applyFill="1" applyBorder="1" applyAlignment="1">
      <alignment horizontal="center" vertical="center"/>
    </xf>
    <xf numFmtId="10" fontId="8" fillId="5" borderId="51" xfId="2" applyNumberFormat="1" applyFont="1" applyFill="1" applyBorder="1" applyAlignment="1">
      <alignment horizontal="center" vertical="center"/>
    </xf>
    <xf numFmtId="176" fontId="4" fillId="2" borderId="17" xfId="1" applyFont="1" applyFill="1" applyBorder="1" applyAlignment="1">
      <alignment horizontal="center" vertical="center" wrapText="1"/>
    </xf>
    <xf numFmtId="176" fontId="4" fillId="2" borderId="16" xfId="1" applyFont="1" applyFill="1" applyBorder="1" applyAlignment="1">
      <alignment horizontal="center" vertical="center" wrapText="1"/>
    </xf>
    <xf numFmtId="176" fontId="4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176" fontId="10" fillId="2" borderId="15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 shrinkToFit="1"/>
    </xf>
    <xf numFmtId="0" fontId="10" fillId="6" borderId="56" xfId="0" applyFont="1" applyFill="1" applyBorder="1" applyAlignment="1">
      <alignment horizontal="center" vertical="center" wrapText="1" shrinkToFit="1"/>
    </xf>
    <xf numFmtId="0" fontId="10" fillId="6" borderId="48" xfId="0" applyFont="1" applyFill="1" applyBorder="1" applyAlignment="1">
      <alignment horizontal="center" vertical="center" wrapText="1" shrinkToFi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55" xfId="0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176" fontId="9" fillId="2" borderId="3" xfId="1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 wrapText="1" shrinkToFit="1"/>
    </xf>
    <xf numFmtId="0" fontId="10" fillId="6" borderId="0" xfId="0" applyFont="1" applyFill="1" applyBorder="1" applyAlignment="1">
      <alignment horizontal="center" vertical="center" wrapText="1" shrinkToFit="1"/>
    </xf>
    <xf numFmtId="0" fontId="8" fillId="14" borderId="0" xfId="7" applyFont="1" applyFill="1" applyAlignment="1">
      <alignment horizontal="center" vertical="center" wrapText="1"/>
    </xf>
    <xf numFmtId="0" fontId="8" fillId="14" borderId="60" xfId="7" applyFont="1" applyFill="1" applyBorder="1" applyAlignment="1">
      <alignment horizontal="center" vertical="center"/>
    </xf>
    <xf numFmtId="0" fontId="8" fillId="14" borderId="6" xfId="7" applyFont="1" applyFill="1" applyBorder="1" applyAlignment="1">
      <alignment horizontal="center" vertical="center"/>
    </xf>
    <xf numFmtId="0" fontId="8" fillId="14" borderId="25" xfId="7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 wrapText="1" shrinkToFit="1"/>
    </xf>
    <xf numFmtId="0" fontId="10" fillId="6" borderId="14" xfId="0" applyFont="1" applyFill="1" applyBorder="1" applyAlignment="1">
      <alignment horizontal="center" vertical="center" wrapText="1" shrinkToFit="1"/>
    </xf>
    <xf numFmtId="0" fontId="10" fillId="6" borderId="61" xfId="0" applyFont="1" applyFill="1" applyBorder="1" applyAlignment="1">
      <alignment horizontal="center" vertical="center" wrapText="1" shrinkToFit="1"/>
    </xf>
    <xf numFmtId="10" fontId="25" fillId="6" borderId="6" xfId="2" applyNumberFormat="1" applyFont="1" applyFill="1" applyBorder="1" applyAlignment="1">
      <alignment horizontal="left" vertical="center"/>
    </xf>
  </cellXfs>
  <cellStyles count="9">
    <cellStyle name="Excel Built-in Comma [0]" xfId="3"/>
    <cellStyle name="백분율" xfId="2" builtinId="5"/>
    <cellStyle name="쉼표 [0]" xfId="1" builtinId="6"/>
    <cellStyle name="쉼표 [0] 2" xfId="4"/>
    <cellStyle name="쉼표 [0] 2 4 2" xfId="5"/>
    <cellStyle name="쉼표 [0] 8" xfId="8"/>
    <cellStyle name="쉼표 [0] 8 2" xfId="6"/>
    <cellStyle name="표준" xfId="0" builtinId="0"/>
    <cellStyle name="표준 3" xfId="7"/>
  </cellStyles>
  <dxfs count="0"/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40"/>
  <sheetViews>
    <sheetView zoomScale="80" zoomScaleNormal="80" workbookViewId="0">
      <selection activeCell="L17" sqref="L17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6.5546875" style="1" bestFit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2128936000</v>
      </c>
      <c r="E1" s="340"/>
      <c r="F1" s="339"/>
      <c r="G1" s="340"/>
      <c r="H1" s="66" t="s">
        <v>29</v>
      </c>
      <c r="I1" s="341">
        <v>4833148320</v>
      </c>
      <c r="J1" s="341"/>
      <c r="K1" s="142" t="s">
        <v>84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v>2128936000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2341829600</v>
      </c>
      <c r="E2" s="328"/>
      <c r="F2" s="329"/>
      <c r="G2" s="330"/>
      <c r="H2" s="3" t="s">
        <v>28</v>
      </c>
      <c r="I2" s="331">
        <f>D2*1</f>
        <v>2341829600</v>
      </c>
      <c r="J2" s="329"/>
      <c r="K2" s="129" t="s">
        <v>46</v>
      </c>
      <c r="L2" s="130" t="s">
        <v>30</v>
      </c>
      <c r="M2" s="332">
        <v>45861.625</v>
      </c>
      <c r="N2" s="332"/>
      <c r="O2" s="332"/>
      <c r="P2" s="332"/>
      <c r="Q2" s="131" t="s">
        <v>69</v>
      </c>
      <c r="R2" s="131"/>
      <c r="S2" s="131"/>
      <c r="T2" s="94"/>
      <c r="U2" s="132"/>
      <c r="V2" s="132"/>
      <c r="W2" s="133"/>
      <c r="X2" s="134"/>
      <c r="Y2" s="333">
        <v>991239000</v>
      </c>
      <c r="Z2" s="333"/>
      <c r="AA2" s="334">
        <f>I1</f>
        <v>4833148320</v>
      </c>
      <c r="AB2" s="335"/>
      <c r="AC2" s="336"/>
      <c r="AD2" s="337">
        <f>TRUNC(Y2/AA2,4)</f>
        <v>0.20499999999999999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44</v>
      </c>
      <c r="AP2" s="1"/>
      <c r="AQ2" s="136"/>
      <c r="AR2" s="137" t="s">
        <v>38</v>
      </c>
      <c r="AS2" s="348">
        <f>AI1</f>
        <v>2128936000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148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149"/>
      <c r="AG3" s="149"/>
      <c r="AH3" s="149"/>
      <c r="AI3" s="149"/>
      <c r="AJ3" s="149"/>
      <c r="AK3" s="150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39</v>
      </c>
      <c r="F4" s="15" t="s">
        <v>1</v>
      </c>
      <c r="G4" s="16" t="s">
        <v>27</v>
      </c>
      <c r="H4" s="148"/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39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 t="s">
        <v>82</v>
      </c>
      <c r="C5" s="74" t="s">
        <v>58</v>
      </c>
      <c r="D5" s="50" t="s">
        <v>59</v>
      </c>
      <c r="E5" s="52"/>
      <c r="F5" s="52"/>
      <c r="G5" s="53"/>
      <c r="H5" s="139"/>
      <c r="I5" s="105">
        <v>0.51</v>
      </c>
      <c r="J5" s="106">
        <v>0.49</v>
      </c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>
        <v>15</v>
      </c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47">
        <v>59183685000</v>
      </c>
      <c r="X5" s="92">
        <v>130509297000</v>
      </c>
      <c r="Y5" s="33"/>
      <c r="Z5" s="90"/>
      <c r="AA5" s="102"/>
      <c r="AB5" s="124">
        <f>ROUND((((W5*I5)+(X5*J5)+(Y5*K5)+(Z5*L5)+(AA5*M5))/$I$2),2)*13</f>
        <v>522.6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/>
      <c r="AH5" s="115">
        <f>IF((V5+AE5+AF5)&gt;=30,30,(V5+AE5+AF5))</f>
        <v>30</v>
      </c>
      <c r="AI5" s="116">
        <v>65</v>
      </c>
      <c r="AJ5" s="44">
        <f>V5+AE5+AF5+AI5+AG5</f>
        <v>95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45">
        <v>93.38</v>
      </c>
      <c r="J6" s="104">
        <v>85</v>
      </c>
      <c r="K6" s="104"/>
      <c r="L6" s="104"/>
      <c r="M6" s="104"/>
      <c r="N6" s="143">
        <f>I6*I5+J6*J5+K6*K5+L6*L5+M6*M5</f>
        <v>89.273799999999994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 t="s">
        <v>82</v>
      </c>
      <c r="C7" s="73" t="s">
        <v>42</v>
      </c>
      <c r="D7" s="50" t="s">
        <v>60</v>
      </c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>
        <v>15</v>
      </c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34748832000</v>
      </c>
      <c r="X7" s="33">
        <v>328448752000</v>
      </c>
      <c r="Y7" s="33"/>
      <c r="Z7" s="45"/>
      <c r="AA7" s="35"/>
      <c r="AB7" s="36">
        <f>ROUND((((W7*I7)+(X7*J7)+(Y7*K7)+(Z7*L7)+(AA7*M7))/$I$2),2)*13</f>
        <v>991.7700000000001</v>
      </c>
      <c r="AC7" s="68">
        <f>IF(AB7&gt;=13,13,AB7)</f>
        <v>13</v>
      </c>
      <c r="AD7" s="63">
        <v>3</v>
      </c>
      <c r="AE7" s="32">
        <f>IF((AC7+AD7)&gt;=15,15,(AC7+AD7))</f>
        <v>15</v>
      </c>
      <c r="AF7" s="61"/>
      <c r="AG7" s="114"/>
      <c r="AH7" s="37">
        <f>IF((V7+AE7+AF7)&gt;=30,30,(V7+AE7+AF7))</f>
        <v>30</v>
      </c>
      <c r="AI7" s="38">
        <v>65</v>
      </c>
      <c r="AJ7" s="30">
        <f>V7+AE7+AF7+AI7+AG7</f>
        <v>95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45">
        <v>93.38</v>
      </c>
      <c r="K8" s="104"/>
      <c r="L8" s="104"/>
      <c r="M8" s="104"/>
      <c r="N8" s="107">
        <f>I8*I7+J8*J7+K8*K7+L8*L7+M8*M7</f>
        <v>89.106200000000001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 t="s">
        <v>82</v>
      </c>
      <c r="C9" s="73" t="s">
        <v>80</v>
      </c>
      <c r="D9" s="50" t="s">
        <v>74</v>
      </c>
      <c r="E9" s="50" t="s">
        <v>79</v>
      </c>
      <c r="F9" s="54"/>
      <c r="G9" s="53"/>
      <c r="H9" s="140"/>
      <c r="I9" s="79">
        <v>0.51</v>
      </c>
      <c r="J9" s="26">
        <v>0.25</v>
      </c>
      <c r="K9" s="26">
        <v>0.24</v>
      </c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>
        <v>15</v>
      </c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39361754000</v>
      </c>
      <c r="X9" s="33">
        <v>679768000</v>
      </c>
      <c r="Y9" s="33">
        <v>4369459000</v>
      </c>
      <c r="Z9" s="45"/>
      <c r="AA9" s="35"/>
      <c r="AB9" s="36">
        <f>ROUND((((W9*I9)+(X9*J9)+(Y9*K9)+(Z9*L9)+(AA9*M9))/$I$2),2)*13</f>
        <v>118.17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/>
      <c r="AH9" s="37">
        <f>IF((V9+AE9+AF9)&gt;=30,30,(V9+AE9+AF9))</f>
        <v>30</v>
      </c>
      <c r="AI9" s="38">
        <v>65</v>
      </c>
      <c r="AJ9" s="30">
        <f>V9+AE9+AF9+AI9+AG9</f>
        <v>95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>
        <v>85</v>
      </c>
      <c r="K10" s="104">
        <v>85</v>
      </c>
      <c r="L10" s="104"/>
      <c r="M10" s="104"/>
      <c r="N10" s="107">
        <f>I10*I9+J10*J9+K10*K9+L10*L9+M10*M9</f>
        <v>87.922300000000007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161" t="s">
        <v>83</v>
      </c>
      <c r="C11" s="73" t="s">
        <v>61</v>
      </c>
      <c r="D11" s="50" t="s">
        <v>73</v>
      </c>
      <c r="E11" s="51" t="s">
        <v>72</v>
      </c>
      <c r="F11" s="54"/>
      <c r="G11" s="53"/>
      <c r="H11" s="140"/>
      <c r="I11" s="79">
        <v>0.51</v>
      </c>
      <c r="J11" s="152">
        <v>0.15</v>
      </c>
      <c r="K11" s="26">
        <v>0.34</v>
      </c>
      <c r="L11" s="91"/>
      <c r="M11" s="78"/>
      <c r="N11" s="27">
        <f t="shared" ref="N11:N46" si="0">SUM(I11:M11)</f>
        <v>1</v>
      </c>
      <c r="O11" s="28">
        <v>1</v>
      </c>
      <c r="P11" s="80">
        <v>15</v>
      </c>
      <c r="Q11" s="154">
        <v>11.8</v>
      </c>
      <c r="R11" s="157">
        <v>15</v>
      </c>
      <c r="S11" s="30"/>
      <c r="T11" s="89"/>
      <c r="U11" s="32">
        <f t="shared" ref="U11:U78" si="1">ROUND(((P11*I11)+(Q11*J11)+(R11*K11)+(S11*L11)+(T11*M11))*O11,2)</f>
        <v>14.52</v>
      </c>
      <c r="V11" s="68">
        <f t="shared" ref="V11:V78" si="2">IF(U11&gt;=15,15,U11)</f>
        <v>14.52</v>
      </c>
      <c r="W11" s="138">
        <v>57539030000</v>
      </c>
      <c r="X11" s="33">
        <v>3460823000</v>
      </c>
      <c r="Y11" s="33">
        <v>2582184000</v>
      </c>
      <c r="Z11" s="45"/>
      <c r="AA11" s="35"/>
      <c r="AB11" s="36">
        <f t="shared" ref="AB11:AB78" si="3">ROUND((((W11*I11)+(X11*J11)+(Y11*K11)+(Z11*L11)+(AA11*M11))/$I$2),2)*13</f>
        <v>170.69</v>
      </c>
      <c r="AC11" s="68">
        <f t="shared" ref="AC11:AC78" si="4">IF(AB11&gt;=13,13,AB11)</f>
        <v>13</v>
      </c>
      <c r="AD11" s="63">
        <v>2</v>
      </c>
      <c r="AE11" s="32">
        <f t="shared" ref="AE11:AE78" si="5">IF((AC11+AD11)&gt;=15,15,(AC11+AD11))</f>
        <v>15</v>
      </c>
      <c r="AF11" s="162">
        <f>1.5*I11</f>
        <v>0.76500000000000001</v>
      </c>
      <c r="AG11" s="114"/>
      <c r="AH11" s="37">
        <f t="shared" ref="AH11:AH78" si="6">IF((V11+AE11+AF11)&gt;=30,30,(V11+AE11+AF11))</f>
        <v>30</v>
      </c>
      <c r="AI11" s="38">
        <v>65</v>
      </c>
      <c r="AJ11" s="30">
        <f t="shared" ref="AJ11:AJ78" si="7">V11+AE11+AF11+AI11+AG11</f>
        <v>95.284999999999997</v>
      </c>
      <c r="AK11" s="37">
        <f t="shared" ref="AK11:AK78" si="8">IF(AH11+AI11+AG11&gt;=95,95,AH11+AI11+AG11)</f>
        <v>95</v>
      </c>
      <c r="AL11" s="39">
        <f t="shared" ref="AL11:AL78" si="9">-((50-((176+(45+(50-AH11)))))/200)</f>
        <v>0.95499999999999996</v>
      </c>
      <c r="AM11" s="40"/>
      <c r="AN11" s="41">
        <f t="shared" ref="AN11:AO34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8" si="11">AR11+AS11+AT11+AU11+AV11</f>
        <v>0</v>
      </c>
      <c r="AX11" s="71">
        <f t="shared" ref="AX11:AX78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>
        <v>85</v>
      </c>
      <c r="K12" s="104">
        <v>85</v>
      </c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 t="s">
        <v>82</v>
      </c>
      <c r="C13" s="73" t="s">
        <v>50</v>
      </c>
      <c r="D13" s="51" t="s">
        <v>71</v>
      </c>
      <c r="E13" s="49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4">
        <v>14.9</v>
      </c>
      <c r="R13" s="80"/>
      <c r="S13" s="31"/>
      <c r="T13" s="33"/>
      <c r="U13" s="32">
        <f t="shared" si="1"/>
        <v>14.95</v>
      </c>
      <c r="V13" s="68">
        <f t="shared" si="2"/>
        <v>14.95</v>
      </c>
      <c r="W13" s="33">
        <v>14977246000</v>
      </c>
      <c r="X13" s="33">
        <v>1224996000</v>
      </c>
      <c r="Y13" s="34"/>
      <c r="Z13" s="45"/>
      <c r="AA13" s="35"/>
      <c r="AB13" s="36">
        <f t="shared" si="3"/>
        <v>45.76</v>
      </c>
      <c r="AC13" s="68">
        <f t="shared" si="4"/>
        <v>13</v>
      </c>
      <c r="AD13" s="63">
        <v>2</v>
      </c>
      <c r="AE13" s="32">
        <f t="shared" si="5"/>
        <v>15</v>
      </c>
      <c r="AF13" s="162">
        <f>0.5*I13</f>
        <v>0.255</v>
      </c>
      <c r="AG13" s="114"/>
      <c r="AH13" s="37">
        <f t="shared" si="6"/>
        <v>30</v>
      </c>
      <c r="AI13" s="38">
        <v>65</v>
      </c>
      <c r="AJ13" s="30">
        <f t="shared" si="7"/>
        <v>95.204999999999998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>
        <v>85</v>
      </c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 t="s">
        <v>82</v>
      </c>
      <c r="C15" s="73" t="s">
        <v>63</v>
      </c>
      <c r="D15" s="50" t="s">
        <v>70</v>
      </c>
      <c r="E15" s="54"/>
      <c r="F15" s="49"/>
      <c r="G15" s="53"/>
      <c r="H15" s="86"/>
      <c r="I15" s="79">
        <v>0.51</v>
      </c>
      <c r="J15" s="26">
        <v>0.49</v>
      </c>
      <c r="K15" s="9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155"/>
      <c r="S15" s="31"/>
      <c r="T15" s="89"/>
      <c r="U15" s="32">
        <f t="shared" si="1"/>
        <v>15</v>
      </c>
      <c r="V15" s="68">
        <f t="shared" si="2"/>
        <v>15</v>
      </c>
      <c r="W15" s="144">
        <v>8216820000</v>
      </c>
      <c r="X15" s="33">
        <v>920681000</v>
      </c>
      <c r="Y15" s="33"/>
      <c r="Z15" s="45"/>
      <c r="AA15" s="35"/>
      <c r="AB15" s="36">
        <f t="shared" si="3"/>
        <v>25.74</v>
      </c>
      <c r="AC15" s="68">
        <f t="shared" si="4"/>
        <v>13</v>
      </c>
      <c r="AD15" s="63">
        <v>2</v>
      </c>
      <c r="AE15" s="32">
        <f t="shared" si="5"/>
        <v>15</v>
      </c>
      <c r="AF15" s="61"/>
      <c r="AG15" s="114"/>
      <c r="AH15" s="37">
        <f t="shared" si="6"/>
        <v>30</v>
      </c>
      <c r="AI15" s="38">
        <v>65</v>
      </c>
      <c r="AJ15" s="30">
        <f t="shared" si="7"/>
        <v>95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 t="s">
        <v>82</v>
      </c>
      <c r="C17" s="24" t="s">
        <v>78</v>
      </c>
      <c r="D17" s="51" t="s">
        <v>57</v>
      </c>
      <c r="E17" s="49"/>
      <c r="F17" s="49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33">
        <v>30881654000</v>
      </c>
      <c r="X17" s="33">
        <v>78106522000</v>
      </c>
      <c r="Y17" s="33"/>
      <c r="Z17" s="45"/>
      <c r="AA17" s="35"/>
      <c r="AB17" s="36">
        <f t="shared" si="3"/>
        <v>299.91000000000003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/>
      <c r="AH17" s="37">
        <f t="shared" si="6"/>
        <v>30</v>
      </c>
      <c r="AI17" s="38">
        <v>65</v>
      </c>
      <c r="AJ17" s="30">
        <f t="shared" si="7"/>
        <v>95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/>
      <c r="B19" s="76"/>
      <c r="C19" s="49"/>
      <c r="D19" s="73"/>
      <c r="E19" s="73"/>
      <c r="F19" s="49"/>
      <c r="G19" s="53"/>
      <c r="H19" s="64"/>
      <c r="I19" s="79">
        <v>0.51</v>
      </c>
      <c r="J19" s="26">
        <v>0.49</v>
      </c>
      <c r="K19" s="26"/>
      <c r="L19" s="77"/>
      <c r="M19" s="78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1"/>
      <c r="T19" s="89"/>
      <c r="U19" s="32">
        <f t="shared" si="1"/>
        <v>15</v>
      </c>
      <c r="V19" s="68">
        <f t="shared" si="2"/>
        <v>15</v>
      </c>
      <c r="W19" s="34"/>
      <c r="X19" s="34"/>
      <c r="Y19" s="34"/>
      <c r="Z19" s="45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114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/>
      <c r="B21" s="76"/>
      <c r="C21" s="52"/>
      <c r="D21" s="73"/>
      <c r="E21" s="52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15</v>
      </c>
      <c r="V21" s="68">
        <f t="shared" si="2"/>
        <v>15</v>
      </c>
      <c r="W21" s="84"/>
      <c r="X21" s="58"/>
      <c r="Y21" s="57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22"/>
      <c r="B22" s="52"/>
      <c r="C22" s="52"/>
      <c r="D22" s="52"/>
      <c r="E22" s="52"/>
      <c r="F22" s="49"/>
      <c r="G22" s="53"/>
      <c r="H22" s="64"/>
      <c r="I22" s="79">
        <v>0.51</v>
      </c>
      <c r="J22" s="26">
        <v>0.49</v>
      </c>
      <c r="K22" s="83"/>
      <c r="L22" s="26"/>
      <c r="M22" s="62"/>
      <c r="N22" s="27">
        <f t="shared" si="0"/>
        <v>1</v>
      </c>
      <c r="O22" s="28">
        <v>1</v>
      </c>
      <c r="P22" s="80">
        <v>15</v>
      </c>
      <c r="Q22" s="80">
        <v>15</v>
      </c>
      <c r="R22" s="81"/>
      <c r="S22" s="30"/>
      <c r="T22" s="31"/>
      <c r="U22" s="32">
        <f t="shared" si="1"/>
        <v>15</v>
      </c>
      <c r="V22" s="68">
        <f t="shared" si="2"/>
        <v>15</v>
      </c>
      <c r="W22" s="82"/>
      <c r="X22" s="33"/>
      <c r="Y22" s="33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22"/>
      <c r="B23" s="52"/>
      <c r="C23" s="50" t="s">
        <v>73</v>
      </c>
      <c r="D23" s="50" t="s">
        <v>62</v>
      </c>
      <c r="E23" s="151"/>
      <c r="F23" s="49"/>
      <c r="G23" s="53"/>
      <c r="H23" s="64"/>
      <c r="I23" s="79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82"/>
      <c r="X23" s="34"/>
      <c r="Y23" s="33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22"/>
      <c r="B24" s="52"/>
      <c r="C24" s="52"/>
      <c r="D24" s="51" t="s">
        <v>81</v>
      </c>
      <c r="E24" s="141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82"/>
      <c r="X24" s="34"/>
      <c r="Y24" s="34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22"/>
      <c r="B25" s="23" t="s">
        <v>77</v>
      </c>
      <c r="C25" s="50" t="s">
        <v>75</v>
      </c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56"/>
      <c r="S25" s="30"/>
      <c r="T25" s="31"/>
      <c r="U25" s="32">
        <f t="shared" si="1"/>
        <v>15</v>
      </c>
      <c r="V25" s="68">
        <f t="shared" si="2"/>
        <v>15</v>
      </c>
      <c r="W25" s="75"/>
      <c r="X25" s="33"/>
      <c r="Y25" s="34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24" t="s">
        <v>76</v>
      </c>
      <c r="D26" s="103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52"/>
      <c r="D27" s="52"/>
      <c r="E27" s="52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52"/>
      <c r="D28" s="52"/>
      <c r="E28" s="103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52"/>
      <c r="E29" s="52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24" t="s">
        <v>41</v>
      </c>
      <c r="D30" s="51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50" t="s">
        <v>54</v>
      </c>
      <c r="D31" s="50" t="s">
        <v>64</v>
      </c>
      <c r="E31" s="50" t="s">
        <v>65</v>
      </c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 t="s">
        <v>66</v>
      </c>
      <c r="D32" s="88" t="s">
        <v>67</v>
      </c>
      <c r="E32" s="51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50"/>
      <c r="D33" s="87" t="s">
        <v>68</v>
      </c>
      <c r="E33" s="88" t="s">
        <v>67</v>
      </c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0"/>
        <v>1</v>
      </c>
      <c r="AO33" s="41">
        <f t="shared" si="10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ref="AN35:AO54" si="13">100%+AM35</f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ref="N47:N110" si="14">SUM(I47:M47)</f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ref="AN55:AO74" si="15">100%+AM55</f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ref="AN75:AO94" si="16">100%+AM75</f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ref="U79:U140" si="17">ROUND(((P79*I79)+(Q79*J79)+(R79*K79)+(S79*L79)+(T79*M79))*O79,2)</f>
        <v>15</v>
      </c>
      <c r="V79" s="68">
        <f t="shared" ref="V79:V140" si="18">IF(U79&gt;=15,15,U79)</f>
        <v>15</v>
      </c>
      <c r="W79" s="57"/>
      <c r="X79" s="60"/>
      <c r="Y79" s="45"/>
      <c r="Z79" s="48"/>
      <c r="AA79" s="35"/>
      <c r="AB79" s="36">
        <f t="shared" ref="AB79:AB140" si="19">ROUND((((W79*I79)+(X79*J79)+(Y79*K79)+(Z79*L79)+(AA79*M79))/$I$2),2)*13</f>
        <v>0</v>
      </c>
      <c r="AC79" s="68">
        <f t="shared" ref="AC79:AC140" si="20">IF(AB79&gt;=13,13,AB79)</f>
        <v>0</v>
      </c>
      <c r="AD79" s="63">
        <v>2</v>
      </c>
      <c r="AE79" s="32">
        <f t="shared" ref="AE79:AE140" si="21">IF((AC79+AD79)&gt;=15,15,(AC79+AD79))</f>
        <v>2</v>
      </c>
      <c r="AF79" s="56"/>
      <c r="AG79" s="56"/>
      <c r="AH79" s="37">
        <f t="shared" ref="AH79:AH140" si="22">IF((V79+AE79+AF79)&gt;=30,30,(V79+AE79+AF79))</f>
        <v>17</v>
      </c>
      <c r="AI79" s="38">
        <v>65</v>
      </c>
      <c r="AJ79" s="30">
        <f t="shared" ref="AJ79:AJ140" si="23">V79+AE79+AF79+AI79+AG79</f>
        <v>82</v>
      </c>
      <c r="AK79" s="37">
        <f t="shared" ref="AK79:AK140" si="24">IF(AH79+AI79+AG79&gt;=95,95,AH79+AI79+AG79)</f>
        <v>82</v>
      </c>
      <c r="AL79" s="39">
        <f t="shared" ref="AL79:AL140" si="25">-((50-((176+(45+(50-AH79)))))/200)</f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ref="AW79:AW140" si="26">AR79+AS79+AT79+AU79+AV79</f>
        <v>0</v>
      </c>
      <c r="AX79" s="71">
        <f t="shared" ref="AX79:AX140" si="27">(AR79*I79)+(AS79*J79)+(AT79*K79)+(AU79*L79)+(AV79*M79)</f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ref="AN95:AO114" si="28">100%+AM95</f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12" customFormat="1" ht="64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7.2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12" customFormat="1" ht="47.2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ref="N111:N140" si="29">SUM(I111:M111)</f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57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12" customFormat="1" ht="47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ref="AN115:AO134" si="30">100%+AM115</f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53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1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6.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42" customFormat="1" ht="46.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ref="AN135:AO140" si="31">100%+AM135</f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6.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42" customFormat="1" ht="47.2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1"/>
        <v>1</v>
      </c>
      <c r="AO139" s="41">
        <f t="shared" si="31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42" customFormat="1" ht="46.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1"/>
        <v>1</v>
      </c>
      <c r="AO140" s="41">
        <f t="shared" si="31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</sheetData>
  <mergeCells count="48">
    <mergeCell ref="A14:H14"/>
    <mergeCell ref="A16:H16"/>
    <mergeCell ref="A18:H18"/>
    <mergeCell ref="A20:H20"/>
    <mergeCell ref="AW3:AW4"/>
    <mergeCell ref="AP3:AP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X142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1492460000</v>
      </c>
      <c r="E1" s="340"/>
      <c r="F1" s="339"/>
      <c r="G1" s="340"/>
      <c r="H1" s="66" t="s">
        <v>29</v>
      </c>
      <c r="I1" s="341">
        <v>3175832000</v>
      </c>
      <c r="J1" s="341"/>
      <c r="K1" s="142" t="s">
        <v>172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v>1492460000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1641706000</v>
      </c>
      <c r="E2" s="328"/>
      <c r="F2" s="329"/>
      <c r="G2" s="330"/>
      <c r="H2" s="3" t="s">
        <v>28</v>
      </c>
      <c r="I2" s="331">
        <f>D2*1</f>
        <v>1641706000</v>
      </c>
      <c r="J2" s="329"/>
      <c r="K2" s="129" t="s">
        <v>46</v>
      </c>
      <c r="L2" s="130" t="s">
        <v>30</v>
      </c>
      <c r="M2" s="332">
        <v>45904.625</v>
      </c>
      <c r="N2" s="332"/>
      <c r="O2" s="332"/>
      <c r="P2" s="332"/>
      <c r="Q2" s="131" t="s">
        <v>101</v>
      </c>
      <c r="R2" s="131"/>
      <c r="S2" s="131"/>
      <c r="T2" s="94"/>
      <c r="U2" s="132"/>
      <c r="V2" s="132"/>
      <c r="W2" s="133"/>
      <c r="X2" s="134"/>
      <c r="Y2" s="377">
        <v>2498290000</v>
      </c>
      <c r="Z2" s="377"/>
      <c r="AA2" s="334">
        <f>I1</f>
        <v>3175832000</v>
      </c>
      <c r="AB2" s="335"/>
      <c r="AC2" s="336"/>
      <c r="AD2" s="337">
        <f>TRUNC(Y2/AA2,4)</f>
        <v>0.78659999999999997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44</v>
      </c>
      <c r="AP2" s="1"/>
      <c r="AQ2" s="136"/>
      <c r="AR2" s="137" t="s">
        <v>38</v>
      </c>
      <c r="AS2" s="348">
        <f>AI1</f>
        <v>1492460000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160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158"/>
      <c r="AG3" s="158"/>
      <c r="AH3" s="158"/>
      <c r="AI3" s="158"/>
      <c r="AJ3" s="158"/>
      <c r="AK3" s="159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39</v>
      </c>
      <c r="F4" s="15" t="s">
        <v>1</v>
      </c>
      <c r="G4" s="16" t="s">
        <v>27</v>
      </c>
      <c r="H4" s="160"/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39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 t="s">
        <v>102</v>
      </c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59183685000</v>
      </c>
      <c r="X5" s="92"/>
      <c r="Y5" s="33"/>
      <c r="Z5" s="90"/>
      <c r="AA5" s="102"/>
      <c r="AB5" s="124">
        <f>ROUND((((W5*I5)+(X5*J5)+(Y5*K5)+(Z5*L5)+(AA5*M5))/$I$2),2)*13</f>
        <v>468.65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>
        <v>0.56000000000000005</v>
      </c>
      <c r="AH5" s="115">
        <f>IF((V5+AE5+AF5)&gt;=30,30,(V5+AE5+AF5))</f>
        <v>30</v>
      </c>
      <c r="AI5" s="116">
        <v>65</v>
      </c>
      <c r="AJ5" s="44">
        <f>V5+AE5+AF5+AI5+AG5</f>
        <v>95.56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45">
        <v>93.38</v>
      </c>
      <c r="J6" s="104"/>
      <c r="K6" s="104"/>
      <c r="L6" s="104"/>
      <c r="M6" s="104"/>
      <c r="N6" s="143">
        <f>I6*I5+J6*J5+K6*K5+L6*L5+M6*M5</f>
        <v>93.38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 t="s">
        <v>102</v>
      </c>
      <c r="C7" s="164" t="s">
        <v>86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/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/>
      <c r="Y7" s="33"/>
      <c r="Z7" s="45"/>
      <c r="AA7" s="35"/>
      <c r="AB7" s="36">
        <f>ROUND((((W7*I7)+(X7*J7)+(Y7*K7)+(Z7*L7)+(AA7*M7))/$I$2),2)*13</f>
        <v>118.55999999999999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0.56000000000000005</v>
      </c>
      <c r="AH7" s="37">
        <f>IF((V7+AE7+AF7)&gt;=30,30,(V7+AE7+AF7))</f>
        <v>30</v>
      </c>
      <c r="AI7" s="38">
        <v>65</v>
      </c>
      <c r="AJ7" s="30">
        <f>V7+AE7+AF7+AI7+AG7</f>
        <v>95.56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56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 t="s">
        <v>102</v>
      </c>
      <c r="C9" s="164" t="s">
        <v>87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39361754000</v>
      </c>
      <c r="X9" s="33"/>
      <c r="Y9" s="33"/>
      <c r="Z9" s="45"/>
      <c r="AA9" s="35"/>
      <c r="AB9" s="36">
        <f>ROUND((((W9*I9)+(X9*J9)+(Y9*K9)+(Z9*L9)+(AA9*M9))/$I$2),2)*13</f>
        <v>311.74</v>
      </c>
      <c r="AC9" s="68">
        <f>IF(AB9&gt;=13,13,AB9)</f>
        <v>13</v>
      </c>
      <c r="AD9" s="63">
        <v>5</v>
      </c>
      <c r="AE9" s="32">
        <f>IF((AC9+AD9)&gt;=15,15,(AC9+AD9))</f>
        <v>15</v>
      </c>
      <c r="AF9" s="61"/>
      <c r="AG9" s="114">
        <v>0.56000000000000005</v>
      </c>
      <c r="AH9" s="37">
        <f>IF((V9+AE9+AF9)&gt;=30,30,(V9+AE9+AF9))</f>
        <v>30</v>
      </c>
      <c r="AI9" s="38">
        <v>65</v>
      </c>
      <c r="AJ9" s="30">
        <f>V9+AE9+AF9+AI9+AG9</f>
        <v>95.56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/>
      <c r="K10" s="104"/>
      <c r="L10" s="104"/>
      <c r="M10" s="104"/>
      <c r="N10" s="107">
        <f>I10*I9+J10*J9+K10*K9+L10*L9+M10*M9</f>
        <v>90.73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 t="s">
        <v>102</v>
      </c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 t="shared" ref="N11:N48" si="0"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 t="shared" ref="U11:U80" si="1">ROUND(((P11*I11)+(Q11*J11)+(R11*K11)+(S11*L11)+(T11*M11))*O11,2)</f>
        <v>15</v>
      </c>
      <c r="V11" s="68">
        <f t="shared" ref="V11:V80" si="2">IF(U11&gt;=15,15,U11)</f>
        <v>15</v>
      </c>
      <c r="W11" s="171">
        <v>34748832000</v>
      </c>
      <c r="X11" s="33"/>
      <c r="Y11" s="33"/>
      <c r="Z11" s="45"/>
      <c r="AA11" s="35"/>
      <c r="AB11" s="36">
        <f t="shared" ref="AB11:AB80" si="3">ROUND((((W11*I11)+(X11*J11)+(Y11*K11)+(Z11*L11)+(AA11*M11))/$I$2),2)*13</f>
        <v>275.21000000000004</v>
      </c>
      <c r="AC11" s="68">
        <f t="shared" ref="AC11:AC80" si="4">IF(AB11&gt;=13,13,AB11)</f>
        <v>13</v>
      </c>
      <c r="AD11" s="63">
        <v>2</v>
      </c>
      <c r="AE11" s="32">
        <f t="shared" ref="AE11:AE80" si="5">IF((AC11+AD11)&gt;=15,15,(AC11+AD11))</f>
        <v>15</v>
      </c>
      <c r="AF11" s="170"/>
      <c r="AG11" s="114">
        <v>0.56000000000000005</v>
      </c>
      <c r="AH11" s="37">
        <f t="shared" ref="AH11:AH80" si="6">IF((V11+AE11+AF11)&gt;=30,30,(V11+AE11+AF11))</f>
        <v>30</v>
      </c>
      <c r="AI11" s="38">
        <v>65</v>
      </c>
      <c r="AJ11" s="30">
        <f t="shared" ref="AJ11:AJ80" si="7">V11+AE11+AF11+AI11+AG11</f>
        <v>95.56</v>
      </c>
      <c r="AK11" s="37">
        <f t="shared" ref="AK11:AK80" si="8">IF(AH11+AI11+AG11&gt;=95,95,AH11+AI11+AG11)</f>
        <v>95</v>
      </c>
      <c r="AL11" s="39">
        <f t="shared" ref="AL11:AL80" si="9">-((50-((176+(45+(50-AH11)))))/200)</f>
        <v>0.95499999999999996</v>
      </c>
      <c r="AM11" s="40"/>
      <c r="AN11" s="41">
        <f t="shared" ref="AN11:AO36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80" si="11">AR11+AS11+AT11+AU11+AV11</f>
        <v>0</v>
      </c>
      <c r="AX11" s="71">
        <f t="shared" ref="AX11:AX80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 t="s">
        <v>102</v>
      </c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7"/>
      <c r="R13" s="80"/>
      <c r="S13" s="31"/>
      <c r="T13" s="33"/>
      <c r="U13" s="32">
        <f t="shared" si="1"/>
        <v>15</v>
      </c>
      <c r="V13" s="68">
        <f t="shared" si="2"/>
        <v>15</v>
      </c>
      <c r="W13" s="171">
        <v>57539030000</v>
      </c>
      <c r="X13" s="33"/>
      <c r="Y13" s="34"/>
      <c r="Z13" s="45"/>
      <c r="AA13" s="35"/>
      <c r="AB13" s="36">
        <f t="shared" si="3"/>
        <v>455.65</v>
      </c>
      <c r="AC13" s="68">
        <f t="shared" si="4"/>
        <v>13</v>
      </c>
      <c r="AD13" s="63">
        <v>2</v>
      </c>
      <c r="AE13" s="32">
        <f t="shared" si="5"/>
        <v>15</v>
      </c>
      <c r="AF13" s="170"/>
      <c r="AG13" s="114">
        <v>0.56000000000000005</v>
      </c>
      <c r="AH13" s="37">
        <f t="shared" si="6"/>
        <v>30</v>
      </c>
      <c r="AI13" s="38">
        <v>65</v>
      </c>
      <c r="AJ13" s="30">
        <f t="shared" si="7"/>
        <v>95.56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177" t="s">
        <v>103</v>
      </c>
      <c r="C15" s="168" t="s">
        <v>104</v>
      </c>
      <c r="D15" s="166" t="s">
        <v>91</v>
      </c>
      <c r="E15" s="49"/>
      <c r="F15" s="49"/>
      <c r="G15" s="53"/>
      <c r="H15" s="86"/>
      <c r="I15" s="79">
        <v>0.56000000000000005</v>
      </c>
      <c r="J15" s="26">
        <v>0.44</v>
      </c>
      <c r="K15" s="9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155"/>
      <c r="S15" s="31"/>
      <c r="T15" s="89"/>
      <c r="U15" s="32">
        <f t="shared" si="1"/>
        <v>15</v>
      </c>
      <c r="V15" s="68">
        <f t="shared" si="2"/>
        <v>15</v>
      </c>
      <c r="W15" s="172">
        <v>15345190000</v>
      </c>
      <c r="X15" s="172">
        <v>708518000</v>
      </c>
      <c r="Y15" s="33"/>
      <c r="Z15" s="45"/>
      <c r="AA15" s="35"/>
      <c r="AB15" s="36">
        <f t="shared" si="3"/>
        <v>70.459999999999994</v>
      </c>
      <c r="AC15" s="68">
        <f t="shared" si="4"/>
        <v>13</v>
      </c>
      <c r="AD15" s="63">
        <v>2</v>
      </c>
      <c r="AE15" s="32">
        <f t="shared" si="5"/>
        <v>15</v>
      </c>
      <c r="AF15" s="61"/>
      <c r="AG15" s="114">
        <v>0.56000000000000005</v>
      </c>
      <c r="AH15" s="37">
        <f t="shared" si="6"/>
        <v>30</v>
      </c>
      <c r="AI15" s="38">
        <v>65</v>
      </c>
      <c r="AJ15" s="30">
        <f t="shared" si="7"/>
        <v>95.56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 t="s">
        <v>102</v>
      </c>
      <c r="C17" s="165" t="s">
        <v>90</v>
      </c>
      <c r="D17" s="164" t="s">
        <v>92</v>
      </c>
      <c r="E17" s="49"/>
      <c r="F17" s="49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172">
        <v>32826052000</v>
      </c>
      <c r="X17" s="173">
        <v>17523143000</v>
      </c>
      <c r="Y17" s="33"/>
      <c r="Z17" s="45"/>
      <c r="AA17" s="35"/>
      <c r="AB17" s="36">
        <f t="shared" si="3"/>
        <v>200.59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>
        <v>0.56000000000000005</v>
      </c>
      <c r="AH17" s="37">
        <f t="shared" si="6"/>
        <v>30</v>
      </c>
      <c r="AI17" s="38">
        <v>65</v>
      </c>
      <c r="AJ17" s="30">
        <f t="shared" si="7"/>
        <v>95.56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177" t="s">
        <v>103</v>
      </c>
      <c r="C19" s="165" t="s">
        <v>95</v>
      </c>
      <c r="D19" s="163" t="s">
        <v>100</v>
      </c>
      <c r="E19" s="169"/>
      <c r="F19" s="49"/>
      <c r="G19" s="53"/>
      <c r="H19" s="64"/>
      <c r="I19" s="79">
        <v>0.51</v>
      </c>
      <c r="J19" s="26">
        <v>0.49</v>
      </c>
      <c r="K19" s="26"/>
      <c r="L19" s="77"/>
      <c r="M19" s="78"/>
      <c r="N19" s="27">
        <f t="shared" si="0"/>
        <v>1</v>
      </c>
      <c r="O19" s="28">
        <v>1</v>
      </c>
      <c r="P19" s="80">
        <v>15</v>
      </c>
      <c r="Q19" s="80">
        <v>15</v>
      </c>
      <c r="R19" s="155"/>
      <c r="S19" s="31"/>
      <c r="T19" s="89"/>
      <c r="U19" s="32">
        <f t="shared" si="1"/>
        <v>15</v>
      </c>
      <c r="V19" s="68">
        <f t="shared" si="2"/>
        <v>15</v>
      </c>
      <c r="W19" s="172">
        <v>3664456000</v>
      </c>
      <c r="X19" s="172">
        <v>1281708000</v>
      </c>
      <c r="Y19" s="33"/>
      <c r="Z19" s="45"/>
      <c r="AA19" s="35"/>
      <c r="AB19" s="36">
        <f t="shared" si="3"/>
        <v>19.760000000000002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0.56000000000000005</v>
      </c>
      <c r="AH19" s="37">
        <f t="shared" si="6"/>
        <v>30</v>
      </c>
      <c r="AI19" s="38">
        <v>65</v>
      </c>
      <c r="AJ19" s="30">
        <f t="shared" si="7"/>
        <v>95.56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98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>
        <v>85</v>
      </c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 t="s">
        <v>102</v>
      </c>
      <c r="C21" s="168" t="s">
        <v>96</v>
      </c>
      <c r="D21" s="163" t="s">
        <v>99</v>
      </c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15</v>
      </c>
      <c r="V21" s="68">
        <f t="shared" si="2"/>
        <v>15</v>
      </c>
      <c r="W21" s="172">
        <v>7486618000</v>
      </c>
      <c r="X21" s="172">
        <v>4319931000</v>
      </c>
      <c r="Y21" s="33"/>
      <c r="Z21" s="48"/>
      <c r="AA21" s="35"/>
      <c r="AB21" s="36">
        <f t="shared" si="3"/>
        <v>47.06</v>
      </c>
      <c r="AC21" s="68">
        <f t="shared" si="4"/>
        <v>13</v>
      </c>
      <c r="AD21" s="63">
        <v>2</v>
      </c>
      <c r="AE21" s="32">
        <f t="shared" si="5"/>
        <v>15</v>
      </c>
      <c r="AF21" s="56"/>
      <c r="AG21" s="114">
        <v>0.56000000000000005</v>
      </c>
      <c r="AH21" s="37">
        <f t="shared" si="6"/>
        <v>30</v>
      </c>
      <c r="AI21" s="38">
        <v>65</v>
      </c>
      <c r="AJ21" s="30">
        <f t="shared" si="7"/>
        <v>95.56</v>
      </c>
      <c r="AK21" s="37">
        <f t="shared" si="8"/>
        <v>95</v>
      </c>
      <c r="AL21" s="39">
        <f t="shared" si="9"/>
        <v>0.95499999999999996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 t="s">
        <v>102</v>
      </c>
      <c r="C23" s="52" t="s">
        <v>97</v>
      </c>
      <c r="D23" s="163" t="s">
        <v>93</v>
      </c>
      <c r="E23" s="151"/>
      <c r="F23" s="49"/>
      <c r="G23" s="53"/>
      <c r="H23" s="64"/>
      <c r="I23" s="79">
        <v>0.51</v>
      </c>
      <c r="J23" s="26">
        <v>0.49</v>
      </c>
      <c r="K23" s="83"/>
      <c r="L23" s="26"/>
      <c r="M23" s="62"/>
      <c r="N23" s="27">
        <f t="shared" si="0"/>
        <v>1</v>
      </c>
      <c r="O23" s="28">
        <v>1</v>
      </c>
      <c r="P23" s="80">
        <v>15</v>
      </c>
      <c r="Q23" s="80">
        <v>15</v>
      </c>
      <c r="R23" s="81"/>
      <c r="S23" s="30"/>
      <c r="T23" s="31"/>
      <c r="U23" s="32">
        <f t="shared" si="1"/>
        <v>15</v>
      </c>
      <c r="V23" s="68">
        <f t="shared" si="2"/>
        <v>15</v>
      </c>
      <c r="W23" s="172">
        <v>229675529000</v>
      </c>
      <c r="X23" s="172">
        <v>14643377000</v>
      </c>
      <c r="Y23" s="172"/>
      <c r="Z23" s="48"/>
      <c r="AA23" s="35"/>
      <c r="AB23" s="36">
        <f t="shared" si="3"/>
        <v>984.36</v>
      </c>
      <c r="AC23" s="68">
        <f t="shared" si="4"/>
        <v>13</v>
      </c>
      <c r="AD23" s="63">
        <v>2</v>
      </c>
      <c r="AE23" s="32">
        <f t="shared" si="5"/>
        <v>15</v>
      </c>
      <c r="AF23" s="56"/>
      <c r="AG23" s="114">
        <v>0.56000000000000005</v>
      </c>
      <c r="AH23" s="37">
        <f t="shared" si="6"/>
        <v>30</v>
      </c>
      <c r="AI23" s="38">
        <v>65</v>
      </c>
      <c r="AJ23" s="30">
        <f t="shared" si="7"/>
        <v>95.56</v>
      </c>
      <c r="AK23" s="37">
        <f t="shared" si="8"/>
        <v>95</v>
      </c>
      <c r="AL23" s="39">
        <f t="shared" si="9"/>
        <v>0.95499999999999996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04">
        <v>85</v>
      </c>
      <c r="K24" s="104"/>
      <c r="L24" s="104"/>
      <c r="M24" s="104"/>
      <c r="N24" s="107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178" t="s">
        <v>106</v>
      </c>
      <c r="C25" s="168" t="s">
        <v>105</v>
      </c>
      <c r="D25" s="163"/>
      <c r="E25" s="179" t="s">
        <v>174</v>
      </c>
      <c r="F25" s="49"/>
      <c r="G25" s="53"/>
      <c r="H25" s="64"/>
      <c r="I25" s="79">
        <v>0.65</v>
      </c>
      <c r="J25" s="26">
        <v>0.2</v>
      </c>
      <c r="K25" s="26">
        <v>0.15</v>
      </c>
      <c r="L25" s="26"/>
      <c r="M25" s="62"/>
      <c r="N25" s="27">
        <f t="shared" si="0"/>
        <v>1</v>
      </c>
      <c r="O25" s="28">
        <v>1</v>
      </c>
      <c r="P25" s="29">
        <v>15</v>
      </c>
      <c r="Q25" s="181">
        <v>15</v>
      </c>
      <c r="R25" s="180">
        <v>14.79</v>
      </c>
      <c r="S25" s="30"/>
      <c r="T25" s="31"/>
      <c r="U25" s="32">
        <f t="shared" si="1"/>
        <v>14.97</v>
      </c>
      <c r="V25" s="68">
        <f t="shared" si="2"/>
        <v>14.97</v>
      </c>
      <c r="W25" s="82">
        <v>8216820000</v>
      </c>
      <c r="X25" s="33">
        <v>0</v>
      </c>
      <c r="Y25" s="33">
        <v>317658000</v>
      </c>
      <c r="Z25" s="48"/>
      <c r="AA25" s="35"/>
      <c r="AB25" s="36">
        <f t="shared" si="3"/>
        <v>42.64</v>
      </c>
      <c r="AC25" s="68">
        <f t="shared" si="4"/>
        <v>13</v>
      </c>
      <c r="AD25" s="63">
        <v>2</v>
      </c>
      <c r="AE25" s="32">
        <f t="shared" si="5"/>
        <v>15</v>
      </c>
      <c r="AF25" s="182">
        <f>0.5*I25</f>
        <v>0.32500000000000001</v>
      </c>
      <c r="AG25" s="114">
        <v>0.56000000000000005</v>
      </c>
      <c r="AH25" s="37">
        <f t="shared" si="6"/>
        <v>30</v>
      </c>
      <c r="AI25" s="38">
        <v>65</v>
      </c>
      <c r="AJ25" s="30">
        <f t="shared" si="7"/>
        <v>95.855000000000004</v>
      </c>
      <c r="AK25" s="37">
        <f t="shared" si="8"/>
        <v>95</v>
      </c>
      <c r="AL25" s="39">
        <f t="shared" si="9"/>
        <v>0.95499999999999996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43</v>
      </c>
      <c r="B26" s="364"/>
      <c r="C26" s="364"/>
      <c r="D26" s="364"/>
      <c r="E26" s="364"/>
      <c r="F26" s="364"/>
      <c r="G26" s="364"/>
      <c r="H26" s="365"/>
      <c r="I26" s="153">
        <v>85</v>
      </c>
      <c r="J26" s="104">
        <v>85</v>
      </c>
      <c r="K26" s="104">
        <v>85</v>
      </c>
      <c r="L26" s="104"/>
      <c r="M26" s="104"/>
      <c r="N26" s="107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2"/>
      <c r="B27" s="23"/>
      <c r="C27" s="52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56"/>
      <c r="S27" s="30"/>
      <c r="T27" s="31"/>
      <c r="U27" s="32">
        <f t="shared" si="1"/>
        <v>15</v>
      </c>
      <c r="V27" s="68">
        <f t="shared" si="2"/>
        <v>15</v>
      </c>
      <c r="W27" s="75"/>
      <c r="X27" s="33"/>
      <c r="Y27" s="34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168"/>
      <c r="D28" s="16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50" t="s">
        <v>94</v>
      </c>
      <c r="D29" s="52"/>
      <c r="E29" s="52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52"/>
      <c r="D30" s="52"/>
      <c r="E30" s="103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52"/>
      <c r="E31" s="52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24" t="s">
        <v>41</v>
      </c>
      <c r="D32" s="51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50" t="s">
        <v>54</v>
      </c>
      <c r="D33" s="50" t="s">
        <v>64</v>
      </c>
      <c r="E33" s="50" t="s">
        <v>65</v>
      </c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0"/>
        <v>1</v>
      </c>
      <c r="AO33" s="41">
        <f t="shared" si="10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 t="s">
        <v>66</v>
      </c>
      <c r="D34" s="88" t="s">
        <v>67</v>
      </c>
      <c r="E34" s="51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50"/>
      <c r="D35" s="87" t="s">
        <v>68</v>
      </c>
      <c r="E35" s="88" t="s">
        <v>67</v>
      </c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0"/>
        <v>1</v>
      </c>
      <c r="AO35" s="41">
        <f t="shared" si="10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0"/>
        <v>1</v>
      </c>
      <c r="AO36" s="41">
        <f t="shared" si="10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ref="AN37:AO56" si="13">100%+AM37</f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ref="N49:N112" si="14">SUM(I49:M49)</f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3"/>
        <v>1</v>
      </c>
      <c r="AO55" s="41">
        <f t="shared" si="13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3"/>
        <v>1</v>
      </c>
      <c r="AO56" s="41">
        <f t="shared" si="13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ref="AN57:AO76" si="15">100%+AM57</f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5"/>
        <v>1</v>
      </c>
      <c r="AO75" s="41">
        <f t="shared" si="15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5"/>
        <v>1</v>
      </c>
      <c r="AO76" s="41">
        <f t="shared" si="15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ref="AN77:AO96" si="16">100%+AM77</f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ref="U81:U142" si="17">ROUND(((P81*I81)+(Q81*J81)+(R81*K81)+(S81*L81)+(T81*M81))*O81,2)</f>
        <v>15</v>
      </c>
      <c r="V81" s="68">
        <f t="shared" ref="V81:V142" si="18">IF(U81&gt;=15,15,U81)</f>
        <v>15</v>
      </c>
      <c r="W81" s="57"/>
      <c r="X81" s="60"/>
      <c r="Y81" s="45"/>
      <c r="Z81" s="48"/>
      <c r="AA81" s="35"/>
      <c r="AB81" s="36">
        <f t="shared" ref="AB81:AB142" si="19">ROUND((((W81*I81)+(X81*J81)+(Y81*K81)+(Z81*L81)+(AA81*M81))/$I$2),2)*13</f>
        <v>0</v>
      </c>
      <c r="AC81" s="68">
        <f t="shared" ref="AC81:AC142" si="20">IF(AB81&gt;=13,13,AB81)</f>
        <v>0</v>
      </c>
      <c r="AD81" s="63">
        <v>2</v>
      </c>
      <c r="AE81" s="32">
        <f t="shared" ref="AE81:AE142" si="21">IF((AC81+AD81)&gt;=15,15,(AC81+AD81))</f>
        <v>2</v>
      </c>
      <c r="AF81" s="56"/>
      <c r="AG81" s="56"/>
      <c r="AH81" s="37">
        <f t="shared" ref="AH81:AH142" si="22">IF((V81+AE81+AF81)&gt;=30,30,(V81+AE81+AF81))</f>
        <v>17</v>
      </c>
      <c r="AI81" s="38">
        <v>65</v>
      </c>
      <c r="AJ81" s="30">
        <f t="shared" ref="AJ81:AJ142" si="23">V81+AE81+AF81+AI81+AG81</f>
        <v>82</v>
      </c>
      <c r="AK81" s="37">
        <f t="shared" ref="AK81:AK142" si="24">IF(AH81+AI81+AG81&gt;=95,95,AH81+AI81+AG81)</f>
        <v>82</v>
      </c>
      <c r="AL81" s="39">
        <f t="shared" ref="AL81:AL142" si="25">-((50-((176+(45+(50-AH81)))))/200)</f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ref="AW81:AW142" si="26">AR81+AS81+AT81+AU81+AV81</f>
        <v>0</v>
      </c>
      <c r="AX81" s="71">
        <f t="shared" ref="AX81:AX142" si="27">(AR81*I81)+(AS81*J81)+(AT81*K81)+(AU81*L81)+(AV81*M81)</f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16"/>
        <v>1</v>
      </c>
      <c r="AO95" s="41">
        <f t="shared" si="16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16"/>
        <v>1</v>
      </c>
      <c r="AO96" s="41">
        <f t="shared" si="16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ref="AN97:AO116" si="28">100%+AM97</f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12" customFormat="1" ht="64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7.2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4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4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1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ref="N113:N142" si="29">SUM(I113:M113)</f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7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28"/>
        <v>1</v>
      </c>
      <c r="AO115" s="41">
        <f t="shared" si="28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28"/>
        <v>1</v>
      </c>
      <c r="AO116" s="41">
        <f t="shared" si="28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ref="AN117:AO136" si="30">100%+AM117</f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53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1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1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0"/>
        <v>1</v>
      </c>
      <c r="AO135" s="41">
        <f t="shared" si="3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0"/>
        <v>1</v>
      </c>
      <c r="AO136" s="41">
        <f t="shared" si="3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ref="AN137:AO142" si="31">100%+AM137</f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1"/>
        <v>1</v>
      </c>
      <c r="AO139" s="41">
        <f t="shared" si="31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1"/>
        <v>1</v>
      </c>
      <c r="AO140" s="41">
        <f t="shared" si="31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  <row r="141" spans="1:50" s="42" customFormat="1" ht="47.2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29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7"/>
        <v>15</v>
      </c>
      <c r="V141" s="68">
        <f t="shared" si="18"/>
        <v>15</v>
      </c>
      <c r="W141" s="57"/>
      <c r="X141" s="60"/>
      <c r="Y141" s="45"/>
      <c r="Z141" s="48"/>
      <c r="AA141" s="35"/>
      <c r="AB141" s="36">
        <f t="shared" si="19"/>
        <v>0</v>
      </c>
      <c r="AC141" s="68">
        <f t="shared" si="20"/>
        <v>0</v>
      </c>
      <c r="AD141" s="63">
        <v>2</v>
      </c>
      <c r="AE141" s="32">
        <f t="shared" si="21"/>
        <v>2</v>
      </c>
      <c r="AF141" s="56"/>
      <c r="AG141" s="56"/>
      <c r="AH141" s="37">
        <f t="shared" si="22"/>
        <v>17</v>
      </c>
      <c r="AI141" s="38">
        <v>65</v>
      </c>
      <c r="AJ141" s="30">
        <f t="shared" si="23"/>
        <v>82</v>
      </c>
      <c r="AK141" s="37">
        <f t="shared" si="24"/>
        <v>82</v>
      </c>
      <c r="AL141" s="39">
        <f t="shared" si="25"/>
        <v>1.02</v>
      </c>
      <c r="AM141" s="40"/>
      <c r="AN141" s="41">
        <f t="shared" si="31"/>
        <v>1</v>
      </c>
      <c r="AO141" s="41">
        <f t="shared" si="31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6"/>
        <v>0</v>
      </c>
      <c r="AX141" s="71">
        <f t="shared" si="27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29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7"/>
        <v>15</v>
      </c>
      <c r="V142" s="68">
        <f t="shared" si="18"/>
        <v>15</v>
      </c>
      <c r="W142" s="57"/>
      <c r="X142" s="60"/>
      <c r="Y142" s="45"/>
      <c r="Z142" s="48"/>
      <c r="AA142" s="35"/>
      <c r="AB142" s="36">
        <f t="shared" si="19"/>
        <v>0</v>
      </c>
      <c r="AC142" s="68">
        <f t="shared" si="20"/>
        <v>0</v>
      </c>
      <c r="AD142" s="63">
        <v>2</v>
      </c>
      <c r="AE142" s="32">
        <f t="shared" si="21"/>
        <v>2</v>
      </c>
      <c r="AF142" s="56"/>
      <c r="AG142" s="56"/>
      <c r="AH142" s="37">
        <f t="shared" si="22"/>
        <v>17</v>
      </c>
      <c r="AI142" s="38">
        <v>65</v>
      </c>
      <c r="AJ142" s="30">
        <f t="shared" si="23"/>
        <v>82</v>
      </c>
      <c r="AK142" s="37">
        <f t="shared" si="24"/>
        <v>82</v>
      </c>
      <c r="AL142" s="39">
        <f t="shared" si="25"/>
        <v>1.02</v>
      </c>
      <c r="AM142" s="40"/>
      <c r="AN142" s="41">
        <f t="shared" si="31"/>
        <v>1</v>
      </c>
      <c r="AO142" s="41">
        <f t="shared" si="31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6"/>
        <v>0</v>
      </c>
      <c r="AX142" s="71">
        <f t="shared" si="27"/>
        <v>0</v>
      </c>
    </row>
  </sheetData>
  <mergeCells count="51">
    <mergeCell ref="D1:E1"/>
    <mergeCell ref="F1:G1"/>
    <mergeCell ref="I1:J1"/>
    <mergeCell ref="Y1:Z1"/>
    <mergeCell ref="D2:E2"/>
    <mergeCell ref="F2:G2"/>
    <mergeCell ref="I2:J2"/>
    <mergeCell ref="M2:P2"/>
    <mergeCell ref="Y2:Z2"/>
    <mergeCell ref="AA1:AC1"/>
    <mergeCell ref="AD1:AE1"/>
    <mergeCell ref="AG2:AH2"/>
    <mergeCell ref="AI2:AK2"/>
    <mergeCell ref="AS2:AT2"/>
    <mergeCell ref="AG1:AH1"/>
    <mergeCell ref="AI1:AK1"/>
    <mergeCell ref="AM1:AO1"/>
    <mergeCell ref="AA2:AC2"/>
    <mergeCell ref="AD2:AE2"/>
    <mergeCell ref="AX3:AX4"/>
    <mergeCell ref="A6:H6"/>
    <mergeCell ref="A8:H8"/>
    <mergeCell ref="AT3:AT4"/>
    <mergeCell ref="AU3:AU4"/>
    <mergeCell ref="AV3:AV4"/>
    <mergeCell ref="A3:A4"/>
    <mergeCell ref="B3:B4"/>
    <mergeCell ref="C3:H3"/>
    <mergeCell ref="I3:M3"/>
    <mergeCell ref="N3:N4"/>
    <mergeCell ref="AW3:AW4"/>
    <mergeCell ref="AP3:AP4"/>
    <mergeCell ref="A10:H10"/>
    <mergeCell ref="A12:H12"/>
    <mergeCell ref="AQ3:AQ4"/>
    <mergeCell ref="AR3:AR4"/>
    <mergeCell ref="AS3:AS4"/>
    <mergeCell ref="W3:AE3"/>
    <mergeCell ref="AL3:AL4"/>
    <mergeCell ref="AM3:AM4"/>
    <mergeCell ref="AN3:AN4"/>
    <mergeCell ref="AO3:AO4"/>
    <mergeCell ref="O3:O4"/>
    <mergeCell ref="P3:U3"/>
    <mergeCell ref="A26:H26"/>
    <mergeCell ref="A14:H14"/>
    <mergeCell ref="A16:H16"/>
    <mergeCell ref="A18:H18"/>
    <mergeCell ref="A20:H20"/>
    <mergeCell ref="A22:H22"/>
    <mergeCell ref="A24:H2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1174047000</v>
      </c>
      <c r="E1" s="340"/>
      <c r="F1" s="339"/>
      <c r="G1" s="340"/>
      <c r="H1" s="66" t="s">
        <v>108</v>
      </c>
      <c r="I1" s="341">
        <v>1570536200</v>
      </c>
      <c r="J1" s="341"/>
      <c r="K1" s="183" t="s">
        <v>179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>
        <v>1174047000</v>
      </c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1291451000</v>
      </c>
      <c r="E2" s="328"/>
      <c r="F2" s="329"/>
      <c r="G2" s="330"/>
      <c r="H2" s="3" t="s">
        <v>28</v>
      </c>
      <c r="I2" s="331">
        <f>D2*1</f>
        <v>1291451000</v>
      </c>
      <c r="J2" s="329"/>
      <c r="K2" s="129" t="s">
        <v>114</v>
      </c>
      <c r="L2" s="130" t="s">
        <v>115</v>
      </c>
      <c r="M2" s="332">
        <v>45898.458333333336</v>
      </c>
      <c r="N2" s="332"/>
      <c r="O2" s="332"/>
      <c r="P2" s="332"/>
      <c r="Q2" s="131" t="s">
        <v>171</v>
      </c>
      <c r="R2" s="131"/>
      <c r="S2" s="131"/>
      <c r="T2" s="94"/>
      <c r="U2" s="132"/>
      <c r="V2" s="132"/>
      <c r="W2" s="133"/>
      <c r="X2" s="134"/>
      <c r="Y2" s="333">
        <v>1842992000</v>
      </c>
      <c r="Z2" s="333"/>
      <c r="AA2" s="334">
        <f>I1</f>
        <v>1570536200</v>
      </c>
      <c r="AB2" s="335"/>
      <c r="AC2" s="336"/>
      <c r="AD2" s="337">
        <f>TRUNC(Y2/AA2,4)</f>
        <v>1.1734</v>
      </c>
      <c r="AE2" s="338"/>
      <c r="AF2" s="135"/>
      <c r="AG2" s="322" t="s">
        <v>116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1174047000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174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175"/>
      <c r="AG3" s="175"/>
      <c r="AH3" s="175"/>
      <c r="AI3" s="175"/>
      <c r="AJ3" s="175"/>
      <c r="AK3" s="176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174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 t="s">
        <v>176</v>
      </c>
      <c r="C5" s="52" t="s">
        <v>162</v>
      </c>
      <c r="D5" s="50" t="s">
        <v>173</v>
      </c>
      <c r="E5" s="54"/>
      <c r="F5" s="52"/>
      <c r="G5" s="53"/>
      <c r="H5" s="139"/>
      <c r="I5" s="79">
        <v>0.51</v>
      </c>
      <c r="J5" s="26">
        <v>0.49</v>
      </c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0">
        <v>13.4</v>
      </c>
      <c r="R5" s="80"/>
      <c r="S5" s="126"/>
      <c r="T5" s="100"/>
      <c r="U5" s="123">
        <f>ROUND(((P5*I5)+(Q5*J5)+(R5*K5)+(S5*L5)+(T5*M5))*O5,2)</f>
        <v>14.22</v>
      </c>
      <c r="V5" s="101">
        <f>IF(U5&gt;=15,15,U5)</f>
        <v>14.22</v>
      </c>
      <c r="W5" s="33">
        <v>57539030000</v>
      </c>
      <c r="X5" s="184">
        <v>3070576000</v>
      </c>
      <c r="Y5" s="33"/>
      <c r="Z5" s="90"/>
      <c r="AA5" s="102"/>
      <c r="AB5" s="124">
        <f>ROUND((((W5*I5)+(X5*J5)+(Y5*K5)+(Z5*L5)+(AA5*M5))/$I$2),2)*13</f>
        <v>310.57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>
        <f>1.5*I5</f>
        <v>0.76500000000000001</v>
      </c>
      <c r="AG5" s="114">
        <v>1.08</v>
      </c>
      <c r="AH5" s="115">
        <f>IF((V5+AE5+AF5)&gt;=30,30,(V5+AE5+AF5))</f>
        <v>29.984999999999999</v>
      </c>
      <c r="AI5" s="116">
        <v>65</v>
      </c>
      <c r="AJ5" s="44">
        <f>V5+AE5+AF5+AI5+AG5</f>
        <v>96.064999999999998</v>
      </c>
      <c r="AK5" s="115">
        <f>IF(AH5+AI5+AG5&gt;=95,95,AH5+AI5+AG5)</f>
        <v>95</v>
      </c>
      <c r="AL5" s="108">
        <f>-((50-((176+(45+(50-AH5)))))/200)</f>
        <v>0.9550749999999999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187" t="s">
        <v>177</v>
      </c>
      <c r="C7" s="52" t="s">
        <v>175</v>
      </c>
      <c r="D7" s="50" t="s">
        <v>178</v>
      </c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0">
        <v>13.4</v>
      </c>
      <c r="R7" s="80"/>
      <c r="S7" s="30"/>
      <c r="T7" s="89"/>
      <c r="U7" s="32">
        <f>ROUND(((P7*I7)+(Q7*J7)+(R7*K7)+(S7*L7)+(T7*M7))*O7,2)</f>
        <v>14.22</v>
      </c>
      <c r="V7" s="68">
        <f>IF(U7&gt;=15,15,U7)</f>
        <v>14.22</v>
      </c>
      <c r="W7" s="33">
        <v>59183685000</v>
      </c>
      <c r="X7" s="33">
        <v>3074157000</v>
      </c>
      <c r="Y7" s="33"/>
      <c r="Z7" s="45"/>
      <c r="AA7" s="35"/>
      <c r="AB7" s="36">
        <f>ROUND((((W7*I7)+(X7*J7)+(Y7*K7)+(Z7*L7)+(AA7*M7))/$I$2),2)*13</f>
        <v>319.02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>
        <f>1.5*I7</f>
        <v>0.76500000000000001</v>
      </c>
      <c r="AG7" s="114">
        <v>1.08</v>
      </c>
      <c r="AH7" s="37">
        <f>IF((V7+AE7+AF7)&gt;=30,30,(V7+AE7+AF7))</f>
        <v>29.984999999999999</v>
      </c>
      <c r="AI7" s="38">
        <v>65</v>
      </c>
      <c r="AJ7" s="30">
        <f>V7+AE7+AF7+AI7+AG7</f>
        <v>96.064999999999998</v>
      </c>
      <c r="AK7" s="37">
        <f>IF(AH7+AI7+AG7&gt;=95,95,AH7+AI7+AG7)</f>
        <v>95</v>
      </c>
      <c r="AL7" s="39">
        <f>-((50-((176+(45+(50-AH7)))))/200)</f>
        <v>0.9550749999999999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2"/>
      <c r="D9" s="52"/>
      <c r="E9" s="54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>
        <v>15</v>
      </c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/>
      <c r="X9" s="33"/>
      <c r="Y9" s="33"/>
      <c r="Z9" s="45"/>
      <c r="AA9" s="35"/>
      <c r="AB9" s="36">
        <f>ROUND((((W9*I9)+(X9*J9)+(Y9*K9)+(Z9*L9)+(AA9*M9))/$I$2),2)*13</f>
        <v>0</v>
      </c>
      <c r="AC9" s="68">
        <f>IF(AB9&gt;=13,13,AB9)</f>
        <v>0</v>
      </c>
      <c r="AD9" s="63">
        <v>2</v>
      </c>
      <c r="AE9" s="32">
        <f>IF((AC9+AD9)&gt;=15,15,(AC9+AD9))</f>
        <v>2</v>
      </c>
      <c r="AF9" s="61"/>
      <c r="AG9" s="114"/>
      <c r="AH9" s="37">
        <f>IF((V9+AE9+AF9)&gt;=30,30,(V9+AE9+AF9))</f>
        <v>17</v>
      </c>
      <c r="AI9" s="38">
        <v>65</v>
      </c>
      <c r="AJ9" s="30">
        <f>V9+AE9+AF9+AI9+AG9</f>
        <v>82</v>
      </c>
      <c r="AK9" s="37">
        <f>IF(AH9+AI9+AG9&gt;=95,95,AH9+AI9+AG9)</f>
        <v>82</v>
      </c>
      <c r="AL9" s="39">
        <f>-((50-((176+(45+(50-AH9)))))/200)</f>
        <v>1.02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 t="s">
        <v>168</v>
      </c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9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17</v>
      </c>
      <c r="AI11" s="38">
        <v>65</v>
      </c>
      <c r="AJ11" s="30">
        <f t="shared" ref="AJ11:AJ74" si="7">V11+AE11+AF11+AI11+AG11</f>
        <v>82</v>
      </c>
      <c r="AK11" s="37">
        <f t="shared" ref="AK11:AK74" si="8">IF(AH11+AI11+AG11&gt;=95,95,AH11+AI11+AG11)</f>
        <v>82</v>
      </c>
      <c r="AL11" s="39">
        <f t="shared" ref="AL11:AL74" si="9">-((50-((176+(45+(50-AH11)))))/200)</f>
        <v>1.02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 t="s">
        <v>169</v>
      </c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 t="s">
        <v>170</v>
      </c>
      <c r="D13" s="52"/>
      <c r="E13" s="186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63">
        <v>2</v>
      </c>
      <c r="AE13" s="32">
        <f t="shared" si="5"/>
        <v>2</v>
      </c>
      <c r="AF13" s="61"/>
      <c r="AG13" s="114"/>
      <c r="AH13" s="37">
        <f t="shared" si="6"/>
        <v>17</v>
      </c>
      <c r="AI13" s="38">
        <v>65</v>
      </c>
      <c r="AJ13" s="30">
        <f t="shared" si="7"/>
        <v>82</v>
      </c>
      <c r="AK13" s="37">
        <f t="shared" si="8"/>
        <v>82</v>
      </c>
      <c r="AL13" s="39">
        <f t="shared" si="9"/>
        <v>1.02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164</v>
      </c>
      <c r="D14" s="50" t="s">
        <v>165</v>
      </c>
      <c r="E14" s="50" t="s">
        <v>166</v>
      </c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/>
      <c r="X14" s="33"/>
      <c r="Y14" s="33"/>
      <c r="Z14" s="45"/>
      <c r="AA14" s="35"/>
      <c r="AB14" s="36">
        <f t="shared" si="3"/>
        <v>0</v>
      </c>
      <c r="AC14" s="68">
        <f t="shared" si="4"/>
        <v>0</v>
      </c>
      <c r="AD14" s="63">
        <v>2</v>
      </c>
      <c r="AE14" s="32">
        <f t="shared" si="5"/>
        <v>2</v>
      </c>
      <c r="AF14" s="61"/>
      <c r="AG14" s="114"/>
      <c r="AH14" s="37">
        <f t="shared" si="6"/>
        <v>17</v>
      </c>
      <c r="AI14" s="38">
        <v>65</v>
      </c>
      <c r="AJ14" s="30">
        <f t="shared" si="7"/>
        <v>82</v>
      </c>
      <c r="AK14" s="37">
        <f t="shared" si="8"/>
        <v>82</v>
      </c>
      <c r="AL14" s="39">
        <f t="shared" si="9"/>
        <v>1.02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 t="s">
        <v>167</v>
      </c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3"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0000"/>
  </sheetPr>
  <dimension ref="A1:AX138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bestFit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3434131000</v>
      </c>
      <c r="E1" s="340"/>
      <c r="F1" s="339"/>
      <c r="G1" s="340"/>
      <c r="H1" s="66" t="s">
        <v>108</v>
      </c>
      <c r="I1" s="341">
        <v>3725752000</v>
      </c>
      <c r="J1" s="341"/>
      <c r="K1" s="183" t="s">
        <v>198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180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3592399000</v>
      </c>
      <c r="E2" s="328"/>
      <c r="F2" s="329"/>
      <c r="G2" s="330"/>
      <c r="H2" s="3" t="s">
        <v>28</v>
      </c>
      <c r="I2" s="331">
        <f>D2*1</f>
        <v>3592399000</v>
      </c>
      <c r="J2" s="329"/>
      <c r="K2" s="129" t="s">
        <v>114</v>
      </c>
      <c r="L2" s="130" t="s">
        <v>115</v>
      </c>
      <c r="M2" s="332">
        <v>45903.458333333336</v>
      </c>
      <c r="N2" s="332"/>
      <c r="O2" s="332"/>
      <c r="P2" s="332"/>
      <c r="Q2" s="131" t="s">
        <v>181</v>
      </c>
      <c r="R2" s="131"/>
      <c r="S2" s="131"/>
      <c r="T2" s="94"/>
      <c r="U2" s="132"/>
      <c r="V2" s="132"/>
      <c r="W2" s="133"/>
      <c r="X2" s="134"/>
      <c r="Y2" s="333">
        <v>2212100000</v>
      </c>
      <c r="Z2" s="333"/>
      <c r="AA2" s="334">
        <f>I1</f>
        <v>3725752000</v>
      </c>
      <c r="AB2" s="335"/>
      <c r="AC2" s="336"/>
      <c r="AD2" s="337">
        <f>TRUNC(Y2/AA2,4)</f>
        <v>0.59370000000000001</v>
      </c>
      <c r="AE2" s="338"/>
      <c r="AF2" s="135"/>
      <c r="AG2" s="322" t="s">
        <v>116</v>
      </c>
      <c r="AH2" s="323"/>
      <c r="AI2" s="324">
        <v>3434131000</v>
      </c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188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189"/>
      <c r="AG3" s="189"/>
      <c r="AH3" s="189"/>
      <c r="AI3" s="189"/>
      <c r="AJ3" s="189"/>
      <c r="AK3" s="190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188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169</v>
      </c>
      <c r="D5" s="50" t="s">
        <v>182</v>
      </c>
      <c r="E5" s="54"/>
      <c r="F5" s="52"/>
      <c r="G5" s="53"/>
      <c r="H5" s="191" t="s">
        <v>193</v>
      </c>
      <c r="I5" s="79">
        <v>0.7</v>
      </c>
      <c r="J5" s="193">
        <v>0.247</v>
      </c>
      <c r="K5" s="26"/>
      <c r="L5" s="120"/>
      <c r="M5" s="99"/>
      <c r="N5" s="121">
        <f>SUM(I5:M5)</f>
        <v>0.94699999999999995</v>
      </c>
      <c r="O5" s="122">
        <v>1</v>
      </c>
      <c r="P5" s="80">
        <v>15</v>
      </c>
      <c r="Q5" s="181">
        <v>15</v>
      </c>
      <c r="R5" s="80"/>
      <c r="S5" s="126"/>
      <c r="T5" s="100"/>
      <c r="U5" s="196">
        <f>ROUND(((P5*I5)+(Q5*J5)+(R5*K5)+(S5*L5)+(T5*M5))*O5,2)</f>
        <v>14.21</v>
      </c>
      <c r="V5" s="101">
        <f>IF(U5&gt;=15,15,U5)</f>
        <v>14.21</v>
      </c>
      <c r="W5" s="33">
        <v>21672377000</v>
      </c>
      <c r="X5" s="184">
        <v>1368609000</v>
      </c>
      <c r="Y5" s="33"/>
      <c r="Z5" s="90"/>
      <c r="AA5" s="102"/>
      <c r="AB5" s="124">
        <f>ROUND((((W5*I5)+(X5*J5)+(Y5*K5)+(Z5*L5)+(AA5*M5))/$I$2),2)*13</f>
        <v>56.160000000000004</v>
      </c>
      <c r="AC5" s="125">
        <f>IF(AB5&gt;=13,13,AB5)</f>
        <v>13</v>
      </c>
      <c r="AD5" s="192">
        <v>1</v>
      </c>
      <c r="AE5" s="123">
        <f>IF((AC5+AD5)&gt;=15,15,(AC5+AD5))</f>
        <v>14</v>
      </c>
      <c r="AF5" s="113">
        <f>1.5*I5</f>
        <v>1.0499999999999998</v>
      </c>
      <c r="AG5" s="114">
        <v>4.2</v>
      </c>
      <c r="AH5" s="115">
        <f>IF((V5+AE5+AF5)&gt;=30,30,(V5+AE5+AF5))</f>
        <v>29.26</v>
      </c>
      <c r="AI5" s="116">
        <v>65</v>
      </c>
      <c r="AJ5" s="44">
        <f>V5+AE5+AF5+AI5+AG5</f>
        <v>98.460000000000008</v>
      </c>
      <c r="AK5" s="115">
        <f>IF(AH5+AI5+AG5&gt;=95,95,AH5+AI5+AG5)</f>
        <v>95</v>
      </c>
      <c r="AL5" s="108">
        <f>-((50-((176+(45+(50-AH5)))))/200)</f>
        <v>0.9587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80.49499999999999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61</v>
      </c>
      <c r="D7" s="50" t="s">
        <v>187</v>
      </c>
      <c r="E7" s="52"/>
      <c r="F7" s="54"/>
      <c r="G7" s="85"/>
      <c r="H7" s="146"/>
      <c r="I7" s="79">
        <v>0.7</v>
      </c>
      <c r="J7" s="26">
        <v>0.3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1">
        <v>15</v>
      </c>
      <c r="R7" s="80"/>
      <c r="S7" s="30"/>
      <c r="T7" s="89"/>
      <c r="U7" s="195">
        <f>ROUND(((P7*I7)+(Q7*J7)+(R7*K7)+(S7*L7)+(T7*M7))*O7,2)</f>
        <v>15</v>
      </c>
      <c r="V7" s="68">
        <f>IF(U7&gt;=15,15,U7)</f>
        <v>15</v>
      </c>
      <c r="W7" s="33">
        <v>11716746000</v>
      </c>
      <c r="X7" s="33">
        <v>2944187000</v>
      </c>
      <c r="Y7" s="33"/>
      <c r="Z7" s="45"/>
      <c r="AA7" s="35"/>
      <c r="AB7" s="36">
        <f>ROUND((((W7*I7)+(X7*J7)+(Y7*K7)+(Z7*L7)+(AA7*M7))/$I$2),2)*13</f>
        <v>32.89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>
        <f>1.5*I7</f>
        <v>1.0499999999999998</v>
      </c>
      <c r="AG7" s="114">
        <v>4.2</v>
      </c>
      <c r="AH7" s="37">
        <f>IF((V7+AE7+AF7)&gt;=30,30,(V7+AE7+AF7))</f>
        <v>30</v>
      </c>
      <c r="AI7" s="38">
        <v>65</v>
      </c>
      <c r="AJ7" s="30">
        <f>V7+AE7+AF7+AI7+AG7</f>
        <v>100.25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187" t="s">
        <v>186</v>
      </c>
      <c r="C9" s="52" t="s">
        <v>185</v>
      </c>
      <c r="D9" s="50" t="s">
        <v>189</v>
      </c>
      <c r="E9" s="54"/>
      <c r="F9" s="54"/>
      <c r="G9" s="53"/>
      <c r="H9" s="140"/>
      <c r="I9" s="79">
        <v>0.51</v>
      </c>
      <c r="J9" s="26">
        <v>0.49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59183685000</v>
      </c>
      <c r="X9" s="33">
        <v>0</v>
      </c>
      <c r="Y9" s="33"/>
      <c r="Z9" s="45"/>
      <c r="AA9" s="35"/>
      <c r="AB9" s="36">
        <f>ROUND((((W9*I9)+(X9*J9)+(Y9*K9)+(Z9*L9)+(AA9*M9))/$I$2),2)*13</f>
        <v>109.2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4.2</v>
      </c>
      <c r="AH9" s="37">
        <f>IF((V9+AE9+AF9)&gt;=30,30,(V9+AE9+AF9))</f>
        <v>30</v>
      </c>
      <c r="AI9" s="38">
        <v>65</v>
      </c>
      <c r="AJ9" s="30">
        <f>V9+AE9+AF9+AI9+AG9</f>
        <v>99.2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2" t="s">
        <v>188</v>
      </c>
      <c r="D11" s="50" t="s">
        <v>183</v>
      </c>
      <c r="E11" s="54"/>
      <c r="F11" s="54"/>
      <c r="G11" s="53"/>
      <c r="H11" s="146" t="s">
        <v>184</v>
      </c>
      <c r="I11" s="79">
        <v>0.7</v>
      </c>
      <c r="J11" s="193">
        <v>0.245</v>
      </c>
      <c r="K11" s="26"/>
      <c r="L11" s="91"/>
      <c r="M11" s="78"/>
      <c r="N11" s="27">
        <f t="shared" ref="N11:N44" si="0">SUM(I11:M11)</f>
        <v>0.94499999999999995</v>
      </c>
      <c r="O11" s="28">
        <v>1</v>
      </c>
      <c r="P11" s="80">
        <v>15</v>
      </c>
      <c r="Q11" s="80">
        <v>15</v>
      </c>
      <c r="R11" s="56"/>
      <c r="S11" s="30"/>
      <c r="T11" s="89"/>
      <c r="U11" s="32">
        <f t="shared" ref="U11:U76" si="1">ROUND(((P11*I11)+(Q11*J11)+(R11*K11)+(S11*L11)+(T11*M11))*O11,2)</f>
        <v>14.18</v>
      </c>
      <c r="V11" s="68">
        <f t="shared" ref="V11:V76" si="2">IF(U11&gt;=15,15,U11)</f>
        <v>14.18</v>
      </c>
      <c r="W11" s="92">
        <v>7643696000</v>
      </c>
      <c r="X11" s="33">
        <v>1934097000</v>
      </c>
      <c r="Y11" s="33"/>
      <c r="Z11" s="45"/>
      <c r="AA11" s="35"/>
      <c r="AB11" s="36">
        <f t="shared" ref="AB11:AB76" si="3">ROUND((((W11*I11)+(X11*J11)+(Y11*K11)+(Z11*L11)+(AA11*M11))/$I$2),2)*13</f>
        <v>21.060000000000002</v>
      </c>
      <c r="AC11" s="68">
        <f t="shared" ref="AC11:AC76" si="4">IF(AB11&gt;=13,13,AB11)</f>
        <v>13</v>
      </c>
      <c r="AD11" s="192">
        <v>1</v>
      </c>
      <c r="AE11" s="32">
        <f t="shared" ref="AE11:AE76" si="5">IF((AC11+AD11)&gt;=15,15,(AC11+AD11))</f>
        <v>14</v>
      </c>
      <c r="AF11" s="61">
        <f>0.5*I11</f>
        <v>0.35</v>
      </c>
      <c r="AG11" s="114">
        <v>4.2</v>
      </c>
      <c r="AH11" s="37">
        <f t="shared" ref="AH11:AH76" si="6">IF((V11+AE11+AF11)&gt;=30,30,(V11+AE11+AF11))</f>
        <v>28.53</v>
      </c>
      <c r="AI11" s="38">
        <v>65</v>
      </c>
      <c r="AJ11" s="30">
        <f t="shared" ref="AJ11:AJ76" si="7">V11+AE11+AF11+AI11+AG11</f>
        <v>97.73</v>
      </c>
      <c r="AK11" s="37">
        <f t="shared" ref="AK11:AK76" si="8">IF(AH11+AI11+AG11&gt;=95,95,AH11+AI11+AG11)</f>
        <v>95</v>
      </c>
      <c r="AL11" s="39">
        <f t="shared" ref="AL11:AL76" si="9">-((50-((176+(45+(50-AH11)))))/200)</f>
        <v>0.96235000000000004</v>
      </c>
      <c r="AM11" s="40"/>
      <c r="AN11" s="41">
        <f t="shared" ref="AN11:AO32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6" si="11">AR11+AS11+AT11+AU11+AV11</f>
        <v>0</v>
      </c>
      <c r="AX11" s="71">
        <f t="shared" ref="AX11:AX76" si="12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185">
        <v>85</v>
      </c>
      <c r="J12" s="104">
        <v>85</v>
      </c>
      <c r="K12" s="104">
        <v>85</v>
      </c>
      <c r="L12" s="104"/>
      <c r="M12" s="104"/>
      <c r="N12" s="107">
        <f>I12*I11+J12*J11+K12*K11+L12*L11+M12*M11</f>
        <v>80.324999999999989</v>
      </c>
      <c r="O12" s="28"/>
      <c r="P12" s="29"/>
      <c r="Q12" s="30"/>
      <c r="R12" s="30"/>
      <c r="S12" s="31"/>
      <c r="T12" s="89"/>
      <c r="U12" s="32"/>
      <c r="V12" s="68"/>
      <c r="W12" s="194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177" t="s">
        <v>199</v>
      </c>
      <c r="C13" s="52" t="s">
        <v>42</v>
      </c>
      <c r="D13" s="50" t="s">
        <v>200</v>
      </c>
      <c r="E13" s="54"/>
      <c r="F13" s="54"/>
      <c r="G13" s="53"/>
      <c r="H13" s="140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198">
        <v>1</v>
      </c>
      <c r="P13" s="80">
        <v>15</v>
      </c>
      <c r="Q13" s="80">
        <v>15</v>
      </c>
      <c r="R13" s="80"/>
      <c r="S13" s="31"/>
      <c r="T13" s="89"/>
      <c r="U13" s="32">
        <f t="shared" si="1"/>
        <v>15</v>
      </c>
      <c r="V13" s="68">
        <f t="shared" si="2"/>
        <v>15</v>
      </c>
      <c r="W13" s="33">
        <v>15563060000</v>
      </c>
      <c r="X13" s="33">
        <v>2401632000</v>
      </c>
      <c r="Y13" s="34"/>
      <c r="Z13" s="45"/>
      <c r="AA13" s="35"/>
      <c r="AB13" s="36">
        <f t="shared" si="3"/>
        <v>33.020000000000003</v>
      </c>
      <c r="AC13" s="68">
        <f t="shared" si="4"/>
        <v>13</v>
      </c>
      <c r="AD13" s="63">
        <v>2</v>
      </c>
      <c r="AE13" s="32">
        <f t="shared" si="5"/>
        <v>15</v>
      </c>
      <c r="AF13" s="61">
        <f>1.5*I13</f>
        <v>0.76500000000000001</v>
      </c>
      <c r="AG13" s="114">
        <v>4.2</v>
      </c>
      <c r="AH13" s="37">
        <f t="shared" si="6"/>
        <v>30</v>
      </c>
      <c r="AI13" s="38">
        <v>65</v>
      </c>
      <c r="AJ13" s="30">
        <f t="shared" si="7"/>
        <v>99.965000000000003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185">
        <v>85</v>
      </c>
      <c r="J14" s="104">
        <v>85</v>
      </c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52" t="s">
        <v>164</v>
      </c>
      <c r="D15" s="50" t="s">
        <v>192</v>
      </c>
      <c r="E15" s="54" t="s">
        <v>191</v>
      </c>
      <c r="F15" s="49"/>
      <c r="G15" s="53"/>
      <c r="H15" s="140" t="s">
        <v>190</v>
      </c>
      <c r="I15" s="79">
        <v>0.6</v>
      </c>
      <c r="J15" s="193">
        <v>4.5499999999999999E-2</v>
      </c>
      <c r="K15" s="26">
        <v>0.1</v>
      </c>
      <c r="L15" s="77"/>
      <c r="M15" s="78"/>
      <c r="N15" s="27">
        <f t="shared" si="0"/>
        <v>0.74549999999999994</v>
      </c>
      <c r="O15" s="197">
        <v>1.1000000000000001</v>
      </c>
      <c r="P15" s="80">
        <v>15</v>
      </c>
      <c r="Q15" s="80">
        <v>15</v>
      </c>
      <c r="R15" s="80">
        <v>15</v>
      </c>
      <c r="S15" s="31"/>
      <c r="T15" s="89"/>
      <c r="U15" s="32">
        <f t="shared" si="1"/>
        <v>12.3</v>
      </c>
      <c r="V15" s="68">
        <f t="shared" si="2"/>
        <v>12.3</v>
      </c>
      <c r="W15" s="33">
        <v>11716746000</v>
      </c>
      <c r="X15" s="33">
        <v>174611000</v>
      </c>
      <c r="Y15" s="34">
        <v>2164716000</v>
      </c>
      <c r="Z15" s="45"/>
      <c r="AA15" s="35"/>
      <c r="AB15" s="36">
        <f t="shared" si="3"/>
        <v>26.26</v>
      </c>
      <c r="AC15" s="68">
        <f t="shared" si="4"/>
        <v>13</v>
      </c>
      <c r="AD15" s="192">
        <v>0</v>
      </c>
      <c r="AE15" s="32">
        <f t="shared" si="5"/>
        <v>13</v>
      </c>
      <c r="AF15" s="61">
        <f>1.5*I15</f>
        <v>0.89999999999999991</v>
      </c>
      <c r="AG15" s="114">
        <v>4.2</v>
      </c>
      <c r="AH15" s="37">
        <f t="shared" si="6"/>
        <v>26.2</v>
      </c>
      <c r="AI15" s="38">
        <v>65</v>
      </c>
      <c r="AJ15" s="30">
        <f t="shared" si="7"/>
        <v>95.4</v>
      </c>
      <c r="AK15" s="37">
        <f t="shared" si="8"/>
        <v>95</v>
      </c>
      <c r="AL15" s="39">
        <f t="shared" si="9"/>
        <v>0.97400000000000009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163</v>
      </c>
      <c r="B16" s="364"/>
      <c r="C16" s="364"/>
      <c r="D16" s="364"/>
      <c r="E16" s="364"/>
      <c r="F16" s="364"/>
      <c r="G16" s="364"/>
      <c r="H16" s="365"/>
      <c r="I16" s="185">
        <v>85</v>
      </c>
      <c r="J16" s="104">
        <v>85</v>
      </c>
      <c r="K16" s="104">
        <v>85</v>
      </c>
      <c r="L16" s="104"/>
      <c r="M16" s="104"/>
      <c r="N16" s="107">
        <f>I16*I15+J16*J15+K16*K15+L16*L15+M16*M15</f>
        <v>63.3675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23"/>
      <c r="C17" s="52"/>
      <c r="D17" s="50"/>
      <c r="E17" s="186"/>
      <c r="F17" s="186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33"/>
      <c r="X17" s="33"/>
      <c r="Y17" s="33"/>
      <c r="Z17" s="45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114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76"/>
      <c r="C18" s="52"/>
      <c r="D18" s="49"/>
      <c r="E18" s="186"/>
      <c r="F18" s="49"/>
      <c r="G18" s="53"/>
      <c r="H18" s="64"/>
      <c r="I18" s="79">
        <v>0.51</v>
      </c>
      <c r="J18" s="26">
        <v>0.49</v>
      </c>
      <c r="K18" s="26"/>
      <c r="L18" s="77"/>
      <c r="M18" s="78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1"/>
      <c r="T18" s="89"/>
      <c r="U18" s="32">
        <f t="shared" si="1"/>
        <v>15</v>
      </c>
      <c r="V18" s="68">
        <f t="shared" si="2"/>
        <v>15</v>
      </c>
      <c r="W18" s="34"/>
      <c r="X18" s="34"/>
      <c r="Y18" s="34"/>
      <c r="Z18" s="45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114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76"/>
      <c r="C19" s="52"/>
      <c r="D19" s="52"/>
      <c r="E19" s="186"/>
      <c r="F19" s="186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0"/>
      <c r="T19" s="31"/>
      <c r="U19" s="32">
        <f t="shared" si="1"/>
        <v>15</v>
      </c>
      <c r="V19" s="68">
        <f t="shared" si="2"/>
        <v>15</v>
      </c>
      <c r="W19" s="84"/>
      <c r="X19" s="58"/>
      <c r="Y19" s="57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49"/>
      <c r="E20" s="49"/>
      <c r="F20" s="186"/>
      <c r="G20" s="53"/>
      <c r="H20" s="64"/>
      <c r="I20" s="79">
        <v>0.51</v>
      </c>
      <c r="J20" s="26">
        <v>0.49</v>
      </c>
      <c r="K20" s="83"/>
      <c r="L20" s="26"/>
      <c r="M20" s="62"/>
      <c r="N20" s="27">
        <f t="shared" si="0"/>
        <v>1</v>
      </c>
      <c r="O20" s="28">
        <v>1</v>
      </c>
      <c r="P20" s="80">
        <v>15</v>
      </c>
      <c r="Q20" s="80">
        <v>15</v>
      </c>
      <c r="R20" s="81"/>
      <c r="S20" s="30"/>
      <c r="T20" s="31"/>
      <c r="U20" s="32">
        <f t="shared" si="1"/>
        <v>15</v>
      </c>
      <c r="V20" s="68">
        <f t="shared" si="2"/>
        <v>15</v>
      </c>
      <c r="W20" s="82"/>
      <c r="X20" s="33"/>
      <c r="Y20" s="33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52"/>
      <c r="C21" s="52"/>
      <c r="D21" s="52"/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30"/>
      <c r="S21" s="30"/>
      <c r="T21" s="31"/>
      <c r="U21" s="32">
        <f t="shared" si="1"/>
        <v>15</v>
      </c>
      <c r="V21" s="68">
        <f t="shared" si="2"/>
        <v>15</v>
      </c>
      <c r="W21" s="82"/>
      <c r="X21" s="34"/>
      <c r="Y21" s="33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22"/>
      <c r="B22" s="52"/>
      <c r="C22" s="52"/>
      <c r="D22" s="52"/>
      <c r="E22" s="52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82"/>
      <c r="X22" s="34"/>
      <c r="Y22" s="34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22"/>
      <c r="B23" s="23"/>
      <c r="C23" s="49"/>
      <c r="D23" s="52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56"/>
      <c r="S23" s="30"/>
      <c r="T23" s="31"/>
      <c r="U23" s="32">
        <f t="shared" si="1"/>
        <v>15</v>
      </c>
      <c r="V23" s="68">
        <f t="shared" si="2"/>
        <v>15</v>
      </c>
      <c r="W23" s="75"/>
      <c r="X23" s="33"/>
      <c r="Y23" s="34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ref="AN33:AO52" si="13">100%+AM33</f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ref="N45:N108" si="14">SUM(I45:M45)</f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ref="AN53:AO72" si="15">100%+AM53</f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ref="AN73:AO92" si="16">100%+AM73</f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ref="U77:U138" si="17">ROUND(((P77*I77)+(Q77*J77)+(R77*K77)+(S77*L77)+(T77*M77))*O77,2)</f>
        <v>15</v>
      </c>
      <c r="V77" s="68">
        <f t="shared" ref="V77:V138" si="18">IF(U77&gt;=15,15,U77)</f>
        <v>15</v>
      </c>
      <c r="W77" s="57"/>
      <c r="X77" s="60"/>
      <c r="Y77" s="45"/>
      <c r="Z77" s="48"/>
      <c r="AA77" s="35"/>
      <c r="AB77" s="36">
        <f t="shared" ref="AB77:AB138" si="19">ROUND((((W77*I77)+(X77*J77)+(Y77*K77)+(Z77*L77)+(AA77*M77))/$I$2),2)*13</f>
        <v>0</v>
      </c>
      <c r="AC77" s="68">
        <f t="shared" ref="AC77:AC138" si="20">IF(AB77&gt;=13,13,AB77)</f>
        <v>0</v>
      </c>
      <c r="AD77" s="63">
        <v>2</v>
      </c>
      <c r="AE77" s="32">
        <f t="shared" ref="AE77:AE138" si="21">IF((AC77+AD77)&gt;=15,15,(AC77+AD77))</f>
        <v>2</v>
      </c>
      <c r="AF77" s="56"/>
      <c r="AG77" s="56"/>
      <c r="AH77" s="37">
        <f t="shared" ref="AH77:AH138" si="22">IF((V77+AE77+AF77)&gt;=30,30,(V77+AE77+AF77))</f>
        <v>17</v>
      </c>
      <c r="AI77" s="38">
        <v>65</v>
      </c>
      <c r="AJ77" s="30">
        <f t="shared" ref="AJ77:AJ138" si="23">V77+AE77+AF77+AI77+AG77</f>
        <v>82</v>
      </c>
      <c r="AK77" s="37">
        <f t="shared" ref="AK77:AK138" si="24">IF(AH77+AI77+AG77&gt;=95,95,AH77+AI77+AG77)</f>
        <v>82</v>
      </c>
      <c r="AL77" s="39">
        <f t="shared" ref="AL77:AL138" si="25">-((50-((176+(45+(50-AH77)))))/200)</f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ref="AW77:AW138" si="26">AR77+AS77+AT77+AU77+AV77</f>
        <v>0</v>
      </c>
      <c r="AX77" s="71">
        <f t="shared" ref="AX77:AX138" si="27">(AR77*I77)+(AS77*J77)+(AT77*K77)+(AU77*L77)+(AV77*M77)</f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ref="AN93:AO112" si="28">100%+AM93</f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12" customFormat="1" ht="64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47.2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ref="N109:N138" si="29">SUM(I109:M109)</f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57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12" customFormat="1" ht="47.2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ref="AN113:AO132" si="30">100%+AM113</f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53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1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ref="AN133:AO138" si="31">100%+AM133</f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</sheetData>
  <mergeCells count="46">
    <mergeCell ref="A14:H14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16:H16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1048958000</v>
      </c>
      <c r="E1" s="340"/>
      <c r="F1" s="339"/>
      <c r="G1" s="340"/>
      <c r="H1" s="66" t="s">
        <v>29</v>
      </c>
      <c r="I1" s="341">
        <v>2393763240</v>
      </c>
      <c r="J1" s="341"/>
      <c r="K1" s="183" t="s">
        <v>194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>
        <v>1048958000</v>
      </c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1153854000</v>
      </c>
      <c r="E2" s="328"/>
      <c r="F2" s="329"/>
      <c r="G2" s="330"/>
      <c r="H2" s="3" t="s">
        <v>28</v>
      </c>
      <c r="I2" s="331">
        <f>D2*1</f>
        <v>1153854000</v>
      </c>
      <c r="J2" s="329"/>
      <c r="K2" s="129" t="s">
        <v>46</v>
      </c>
      <c r="L2" s="130" t="s">
        <v>30</v>
      </c>
      <c r="M2" s="332">
        <v>45917.458333333336</v>
      </c>
      <c r="N2" s="332"/>
      <c r="O2" s="332"/>
      <c r="P2" s="332"/>
      <c r="Q2" s="131" t="s">
        <v>195</v>
      </c>
      <c r="R2" s="131"/>
      <c r="S2" s="131"/>
      <c r="T2" s="94"/>
      <c r="U2" s="132"/>
      <c r="V2" s="132"/>
      <c r="W2" s="133"/>
      <c r="X2" s="134"/>
      <c r="Y2" s="333">
        <v>802982000</v>
      </c>
      <c r="Z2" s="333"/>
      <c r="AA2" s="334">
        <f>I1</f>
        <v>2393763240</v>
      </c>
      <c r="AB2" s="335"/>
      <c r="AC2" s="336"/>
      <c r="AD2" s="337">
        <f>TRUNC(Y2/AA2,4)</f>
        <v>0.33539999999999998</v>
      </c>
      <c r="AE2" s="338"/>
      <c r="AF2" s="135"/>
      <c r="AG2" s="322" t="s">
        <v>116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38</v>
      </c>
      <c r="AS2" s="348">
        <f>AI1</f>
        <v>1048958000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09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207"/>
      <c r="AG3" s="207"/>
      <c r="AH3" s="207"/>
      <c r="AI3" s="207"/>
      <c r="AJ3" s="207"/>
      <c r="AK3" s="208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136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09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153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158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58</v>
      </c>
      <c r="D5" s="50" t="s">
        <v>196</v>
      </c>
      <c r="E5" s="54"/>
      <c r="F5" s="52"/>
      <c r="G5" s="53"/>
      <c r="H5" s="139"/>
      <c r="I5" s="79">
        <v>0.51</v>
      </c>
      <c r="J5" s="26">
        <v>0.33500000000000002</v>
      </c>
      <c r="K5" s="26"/>
      <c r="L5" s="120"/>
      <c r="M5" s="99"/>
      <c r="N5" s="121">
        <f>SUM(I5:M5)</f>
        <v>0.84499999999999997</v>
      </c>
      <c r="O5" s="122">
        <v>1</v>
      </c>
      <c r="P5" s="80">
        <v>15</v>
      </c>
      <c r="Q5" s="181">
        <v>15</v>
      </c>
      <c r="R5" s="80"/>
      <c r="S5" s="126"/>
      <c r="T5" s="100"/>
      <c r="U5" s="123">
        <f>ROUND(((P5*I5)+(Q5*J5)+(R5*K5)+(S5*L5)+(T5*M5))*O5,2)</f>
        <v>12.68</v>
      </c>
      <c r="V5" s="101">
        <f>IF(U5&gt;=15,15,U5)</f>
        <v>12.68</v>
      </c>
      <c r="W5" s="33">
        <v>59183685000</v>
      </c>
      <c r="X5" s="184">
        <v>1291505000</v>
      </c>
      <c r="Y5" s="33"/>
      <c r="Z5" s="90"/>
      <c r="AA5" s="102"/>
      <c r="AB5" s="124">
        <f>ROUND((((W5*I5)+(X5*J5)+(Y5*K5)+(Z5*L5)+(AA5*M5))/$I$2),2)*13</f>
        <v>344.89</v>
      </c>
      <c r="AC5" s="125">
        <f>IF(AB5&gt;=13,13,AB5)</f>
        <v>13</v>
      </c>
      <c r="AD5" s="63">
        <v>0</v>
      </c>
      <c r="AE5" s="123">
        <f>IF((AC5+AD5)&gt;=15,15,(AC5+AD5))</f>
        <v>13</v>
      </c>
      <c r="AF5" s="113">
        <f>1.5*I5</f>
        <v>0.76500000000000001</v>
      </c>
      <c r="AG5" s="114"/>
      <c r="AH5" s="115">
        <f>IF((V5+AE5+AF5)&gt;=30,30,(V5+AE5+AF5))</f>
        <v>26.445</v>
      </c>
      <c r="AI5" s="116">
        <v>65</v>
      </c>
      <c r="AJ5" s="44">
        <f>V5+AE5+AF5+AI5+AG5</f>
        <v>91.444999999999993</v>
      </c>
      <c r="AK5" s="115">
        <f>IF(AH5+AI5+AG5&gt;=95,95,AH5+AI5+AG5)</f>
        <v>91.444999999999993</v>
      </c>
      <c r="AL5" s="108">
        <f>-((50-((176+(45+(50-AH5)))))/200)</f>
        <v>0.97277500000000006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85">
        <v>93.38</v>
      </c>
      <c r="J6" s="104">
        <v>85</v>
      </c>
      <c r="K6" s="104"/>
      <c r="L6" s="104"/>
      <c r="M6" s="104"/>
      <c r="N6" s="143">
        <f>I6*I5+J6*J5+K6*K5+L6*L5+M6*M5</f>
        <v>76.098799999999997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/>
      <c r="D7" s="50"/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0">
        <v>13.4</v>
      </c>
      <c r="R7" s="80"/>
      <c r="S7" s="30"/>
      <c r="T7" s="89"/>
      <c r="U7" s="32">
        <f>ROUND(((P7*I7)+(Q7*J7)+(R7*K7)+(S7*L7)+(T7*M7))*O7,2)</f>
        <v>14.22</v>
      </c>
      <c r="V7" s="68">
        <f>IF(U7&gt;=15,15,U7)</f>
        <v>14.22</v>
      </c>
      <c r="W7" s="33"/>
      <c r="X7" s="33"/>
      <c r="Y7" s="33"/>
      <c r="Z7" s="45"/>
      <c r="AA7" s="35"/>
      <c r="AB7" s="36">
        <f>ROUND((((W7*I7)+(X7*J7)+(Y7*K7)+(Z7*L7)+(AA7*M7))/$I$2),2)*13</f>
        <v>0</v>
      </c>
      <c r="AC7" s="68">
        <f>IF(AB7&gt;=13,13,AB7)</f>
        <v>0</v>
      </c>
      <c r="AD7" s="63">
        <v>2</v>
      </c>
      <c r="AE7" s="32">
        <f>IF((AC7+AD7)&gt;=15,15,(AC7+AD7))</f>
        <v>2</v>
      </c>
      <c r="AF7" s="61">
        <f>1.5*I7</f>
        <v>0.76500000000000001</v>
      </c>
      <c r="AG7" s="114"/>
      <c r="AH7" s="37">
        <f>IF((V7+AE7+AF7)&gt;=30,30,(V7+AE7+AF7))</f>
        <v>16.984999999999999</v>
      </c>
      <c r="AI7" s="38">
        <v>65</v>
      </c>
      <c r="AJ7" s="30">
        <f>V7+AE7+AF7+AI7+AG7</f>
        <v>81.984999999999999</v>
      </c>
      <c r="AK7" s="37">
        <f>IF(AH7+AI7+AG7&gt;=95,95,AH7+AI7+AG7)</f>
        <v>81.984999999999999</v>
      </c>
      <c r="AL7" s="39">
        <f>-((50-((176+(45+(50-AH7)))))/200)</f>
        <v>1.0200749999999998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2"/>
      <c r="D9" s="52"/>
      <c r="E9" s="54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>
        <v>15</v>
      </c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/>
      <c r="X9" s="33"/>
      <c r="Y9" s="33"/>
      <c r="Z9" s="45"/>
      <c r="AA9" s="35"/>
      <c r="AB9" s="36">
        <f>ROUND((((W9*I9)+(X9*J9)+(Y9*K9)+(Z9*L9)+(AA9*M9))/$I$2),2)*13</f>
        <v>0</v>
      </c>
      <c r="AC9" s="68">
        <f>IF(AB9&gt;=13,13,AB9)</f>
        <v>0</v>
      </c>
      <c r="AD9" s="63">
        <v>2</v>
      </c>
      <c r="AE9" s="32">
        <f>IF((AC9+AD9)&gt;=15,15,(AC9+AD9))</f>
        <v>2</v>
      </c>
      <c r="AF9" s="61"/>
      <c r="AG9" s="114"/>
      <c r="AH9" s="37">
        <f>IF((V9+AE9+AF9)&gt;=30,30,(V9+AE9+AF9))</f>
        <v>17</v>
      </c>
      <c r="AI9" s="38">
        <v>65</v>
      </c>
      <c r="AJ9" s="30">
        <f>V9+AE9+AF9+AI9+AG9</f>
        <v>82</v>
      </c>
      <c r="AK9" s="37">
        <f>IF(AH9+AI9+AG9&gt;=95,95,AH9+AI9+AG9)</f>
        <v>82</v>
      </c>
      <c r="AL9" s="39">
        <f>-((50-((176+(45+(50-AH9)))))/200)</f>
        <v>1.02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 t="s">
        <v>168</v>
      </c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9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17</v>
      </c>
      <c r="AI11" s="38">
        <v>65</v>
      </c>
      <c r="AJ11" s="30">
        <f t="shared" ref="AJ11:AJ74" si="7">V11+AE11+AF11+AI11+AG11</f>
        <v>82</v>
      </c>
      <c r="AK11" s="37">
        <f t="shared" ref="AK11:AK74" si="8">IF(AH11+AI11+AG11&gt;=95,95,AH11+AI11+AG11)</f>
        <v>82</v>
      </c>
      <c r="AL11" s="39">
        <f t="shared" ref="AL11:AL74" si="9">-((50-((176+(45+(50-AH11)))))/200)</f>
        <v>1.02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 t="s">
        <v>58</v>
      </c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 t="s">
        <v>170</v>
      </c>
      <c r="D13" s="52"/>
      <c r="E13" s="186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63">
        <v>2</v>
      </c>
      <c r="AE13" s="32">
        <f t="shared" si="5"/>
        <v>2</v>
      </c>
      <c r="AF13" s="61"/>
      <c r="AG13" s="114"/>
      <c r="AH13" s="37">
        <f t="shared" si="6"/>
        <v>17</v>
      </c>
      <c r="AI13" s="38">
        <v>65</v>
      </c>
      <c r="AJ13" s="30">
        <f t="shared" si="7"/>
        <v>82</v>
      </c>
      <c r="AK13" s="37">
        <f t="shared" si="8"/>
        <v>82</v>
      </c>
      <c r="AL13" s="39">
        <f t="shared" si="9"/>
        <v>1.02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42</v>
      </c>
      <c r="D14" s="50"/>
      <c r="E14" s="50"/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/>
      <c r="X14" s="33"/>
      <c r="Y14" s="33"/>
      <c r="Z14" s="45"/>
      <c r="AA14" s="35"/>
      <c r="AB14" s="36">
        <f t="shared" si="3"/>
        <v>0</v>
      </c>
      <c r="AC14" s="68">
        <f t="shared" si="4"/>
        <v>0</v>
      </c>
      <c r="AD14" s="63">
        <v>2</v>
      </c>
      <c r="AE14" s="32">
        <f t="shared" si="5"/>
        <v>2</v>
      </c>
      <c r="AF14" s="61"/>
      <c r="AG14" s="114"/>
      <c r="AH14" s="37">
        <f t="shared" si="6"/>
        <v>17</v>
      </c>
      <c r="AI14" s="38">
        <v>65</v>
      </c>
      <c r="AJ14" s="30">
        <f t="shared" si="7"/>
        <v>82</v>
      </c>
      <c r="AK14" s="37">
        <f t="shared" si="8"/>
        <v>82</v>
      </c>
      <c r="AL14" s="39">
        <f t="shared" si="9"/>
        <v>1.02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 t="s">
        <v>87</v>
      </c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3"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AX142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307</v>
      </c>
      <c r="D1" s="339">
        <v>4992656000</v>
      </c>
      <c r="E1" s="340"/>
      <c r="F1" s="339"/>
      <c r="G1" s="340"/>
      <c r="H1" s="66" t="s">
        <v>306</v>
      </c>
      <c r="I1" s="341">
        <v>5439217000</v>
      </c>
      <c r="J1" s="341"/>
      <c r="K1" s="142" t="s">
        <v>197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305</v>
      </c>
      <c r="Z1" s="342"/>
      <c r="AA1" s="343" t="s">
        <v>304</v>
      </c>
      <c r="AB1" s="344"/>
      <c r="AC1" s="345"/>
      <c r="AD1" s="346" t="s">
        <v>32</v>
      </c>
      <c r="AE1" s="347"/>
      <c r="AF1" s="55"/>
      <c r="AG1" s="322" t="s">
        <v>303</v>
      </c>
      <c r="AH1" s="323"/>
      <c r="AI1" s="324"/>
      <c r="AJ1" s="325"/>
      <c r="AK1" s="325"/>
      <c r="AL1" s="69" t="s">
        <v>302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301</v>
      </c>
      <c r="D2" s="327">
        <v>5161537000</v>
      </c>
      <c r="E2" s="328"/>
      <c r="F2" s="329"/>
      <c r="G2" s="330"/>
      <c r="H2" s="3" t="s">
        <v>300</v>
      </c>
      <c r="I2" s="331">
        <f>D2*1</f>
        <v>5161537000</v>
      </c>
      <c r="J2" s="329"/>
      <c r="K2" s="129" t="s">
        <v>299</v>
      </c>
      <c r="L2" s="130" t="s">
        <v>298</v>
      </c>
      <c r="M2" s="332">
        <v>45908.666666666664</v>
      </c>
      <c r="N2" s="332"/>
      <c r="O2" s="332"/>
      <c r="P2" s="332"/>
      <c r="Q2" s="131" t="s">
        <v>297</v>
      </c>
      <c r="R2" s="131"/>
      <c r="S2" s="131"/>
      <c r="T2" s="94"/>
      <c r="U2" s="132"/>
      <c r="V2" s="132"/>
      <c r="W2" s="133"/>
      <c r="X2" s="134"/>
      <c r="Y2" s="377">
        <v>2878500000</v>
      </c>
      <c r="Z2" s="377"/>
      <c r="AA2" s="334">
        <f>I1</f>
        <v>5439217000</v>
      </c>
      <c r="AB2" s="335"/>
      <c r="AC2" s="336"/>
      <c r="AD2" s="337">
        <f>TRUNC(Y2/AA2,4)</f>
        <v>0.5292</v>
      </c>
      <c r="AE2" s="338"/>
      <c r="AF2" s="135"/>
      <c r="AG2" s="322" t="s">
        <v>296</v>
      </c>
      <c r="AH2" s="323"/>
      <c r="AI2" s="324">
        <v>4992656000</v>
      </c>
      <c r="AJ2" s="325"/>
      <c r="AK2" s="325"/>
      <c r="AL2" s="10"/>
      <c r="AM2" s="10"/>
      <c r="AN2" s="11" t="s">
        <v>295</v>
      </c>
      <c r="AP2" s="1"/>
      <c r="AQ2" s="136"/>
      <c r="AR2" s="137" t="s">
        <v>294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293</v>
      </c>
      <c r="B3" s="352" t="s">
        <v>292</v>
      </c>
      <c r="C3" s="354" t="s">
        <v>291</v>
      </c>
      <c r="D3" s="355"/>
      <c r="E3" s="355"/>
      <c r="F3" s="355"/>
      <c r="G3" s="355"/>
      <c r="H3" s="356"/>
      <c r="I3" s="354" t="s">
        <v>290</v>
      </c>
      <c r="J3" s="355"/>
      <c r="K3" s="355"/>
      <c r="L3" s="355"/>
      <c r="M3" s="356"/>
      <c r="N3" s="357" t="s">
        <v>289</v>
      </c>
      <c r="O3" s="359" t="s">
        <v>288</v>
      </c>
      <c r="P3" s="354" t="s">
        <v>287</v>
      </c>
      <c r="Q3" s="355"/>
      <c r="R3" s="361"/>
      <c r="S3" s="361"/>
      <c r="T3" s="355"/>
      <c r="U3" s="356"/>
      <c r="V3" s="209"/>
      <c r="W3" s="354" t="s">
        <v>286</v>
      </c>
      <c r="X3" s="355"/>
      <c r="Y3" s="355"/>
      <c r="Z3" s="355"/>
      <c r="AA3" s="355"/>
      <c r="AB3" s="355"/>
      <c r="AC3" s="355"/>
      <c r="AD3" s="355"/>
      <c r="AE3" s="356"/>
      <c r="AF3" s="207"/>
      <c r="AG3" s="207"/>
      <c r="AH3" s="207"/>
      <c r="AI3" s="207"/>
      <c r="AJ3" s="207"/>
      <c r="AK3" s="208"/>
      <c r="AL3" s="370" t="s">
        <v>285</v>
      </c>
      <c r="AM3" s="366" t="s">
        <v>284</v>
      </c>
      <c r="AN3" s="372" t="s">
        <v>283</v>
      </c>
      <c r="AO3" s="374" t="s">
        <v>282</v>
      </c>
      <c r="AP3" s="376" t="s">
        <v>281</v>
      </c>
      <c r="AQ3" s="362" t="s">
        <v>280</v>
      </c>
      <c r="AR3" s="366" t="s">
        <v>279</v>
      </c>
      <c r="AS3" s="362" t="s">
        <v>278</v>
      </c>
      <c r="AT3" s="362" t="s">
        <v>277</v>
      </c>
      <c r="AU3" s="362" t="s">
        <v>136</v>
      </c>
      <c r="AV3" s="368" t="s">
        <v>276</v>
      </c>
      <c r="AW3" s="362" t="s">
        <v>275</v>
      </c>
      <c r="AX3" s="362" t="s">
        <v>274</v>
      </c>
    </row>
    <row r="4" spans="1:50" s="12" customFormat="1" ht="39.75" customHeight="1" thickBot="1" x14ac:dyDescent="0.2">
      <c r="A4" s="351"/>
      <c r="B4" s="353"/>
      <c r="C4" s="13" t="s">
        <v>273</v>
      </c>
      <c r="D4" s="14" t="s">
        <v>272</v>
      </c>
      <c r="E4" s="15" t="s">
        <v>264</v>
      </c>
      <c r="F4" s="15" t="s">
        <v>271</v>
      </c>
      <c r="G4" s="16" t="s">
        <v>256</v>
      </c>
      <c r="H4" s="209"/>
      <c r="I4" s="17" t="s">
        <v>270</v>
      </c>
      <c r="J4" s="18" t="s">
        <v>269</v>
      </c>
      <c r="K4" s="14" t="s">
        <v>268</v>
      </c>
      <c r="L4" s="14" t="s">
        <v>267</v>
      </c>
      <c r="M4" s="19" t="s">
        <v>256</v>
      </c>
      <c r="N4" s="358"/>
      <c r="O4" s="360"/>
      <c r="P4" s="17" t="s">
        <v>266</v>
      </c>
      <c r="Q4" s="18" t="s">
        <v>265</v>
      </c>
      <c r="R4" s="14" t="s">
        <v>264</v>
      </c>
      <c r="S4" s="14" t="s">
        <v>263</v>
      </c>
      <c r="T4" s="19" t="s">
        <v>256</v>
      </c>
      <c r="U4" s="20" t="s">
        <v>262</v>
      </c>
      <c r="V4" s="21" t="s">
        <v>261</v>
      </c>
      <c r="W4" s="97" t="s">
        <v>260</v>
      </c>
      <c r="X4" s="18" t="s">
        <v>259</v>
      </c>
      <c r="Y4" s="18" t="s">
        <v>258</v>
      </c>
      <c r="Z4" s="18" t="s">
        <v>257</v>
      </c>
      <c r="AA4" s="19" t="s">
        <v>256</v>
      </c>
      <c r="AB4" s="65" t="s">
        <v>255</v>
      </c>
      <c r="AC4" s="127" t="s">
        <v>254</v>
      </c>
      <c r="AD4" s="128" t="s">
        <v>253</v>
      </c>
      <c r="AE4" s="128" t="s">
        <v>252</v>
      </c>
      <c r="AF4" s="117" t="s">
        <v>251</v>
      </c>
      <c r="AG4" s="117" t="s">
        <v>250</v>
      </c>
      <c r="AH4" s="118" t="s">
        <v>249</v>
      </c>
      <c r="AI4" s="119" t="s">
        <v>248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/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21672377000</v>
      </c>
      <c r="X5" s="92"/>
      <c r="Y5" s="33"/>
      <c r="Z5" s="90"/>
      <c r="AA5" s="102"/>
      <c r="AB5" s="124">
        <f>ROUND((((W5*I5)+(X5*J5)+(Y5*K5)+(Z5*L5)+(AA5*M5))/$I$2),2)*13</f>
        <v>54.6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3.8</v>
      </c>
      <c r="AH5" s="115">
        <f>IF((V5+AE5+AF5)&gt;=30,30,(V5+AE5+AF5))</f>
        <v>30</v>
      </c>
      <c r="AI5" s="116">
        <v>65</v>
      </c>
      <c r="AJ5" s="44">
        <f>V5+AE5+AF5+AI5+AG5</f>
        <v>98.8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217</v>
      </c>
      <c r="B6" s="364"/>
      <c r="C6" s="364"/>
      <c r="D6" s="364"/>
      <c r="E6" s="364"/>
      <c r="F6" s="364"/>
      <c r="G6" s="364"/>
      <c r="H6" s="365"/>
      <c r="I6" s="104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/>
      <c r="C7" s="164" t="s">
        <v>247</v>
      </c>
      <c r="D7" s="52" t="s">
        <v>316</v>
      </c>
      <c r="E7" s="51" t="s">
        <v>315</v>
      </c>
      <c r="F7" s="54"/>
      <c r="G7" s="85"/>
      <c r="H7" s="146" t="s">
        <v>245</v>
      </c>
      <c r="I7" s="79">
        <v>0.20699999999999999</v>
      </c>
      <c r="J7" s="26">
        <v>0.4</v>
      </c>
      <c r="K7" s="26">
        <v>0.2</v>
      </c>
      <c r="L7" s="77"/>
      <c r="M7" s="78"/>
      <c r="N7" s="201">
        <f>SUM(I7:M7)</f>
        <v>0.80699999999999994</v>
      </c>
      <c r="O7" s="197">
        <v>1.1000000000000001</v>
      </c>
      <c r="P7" s="80">
        <v>15</v>
      </c>
      <c r="Q7" s="81">
        <v>15</v>
      </c>
      <c r="R7" s="81">
        <v>15</v>
      </c>
      <c r="S7" s="30"/>
      <c r="T7" s="89"/>
      <c r="U7" s="32">
        <f>ROUND(((P7*I7)+(Q7*J7)+(R7*K7)+(S7*L7)+(T7*M7))*O7,2)</f>
        <v>13.32</v>
      </c>
      <c r="V7" s="68">
        <f>IF(U7&gt;=15,15,U7)</f>
        <v>13.32</v>
      </c>
      <c r="W7" s="33">
        <v>1555486000</v>
      </c>
      <c r="X7" s="33">
        <v>14338094000</v>
      </c>
      <c r="Y7" s="33">
        <v>3412721000</v>
      </c>
      <c r="Z7" s="45"/>
      <c r="AA7" s="35"/>
      <c r="AB7" s="36">
        <f>ROUND((((W7*I7)+(X7*J7)+(Y7*K7)+(Z7*L7)+(AA7*M7))/$I$2),2)*13</f>
        <v>17.03</v>
      </c>
      <c r="AC7" s="68">
        <f>IF(AB7&gt;=13,13,AB7)</f>
        <v>13</v>
      </c>
      <c r="AD7" s="192">
        <v>0</v>
      </c>
      <c r="AE7" s="32">
        <f>IF((AC7+AD7)&gt;=15,15,(AC7+AD7))</f>
        <v>13</v>
      </c>
      <c r="AF7" s="61"/>
      <c r="AG7" s="114">
        <v>3.8</v>
      </c>
      <c r="AH7" s="37">
        <f>IF((V7+AE7+AF7)&gt;=30,30,(V7+AE7+AF7))</f>
        <v>26.32</v>
      </c>
      <c r="AI7" s="38">
        <v>65</v>
      </c>
      <c r="AJ7" s="30">
        <f>V7+AE7+AF7+AI7+AG7</f>
        <v>95.11999999999999</v>
      </c>
      <c r="AK7" s="37">
        <f>IF(AH7+AI7+AG7&gt;=95,95,AH7+AI7+AG7)</f>
        <v>95</v>
      </c>
      <c r="AL7" s="39">
        <f>-((50-((176+(45+(50-AH7)))))/200)</f>
        <v>0.97340000000000004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217</v>
      </c>
      <c r="B8" s="364"/>
      <c r="C8" s="364"/>
      <c r="D8" s="364"/>
      <c r="E8" s="364"/>
      <c r="F8" s="364"/>
      <c r="G8" s="364"/>
      <c r="H8" s="365"/>
      <c r="I8" s="104">
        <v>85</v>
      </c>
      <c r="J8" s="104">
        <v>85</v>
      </c>
      <c r="K8" s="104">
        <v>85</v>
      </c>
      <c r="L8" s="104"/>
      <c r="M8" s="104"/>
      <c r="N8" s="107">
        <f>I8*I7+J8*J7+K8*K7+L8*L7+M8*M7</f>
        <v>68.594999999999999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/>
      <c r="C9" s="164" t="s">
        <v>244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7038779000</v>
      </c>
      <c r="X9" s="33"/>
      <c r="Y9" s="33"/>
      <c r="Z9" s="45"/>
      <c r="AA9" s="35"/>
      <c r="AB9" s="36">
        <f>ROUND((((W9*I9)+(X9*J9)+(Y9*K9)+(Z9*L9)+(AA9*M9))/$I$2),2)*13</f>
        <v>17.68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3.8</v>
      </c>
      <c r="AH9" s="37">
        <f>IF((V9+AE9+AF9)&gt;=30,30,(V9+AE9+AF9))</f>
        <v>30</v>
      </c>
      <c r="AI9" s="38">
        <v>65</v>
      </c>
      <c r="AJ9" s="30">
        <f>V9+AE9+AF9+AI9+AG9</f>
        <v>98.8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243</v>
      </c>
      <c r="B10" s="364"/>
      <c r="C10" s="364"/>
      <c r="D10" s="364"/>
      <c r="E10" s="364"/>
      <c r="F10" s="364"/>
      <c r="G10" s="364"/>
      <c r="H10" s="365"/>
      <c r="I10" s="104">
        <v>85</v>
      </c>
      <c r="J10" s="104"/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/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>ROUND(((P11*I11)+(Q11*J11)+(R11*K11)+(S11*L11)+(T11*M11))*O11,2)</f>
        <v>15</v>
      </c>
      <c r="V11" s="68">
        <f>IF(U11&gt;=15,15,U11)</f>
        <v>15</v>
      </c>
      <c r="W11" s="171">
        <v>15563060000</v>
      </c>
      <c r="X11" s="33"/>
      <c r="Y11" s="33"/>
      <c r="Z11" s="45"/>
      <c r="AA11" s="35"/>
      <c r="AB11" s="36">
        <f>ROUND((((W11*I11)+(X11*J11)+(Y11*K11)+(Z11*L11)+(AA11*M11))/$I$2),2)*13</f>
        <v>39.26</v>
      </c>
      <c r="AC11" s="68">
        <f>IF(AB11&gt;=13,13,AB11)</f>
        <v>13</v>
      </c>
      <c r="AD11" s="63">
        <v>2</v>
      </c>
      <c r="AE11" s="32">
        <f>IF((AC11+AD11)&gt;=15,15,(AC11+AD11))</f>
        <v>15</v>
      </c>
      <c r="AF11" s="170"/>
      <c r="AG11" s="114">
        <v>3.8</v>
      </c>
      <c r="AH11" s="37">
        <f>IF((V11+AE11+AF11)&gt;=30,30,(V11+AE11+AF11))</f>
        <v>30</v>
      </c>
      <c r="AI11" s="38">
        <v>65</v>
      </c>
      <c r="AJ11" s="30">
        <f>V11+AE11+AF11+AI11+AG11</f>
        <v>98.8</v>
      </c>
      <c r="AK11" s="37">
        <f>IF(AH11+AI11+AG11&gt;=95,95,AH11+AI11+AG11)</f>
        <v>95</v>
      </c>
      <c r="AL11" s="39">
        <f>-((50-((176+(45+(50-AH11)))))/200)</f>
        <v>0.95499999999999996</v>
      </c>
      <c r="AM11" s="40"/>
      <c r="AN11" s="41">
        <f>100%+AM11</f>
        <v>1</v>
      </c>
      <c r="AO11" s="41">
        <f>100%+AN11</f>
        <v>2</v>
      </c>
      <c r="AP11" s="43"/>
      <c r="AQ11" s="70"/>
      <c r="AR11" s="58"/>
      <c r="AS11" s="58"/>
      <c r="AT11" s="58"/>
      <c r="AU11" s="58"/>
      <c r="AV11" s="59"/>
      <c r="AW11" s="71">
        <f>AR11+AS11+AT11+AU11+AV11</f>
        <v>0</v>
      </c>
      <c r="AX11" s="71">
        <f>(AR11*I11)+(AS11*J11)+(AT11*K11)+(AU11*L11)+(AV11*M11)</f>
        <v>0</v>
      </c>
    </row>
    <row r="12" spans="1:50" s="42" customFormat="1" ht="21.95" customHeight="1" thickBot="1" x14ac:dyDescent="0.2">
      <c r="A12" s="363" t="s">
        <v>242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/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>SUM(I13:M13)</f>
        <v>1</v>
      </c>
      <c r="O13" s="28">
        <v>1</v>
      </c>
      <c r="P13" s="80">
        <v>15</v>
      </c>
      <c r="Q13" s="157"/>
      <c r="R13" s="80"/>
      <c r="S13" s="31"/>
      <c r="T13" s="33"/>
      <c r="U13" s="32">
        <f>ROUND(((P13*I13)+(Q13*J13)+(R13*K13)+(S13*L13)+(T13*M13))*O13,2)</f>
        <v>15</v>
      </c>
      <c r="V13" s="68">
        <f>IF(U13&gt;=15,15,U13)</f>
        <v>15</v>
      </c>
      <c r="W13" s="171">
        <v>11716746000</v>
      </c>
      <c r="X13" s="33"/>
      <c r="Y13" s="34"/>
      <c r="Z13" s="45"/>
      <c r="AA13" s="35"/>
      <c r="AB13" s="36">
        <f>ROUND((((W13*I13)+(X13*J13)+(Y13*K13)+(Z13*L13)+(AA13*M13))/$I$2),2)*13</f>
        <v>29.51</v>
      </c>
      <c r="AC13" s="68">
        <f>IF(AB13&gt;=13,13,AB13)</f>
        <v>13</v>
      </c>
      <c r="AD13" s="63">
        <v>2</v>
      </c>
      <c r="AE13" s="32">
        <f>IF((AC13+AD13)&gt;=15,15,(AC13+AD13))</f>
        <v>15</v>
      </c>
      <c r="AF13" s="170"/>
      <c r="AG13" s="114">
        <v>3.8</v>
      </c>
      <c r="AH13" s="37">
        <f>IF((V13+AE13+AF13)&gt;=30,30,(V13+AE13+AF13))</f>
        <v>30</v>
      </c>
      <c r="AI13" s="38">
        <v>65</v>
      </c>
      <c r="AJ13" s="30">
        <f>V13+AE13+AF13+AI13+AG13</f>
        <v>98.8</v>
      </c>
      <c r="AK13" s="37">
        <f>IF(AH13+AI13+AG13&gt;=95,95,AH13+AI13+AG13)</f>
        <v>95</v>
      </c>
      <c r="AL13" s="39">
        <f>-((50-((176+(45+(50-AH13)))))/200)</f>
        <v>0.95499999999999996</v>
      </c>
      <c r="AM13" s="40"/>
      <c r="AN13" s="41">
        <f>100%+AM13</f>
        <v>1</v>
      </c>
      <c r="AO13" s="41">
        <f>100%+AN13</f>
        <v>2</v>
      </c>
      <c r="AP13" s="43"/>
      <c r="AQ13" s="70"/>
      <c r="AR13" s="58"/>
      <c r="AS13" s="58"/>
      <c r="AT13" s="58"/>
      <c r="AU13" s="58"/>
      <c r="AV13" s="59"/>
      <c r="AW13" s="71">
        <f>AR13+AS13+AT13+AU13+AV13</f>
        <v>0</v>
      </c>
      <c r="AX13" s="71">
        <f>(AR13*I13)+(AS13*J13)+(AT13*K13)+(AU13*L13)+(AV13*M13)</f>
        <v>0</v>
      </c>
    </row>
    <row r="14" spans="1:50" s="42" customFormat="1" ht="21.95" customHeight="1" thickBot="1" x14ac:dyDescent="0.2">
      <c r="A14" s="363" t="s">
        <v>241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168" t="s">
        <v>240</v>
      </c>
      <c r="D15" s="51" t="s">
        <v>239</v>
      </c>
      <c r="E15" s="49"/>
      <c r="F15" s="49"/>
      <c r="G15" s="53"/>
      <c r="H15" s="202" t="s">
        <v>238</v>
      </c>
      <c r="I15" s="215">
        <v>0.50470000000000004</v>
      </c>
      <c r="J15" s="26">
        <v>0.49</v>
      </c>
      <c r="K15" s="96"/>
      <c r="L15" s="77"/>
      <c r="M15" s="78"/>
      <c r="N15" s="201">
        <f>SUM(I15:M15)</f>
        <v>0.99470000000000003</v>
      </c>
      <c r="O15" s="28">
        <v>1</v>
      </c>
      <c r="P15" s="80">
        <v>15</v>
      </c>
      <c r="Q15" s="80">
        <v>15</v>
      </c>
      <c r="R15" s="155"/>
      <c r="S15" s="31"/>
      <c r="T15" s="89"/>
      <c r="U15" s="32">
        <f>ROUND(((P15*I15)+(Q15*J15)+(R15*K15)+(S15*L15)+(T15*M15))*O15,2)</f>
        <v>14.92</v>
      </c>
      <c r="V15" s="68">
        <f>IF(U15&gt;=15,15,U15)</f>
        <v>14.92</v>
      </c>
      <c r="W15" s="172">
        <v>7643696000</v>
      </c>
      <c r="X15" s="172">
        <v>14294711000</v>
      </c>
      <c r="Y15" s="33"/>
      <c r="Z15" s="45"/>
      <c r="AA15" s="35"/>
      <c r="AB15" s="36">
        <f>ROUND((((W15*I15)+(X15*J15)+(Y15*K15)+(Z15*L15)+(AA15*M15))/$I$2),2)*13</f>
        <v>27.3</v>
      </c>
      <c r="AC15" s="68">
        <f>IF(AB15&gt;=13,13,AB15)</f>
        <v>13</v>
      </c>
      <c r="AD15" s="192">
        <v>1.5</v>
      </c>
      <c r="AE15" s="32">
        <f>IF((AC15+AD15)&gt;=15,15,(AC15+AD15))</f>
        <v>14.5</v>
      </c>
      <c r="AF15" s="61"/>
      <c r="AG15" s="114">
        <v>3.8</v>
      </c>
      <c r="AH15" s="37">
        <f>IF((V15+AE15+AF15)&gt;=30,30,(V15+AE15+AF15))</f>
        <v>29.42</v>
      </c>
      <c r="AI15" s="38">
        <v>65</v>
      </c>
      <c r="AJ15" s="30">
        <f>V15+AE15+AF15+AI15+AG15</f>
        <v>98.22</v>
      </c>
      <c r="AK15" s="37">
        <f>IF(AH15+AI15+AG15&gt;=95,95,AH15+AI15+AG15)</f>
        <v>95</v>
      </c>
      <c r="AL15" s="39">
        <f>-((50-((176+(45+(50-AH15)))))/200)</f>
        <v>0.95789999999999997</v>
      </c>
      <c r="AM15" s="40"/>
      <c r="AN15" s="41">
        <f>100%+AM15</f>
        <v>1</v>
      </c>
      <c r="AO15" s="41">
        <f>100%+AN15</f>
        <v>2</v>
      </c>
      <c r="AP15" s="43"/>
      <c r="AQ15" s="70"/>
      <c r="AR15" s="58"/>
      <c r="AS15" s="58"/>
      <c r="AT15" s="58"/>
      <c r="AU15" s="58"/>
      <c r="AV15" s="59"/>
      <c r="AW15" s="71">
        <f>AR15+AS15+AT15+AU15+AV15</f>
        <v>0</v>
      </c>
      <c r="AX15" s="71">
        <f>(AR15*I15)+(AS15*J15)+(AT15*K15)+(AU15*L15)+(AV15*M15)</f>
        <v>0</v>
      </c>
    </row>
    <row r="16" spans="1:50" s="42" customFormat="1" ht="21.95" customHeight="1" thickBot="1" x14ac:dyDescent="0.2">
      <c r="A16" s="363" t="s">
        <v>221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84.549499999999995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49" t="s">
        <v>237</v>
      </c>
      <c r="D17" s="51" t="s">
        <v>236</v>
      </c>
      <c r="E17" s="49"/>
      <c r="F17" s="49"/>
      <c r="G17" s="53"/>
      <c r="H17" s="140" t="s">
        <v>235</v>
      </c>
      <c r="I17" s="79">
        <v>0.6</v>
      </c>
      <c r="J17" s="193">
        <v>0.30499999999999999</v>
      </c>
      <c r="K17" s="26"/>
      <c r="L17" s="77"/>
      <c r="M17" s="78"/>
      <c r="N17" s="201">
        <f>SUM(I17:M17)</f>
        <v>0.90500000000000003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>ROUND(((P17*I17)+(Q17*J17)+(R17*K17)+(S17*L17)+(T17*M17))*O17,2)</f>
        <v>13.58</v>
      </c>
      <c r="V17" s="68">
        <f>IF(U17&gt;=15,15,U17)</f>
        <v>13.58</v>
      </c>
      <c r="W17" s="172">
        <v>129427822000</v>
      </c>
      <c r="X17" s="172">
        <v>2682494000</v>
      </c>
      <c r="Y17" s="33"/>
      <c r="Z17" s="45"/>
      <c r="AA17" s="35"/>
      <c r="AB17" s="36">
        <f>ROUND((((W17*I17)+(X17*J17)+(Y17*K17)+(Z17*L17)+(AA17*M17))/$I$2),2)*13</f>
        <v>197.6</v>
      </c>
      <c r="AC17" s="68">
        <f>IF(AB17&gt;=13,13,AB17)</f>
        <v>13</v>
      </c>
      <c r="AD17" s="192">
        <v>0</v>
      </c>
      <c r="AE17" s="32">
        <f>IF((AC17+AD17)&gt;=15,15,(AC17+AD17))</f>
        <v>13</v>
      </c>
      <c r="AF17" s="56"/>
      <c r="AG17" s="114">
        <v>3.8</v>
      </c>
      <c r="AH17" s="37">
        <f>IF((V17+AE17+AF17)&gt;=30,30,(V17+AE17+AF17))</f>
        <v>26.58</v>
      </c>
      <c r="AI17" s="38">
        <v>65</v>
      </c>
      <c r="AJ17" s="30">
        <f>V17+AE17+AF17+AI17+AG17</f>
        <v>95.38</v>
      </c>
      <c r="AK17" s="37">
        <f>IF(AH17+AI17+AG17&gt;=95,95,AH17+AI17+AG17)</f>
        <v>95</v>
      </c>
      <c r="AL17" s="39">
        <f>-((50-((176+(45+(50-AH17)))))/200)</f>
        <v>0.97210000000000008</v>
      </c>
      <c r="AM17" s="40"/>
      <c r="AN17" s="41">
        <f>100%+AM17</f>
        <v>1</v>
      </c>
      <c r="AO17" s="41">
        <f>100%+AN17</f>
        <v>2</v>
      </c>
      <c r="AP17" s="43"/>
      <c r="AQ17" s="70"/>
      <c r="AR17" s="58"/>
      <c r="AS17" s="58"/>
      <c r="AT17" s="58"/>
      <c r="AU17" s="58"/>
      <c r="AV17" s="59"/>
      <c r="AW17" s="71">
        <f>AR17+AS17+AT17+AU17+AV17</f>
        <v>0</v>
      </c>
      <c r="AX17" s="71">
        <f>(AR17*I17)+(AS17*J17)+(AT17*K17)+(AU17*L17)+(AV17*M17)</f>
        <v>0</v>
      </c>
    </row>
    <row r="18" spans="1:50" s="42" customFormat="1" ht="21.95" customHeight="1" thickBot="1" x14ac:dyDescent="0.2">
      <c r="A18" s="363" t="s">
        <v>221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76.924999999999997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/>
      <c r="C19" s="165" t="s">
        <v>234</v>
      </c>
      <c r="D19" s="51" t="s">
        <v>233</v>
      </c>
      <c r="E19" s="49"/>
      <c r="F19" s="49"/>
      <c r="G19" s="53"/>
      <c r="H19" s="203" t="s">
        <v>232</v>
      </c>
      <c r="I19" s="79">
        <v>0.7</v>
      </c>
      <c r="J19" s="193">
        <v>0.19400000000000001</v>
      </c>
      <c r="K19" s="26"/>
      <c r="L19" s="77"/>
      <c r="M19" s="78"/>
      <c r="N19" s="201">
        <f>SUM(I19:M19)</f>
        <v>0.89399999999999991</v>
      </c>
      <c r="O19" s="28">
        <v>1</v>
      </c>
      <c r="P19" s="80">
        <v>15</v>
      </c>
      <c r="Q19" s="80">
        <v>15</v>
      </c>
      <c r="R19" s="155"/>
      <c r="S19" s="31"/>
      <c r="T19" s="89"/>
      <c r="U19" s="32">
        <f>ROUND(((P19*I19)+(Q19*J19)+(R19*K19)+(S19*L19)+(T19*M19))*O19,2)</f>
        <v>13.41</v>
      </c>
      <c r="V19" s="68">
        <f>IF(U19&gt;=15,15,U19)</f>
        <v>13.41</v>
      </c>
      <c r="W19" s="172">
        <v>109829864000</v>
      </c>
      <c r="X19" s="172">
        <v>483084000</v>
      </c>
      <c r="Y19" s="33"/>
      <c r="Z19" s="45"/>
      <c r="AA19" s="35"/>
      <c r="AB19" s="36">
        <f>ROUND((((W19*I19)+(X19*J19)+(Y19*K19)+(Z19*L19)+(AA19*M19))/$I$2),2)*13</f>
        <v>193.83</v>
      </c>
      <c r="AC19" s="68">
        <f>IF(AB19&gt;=13,13,AB19)</f>
        <v>13</v>
      </c>
      <c r="AD19" s="192">
        <v>0</v>
      </c>
      <c r="AE19" s="32">
        <f>IF((AC19+AD19)&gt;=15,15,(AC19+AD19))</f>
        <v>13</v>
      </c>
      <c r="AF19" s="56"/>
      <c r="AG19" s="114">
        <v>3.8</v>
      </c>
      <c r="AH19" s="37">
        <f>IF((V19+AE19+AF19)&gt;=30,30,(V19+AE19+AF19))</f>
        <v>26.41</v>
      </c>
      <c r="AI19" s="38">
        <v>65</v>
      </c>
      <c r="AJ19" s="30">
        <f>V19+AE19+AF19+AI19+AG19</f>
        <v>95.21</v>
      </c>
      <c r="AK19" s="37">
        <f>IF(AH19+AI19+AG19&gt;=95,95,AH19+AI19+AG19)</f>
        <v>95</v>
      </c>
      <c r="AL19" s="39">
        <f>-((50-((176+(45+(50-AH19)))))/200)</f>
        <v>0.97294999999999998</v>
      </c>
      <c r="AM19" s="40"/>
      <c r="AN19" s="41">
        <f>100%+AM19</f>
        <v>1</v>
      </c>
      <c r="AO19" s="41">
        <f>100%+AN19</f>
        <v>2</v>
      </c>
      <c r="AP19" s="43"/>
      <c r="AQ19" s="70"/>
      <c r="AR19" s="58"/>
      <c r="AS19" s="58"/>
      <c r="AT19" s="58"/>
      <c r="AU19" s="58"/>
      <c r="AV19" s="59"/>
      <c r="AW19" s="71">
        <f>AR19+AS19+AT19+AU19+AV19</f>
        <v>0</v>
      </c>
      <c r="AX19" s="71">
        <f>(AR19*I19)+(AS19*J19)+(AT19*K19)+(AU19*L19)+(AV19*M19)</f>
        <v>0</v>
      </c>
    </row>
    <row r="20" spans="1:50" s="42" customFormat="1" ht="21.95" customHeight="1" thickBot="1" x14ac:dyDescent="0.2">
      <c r="A20" s="363" t="s">
        <v>221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75.989999999999995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/>
      <c r="C21" s="168" t="s">
        <v>231</v>
      </c>
      <c r="D21" s="200" t="s">
        <v>230</v>
      </c>
      <c r="E21" s="51" t="s">
        <v>229</v>
      </c>
      <c r="F21" s="49"/>
      <c r="G21" s="53"/>
      <c r="H21" s="203" t="s">
        <v>228</v>
      </c>
      <c r="I21" s="79">
        <v>0.6</v>
      </c>
      <c r="J21" s="193">
        <v>0.107</v>
      </c>
      <c r="K21" s="96">
        <v>0.25</v>
      </c>
      <c r="L21" s="26"/>
      <c r="M21" s="62"/>
      <c r="N21" s="201">
        <f>SUM(I21:M21)</f>
        <v>0.95699999999999996</v>
      </c>
      <c r="O21" s="28">
        <v>1</v>
      </c>
      <c r="P21" s="80">
        <v>15</v>
      </c>
      <c r="Q21" s="80">
        <v>15</v>
      </c>
      <c r="R21" s="81">
        <v>15</v>
      </c>
      <c r="S21" s="30"/>
      <c r="T21" s="31"/>
      <c r="U21" s="32">
        <f>ROUND(((P21*I21)+(Q21*J21)+(R21*K21)+(S21*L21)+(T21*M21))*O21,2)</f>
        <v>14.36</v>
      </c>
      <c r="V21" s="68">
        <f>IF(U21&gt;=15,15,U21)</f>
        <v>14.36</v>
      </c>
      <c r="W21" s="214">
        <v>14559047000</v>
      </c>
      <c r="X21" s="213">
        <v>517643000</v>
      </c>
      <c r="Y21" s="172">
        <v>6158057000</v>
      </c>
      <c r="Z21" s="172"/>
      <c r="AA21" s="35"/>
      <c r="AB21" s="36">
        <f>ROUND((((W21*I21)+(X21*J21)+(Y21*K21)+(Z21*L21)+(AA21*M21))/$I$2),2)*13</f>
        <v>26</v>
      </c>
      <c r="AC21" s="68">
        <f>IF(AB21&gt;=13,13,AB21)</f>
        <v>13</v>
      </c>
      <c r="AD21" s="192">
        <v>1</v>
      </c>
      <c r="AE21" s="32">
        <f>IF((AC21+AD21)&gt;=15,15,(AC21+AD21))</f>
        <v>14</v>
      </c>
      <c r="AF21" s="56"/>
      <c r="AG21" s="114">
        <v>3.8</v>
      </c>
      <c r="AH21" s="37">
        <f>IF((V21+AE21+AF21)&gt;=30,30,(V21+AE21+AF21))</f>
        <v>28.36</v>
      </c>
      <c r="AI21" s="38">
        <v>65</v>
      </c>
      <c r="AJ21" s="30">
        <f>V21+AE21+AF21+AI21+AG21</f>
        <v>97.16</v>
      </c>
      <c r="AK21" s="37">
        <f>IF(AH21+AI21+AG21&gt;=95,95,AH21+AI21+AG21)</f>
        <v>95</v>
      </c>
      <c r="AL21" s="39">
        <f>-((50-((176+(45+(50-AH21)))))/200)</f>
        <v>0.96319999999999995</v>
      </c>
      <c r="AM21" s="40"/>
      <c r="AN21" s="41">
        <f>100%+AM21</f>
        <v>1</v>
      </c>
      <c r="AO21" s="41">
        <f>100%+AN21</f>
        <v>2</v>
      </c>
      <c r="AP21" s="43"/>
      <c r="AQ21" s="70"/>
      <c r="AR21" s="58"/>
      <c r="AS21" s="58"/>
      <c r="AT21" s="58"/>
      <c r="AU21" s="58"/>
      <c r="AV21" s="59"/>
      <c r="AW21" s="71">
        <f>AR21+AS21+AT21+AU21+AV21</f>
        <v>0</v>
      </c>
      <c r="AX21" s="71">
        <f>(AR21*I21)+(AS21*J21)+(AT21*K21)+(AU21*L21)+(AV21*M21)</f>
        <v>0</v>
      </c>
    </row>
    <row r="22" spans="1:50" s="42" customFormat="1" ht="21.95" customHeight="1" thickBot="1" x14ac:dyDescent="0.2">
      <c r="A22" s="363" t="s">
        <v>221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>
        <v>85</v>
      </c>
      <c r="L22" s="104"/>
      <c r="M22" s="104"/>
      <c r="N22" s="107">
        <f>I22*I21+J22*J21+K22*K21+L22*L21+M22*M21</f>
        <v>81.344999999999999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/>
      <c r="C23" s="165" t="s">
        <v>227</v>
      </c>
      <c r="D23" s="50" t="s">
        <v>226</v>
      </c>
      <c r="E23" s="49"/>
      <c r="F23" s="49"/>
      <c r="G23" s="53"/>
      <c r="H23" s="203" t="s">
        <v>225</v>
      </c>
      <c r="I23" s="79">
        <v>0.7</v>
      </c>
      <c r="J23" s="193">
        <v>0.19</v>
      </c>
      <c r="K23" s="83"/>
      <c r="L23" s="26"/>
      <c r="M23" s="62"/>
      <c r="N23" s="201">
        <f>SUM(I23:M23)</f>
        <v>0.8899999999999999</v>
      </c>
      <c r="O23" s="28">
        <v>1</v>
      </c>
      <c r="P23" s="80">
        <v>15</v>
      </c>
      <c r="Q23" s="80">
        <v>15</v>
      </c>
      <c r="R23" s="81"/>
      <c r="S23" s="30"/>
      <c r="T23" s="31"/>
      <c r="U23" s="32">
        <f>ROUND(((P23*I23)+(Q23*J23)+(R23*K23)+(S23*L23)+(T23*M23))*O23,2)</f>
        <v>13.35</v>
      </c>
      <c r="V23" s="68">
        <f>IF(U23&gt;=15,15,U23)</f>
        <v>13.35</v>
      </c>
      <c r="W23" s="172">
        <v>25134355000</v>
      </c>
      <c r="X23" s="213">
        <v>222174000</v>
      </c>
      <c r="Y23" s="172"/>
      <c r="Z23" s="48"/>
      <c r="AA23" s="35"/>
      <c r="AB23" s="36">
        <f>ROUND((((W23*I23)+(X23*J23)+(Y23*K23)+(Z23*L23)+(AA23*M23))/$I$2),2)*13</f>
        <v>44.46</v>
      </c>
      <c r="AC23" s="68">
        <f>IF(AB23&gt;=13,13,AB23)</f>
        <v>13</v>
      </c>
      <c r="AD23" s="192">
        <v>0</v>
      </c>
      <c r="AE23" s="32">
        <f>IF((AC23+AD23)&gt;=15,15,(AC23+AD23))</f>
        <v>13</v>
      </c>
      <c r="AF23" s="56"/>
      <c r="AG23" s="204">
        <v>3.8</v>
      </c>
      <c r="AH23" s="37">
        <f>IF((V23+AE23+AF23)&gt;=30,30,(V23+AE23+AF23))</f>
        <v>26.35</v>
      </c>
      <c r="AI23" s="38">
        <v>65</v>
      </c>
      <c r="AJ23" s="30">
        <f>V23+AE23+AF23+AI23+AG23</f>
        <v>95.149999999999991</v>
      </c>
      <c r="AK23" s="37">
        <f>IF(AH23+AI23+AG23&gt;=95,95,AH23+AI23+AG23)</f>
        <v>95</v>
      </c>
      <c r="AL23" s="39">
        <f>-((50-((176+(45+(50-AH23)))))/200)</f>
        <v>0.97325000000000006</v>
      </c>
      <c r="AM23" s="40"/>
      <c r="AN23" s="41">
        <f>100%+AM23</f>
        <v>1</v>
      </c>
      <c r="AO23" s="41">
        <f>100%+AN23</f>
        <v>2</v>
      </c>
      <c r="AP23" s="43"/>
      <c r="AQ23" s="70"/>
      <c r="AR23" s="58"/>
      <c r="AS23" s="58"/>
      <c r="AT23" s="58"/>
      <c r="AU23" s="58"/>
      <c r="AV23" s="59"/>
      <c r="AW23" s="71">
        <f>AR23+AS23+AT23+AU23+AV23</f>
        <v>0</v>
      </c>
      <c r="AX23" s="71">
        <f>(AR23*I23)+(AS23*J23)+(AT23*K23)+(AU23*L23)+(AV23*M23)</f>
        <v>0</v>
      </c>
    </row>
    <row r="24" spans="1:50" s="42" customFormat="1" ht="21.95" customHeight="1" thickBot="1" x14ac:dyDescent="0.2">
      <c r="A24" s="363" t="s">
        <v>221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04">
        <v>85</v>
      </c>
      <c r="K24" s="104"/>
      <c r="L24" s="104"/>
      <c r="M24" s="104"/>
      <c r="N24" s="107">
        <f>I24*I23+J24*J23+K24*K23+L24*L23+M24*M23</f>
        <v>75.649999999999991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52"/>
      <c r="C25" s="168" t="s">
        <v>224</v>
      </c>
      <c r="D25" s="51" t="s">
        <v>223</v>
      </c>
      <c r="E25" s="206"/>
      <c r="F25" s="49"/>
      <c r="G25" s="53"/>
      <c r="H25" s="203" t="s">
        <v>222</v>
      </c>
      <c r="I25" s="215">
        <v>0.42799999999999999</v>
      </c>
      <c r="J25" s="26">
        <v>0.49</v>
      </c>
      <c r="K25" s="26"/>
      <c r="L25" s="26"/>
      <c r="M25" s="62"/>
      <c r="N25" s="201">
        <f>SUM(I25:M25)</f>
        <v>0.91799999999999993</v>
      </c>
      <c r="O25" s="28">
        <v>1</v>
      </c>
      <c r="P25" s="29">
        <v>15</v>
      </c>
      <c r="Q25" s="181">
        <v>15</v>
      </c>
      <c r="R25" s="181"/>
      <c r="S25" s="30"/>
      <c r="T25" s="31"/>
      <c r="U25" s="32">
        <f>ROUND(((P25*I25)+(Q25*J25)+(R25*K25)+(S25*L25)+(T25*M25))*O25,2)</f>
        <v>13.77</v>
      </c>
      <c r="V25" s="68">
        <f>IF(U25&gt;=15,15,U25)</f>
        <v>13.77</v>
      </c>
      <c r="W25" s="82">
        <v>3966791000</v>
      </c>
      <c r="X25" s="33">
        <v>8200197000</v>
      </c>
      <c r="Y25" s="172"/>
      <c r="Z25" s="48"/>
      <c r="AA25" s="35"/>
      <c r="AB25" s="36">
        <f>ROUND((((W25*I25)+(X25*J25)+(Y25*K25)+(Z25*L25)+(AA25*M25))/$I$2),2)*13</f>
        <v>14.430000000000001</v>
      </c>
      <c r="AC25" s="68">
        <f>IF(AB25&gt;=13,13,AB25)</f>
        <v>13</v>
      </c>
      <c r="AD25" s="192">
        <v>0</v>
      </c>
      <c r="AE25" s="32">
        <f>IF((AC25+AD25)&gt;=15,15,(AC25+AD25))</f>
        <v>13</v>
      </c>
      <c r="AF25" s="155"/>
      <c r="AG25" s="204">
        <v>3.8</v>
      </c>
      <c r="AH25" s="37">
        <f>IF((V25+AE25+AF25)&gt;=30,30,(V25+AE25+AF25))</f>
        <v>26.77</v>
      </c>
      <c r="AI25" s="38">
        <v>65</v>
      </c>
      <c r="AJ25" s="30">
        <f>V25+AE25+AF25+AI25+AG25</f>
        <v>95.57</v>
      </c>
      <c r="AK25" s="37">
        <f>IF(AH25+AI25+AG25&gt;=95,95,AH25+AI25+AG25)</f>
        <v>95</v>
      </c>
      <c r="AL25" s="39">
        <f>-((50-((176+(45+(50-AH25)))))/200)</f>
        <v>0.97115000000000007</v>
      </c>
      <c r="AM25" s="40"/>
      <c r="AN25" s="41">
        <f>100%+AM25</f>
        <v>1</v>
      </c>
      <c r="AO25" s="41">
        <f>100%+AN25</f>
        <v>2</v>
      </c>
      <c r="AP25" s="43"/>
      <c r="AQ25" s="70"/>
      <c r="AR25" s="58"/>
      <c r="AS25" s="58"/>
      <c r="AT25" s="58"/>
      <c r="AU25" s="58"/>
      <c r="AV25" s="59"/>
      <c r="AW25" s="71">
        <f>AR25+AS25+AT25+AU25+AV25</f>
        <v>0</v>
      </c>
      <c r="AX25" s="71">
        <f>(AR25*I25)+(AS25*J25)+(AT25*K25)+(AU25*L25)+(AV25*M25)</f>
        <v>0</v>
      </c>
    </row>
    <row r="26" spans="1:50" s="42" customFormat="1" ht="21.95" customHeight="1" thickBot="1" x14ac:dyDescent="0.2">
      <c r="A26" s="363" t="s">
        <v>221</v>
      </c>
      <c r="B26" s="364"/>
      <c r="C26" s="364"/>
      <c r="D26" s="364"/>
      <c r="E26" s="364"/>
      <c r="F26" s="364"/>
      <c r="G26" s="364"/>
      <c r="H26" s="365"/>
      <c r="I26" s="153">
        <v>85</v>
      </c>
      <c r="J26" s="104">
        <v>85</v>
      </c>
      <c r="K26" s="104"/>
      <c r="L26" s="104"/>
      <c r="M26" s="104"/>
      <c r="N26" s="107">
        <f>I26*I25+J26*J25+K26*K25+L26*L25+M26*M25</f>
        <v>78.03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2">
        <v>12</v>
      </c>
      <c r="B27" s="23"/>
      <c r="C27" s="168" t="s">
        <v>220</v>
      </c>
      <c r="D27" s="51" t="s">
        <v>219</v>
      </c>
      <c r="E27" s="49"/>
      <c r="F27" s="49"/>
      <c r="G27" s="53"/>
      <c r="H27" s="203" t="s">
        <v>218</v>
      </c>
      <c r="I27" s="25">
        <v>0.7</v>
      </c>
      <c r="J27" s="193">
        <v>0.19600000000000001</v>
      </c>
      <c r="K27" s="26"/>
      <c r="L27" s="26"/>
      <c r="M27" s="62"/>
      <c r="N27" s="201">
        <f>SUM(I27:M27)</f>
        <v>0.89599999999999991</v>
      </c>
      <c r="O27" s="28">
        <v>1</v>
      </c>
      <c r="P27" s="29">
        <v>15</v>
      </c>
      <c r="Q27" s="30">
        <v>15</v>
      </c>
      <c r="R27" s="56"/>
      <c r="S27" s="30"/>
      <c r="T27" s="31"/>
      <c r="U27" s="32">
        <f>ROUND(((P27*I27)+(Q27*J27)+(R27*K27)+(S27*L27)+(T27*M27))*O27,2)</f>
        <v>13.44</v>
      </c>
      <c r="V27" s="68">
        <f>IF(U27&gt;=15,15,U27)</f>
        <v>13.44</v>
      </c>
      <c r="W27" s="82">
        <v>56126180000</v>
      </c>
      <c r="X27" s="172">
        <v>1466594000</v>
      </c>
      <c r="Y27" s="33"/>
      <c r="Z27" s="48"/>
      <c r="AA27" s="35"/>
      <c r="AB27" s="36">
        <f>ROUND((((W27*I27)+(X27*J27)+(Y27*K27)+(Z27*L27)+(AA27*M27))/$I$2),2)*13</f>
        <v>99.71</v>
      </c>
      <c r="AC27" s="68">
        <f>IF(AB27&gt;=13,13,AB27)</f>
        <v>13</v>
      </c>
      <c r="AD27" s="192">
        <v>0</v>
      </c>
      <c r="AE27" s="32">
        <f>IF((AC27+AD27)&gt;=15,15,(AC27+AD27))</f>
        <v>13</v>
      </c>
      <c r="AF27" s="56"/>
      <c r="AG27" s="56">
        <v>3.8</v>
      </c>
      <c r="AH27" s="37">
        <f>IF((V27+AE27+AF27)&gt;=30,30,(V27+AE27+AF27))</f>
        <v>26.439999999999998</v>
      </c>
      <c r="AI27" s="38">
        <v>65</v>
      </c>
      <c r="AJ27" s="30">
        <f>V27+AE27+AF27+AI27+AG27</f>
        <v>95.24</v>
      </c>
      <c r="AK27" s="37">
        <f>IF(AH27+AI27+AG27&gt;=95,95,AH27+AI27+AG27)</f>
        <v>95</v>
      </c>
      <c r="AL27" s="39">
        <f>-((50-((176+(45+(50-AH27)))))/200)</f>
        <v>0.9728</v>
      </c>
      <c r="AM27" s="40"/>
      <c r="AN27" s="41">
        <f>100%+AM27</f>
        <v>1</v>
      </c>
      <c r="AO27" s="41">
        <f>100%+AN27</f>
        <v>2</v>
      </c>
      <c r="AP27" s="43"/>
      <c r="AQ27" s="70"/>
      <c r="AR27" s="58"/>
      <c r="AS27" s="58"/>
      <c r="AT27" s="58"/>
      <c r="AU27" s="58"/>
      <c r="AV27" s="59"/>
      <c r="AW27" s="71">
        <f>AR27+AS27+AT27+AU27+AV27</f>
        <v>0</v>
      </c>
      <c r="AX27" s="71">
        <f>(AR27*I27)+(AS27*J27)+(AT27*K27)+(AU27*L27)+(AV27*M27)</f>
        <v>0</v>
      </c>
    </row>
    <row r="28" spans="1:50" s="42" customFormat="1" ht="21.95" customHeight="1" thickBot="1" x14ac:dyDescent="0.2">
      <c r="A28" s="363" t="s">
        <v>217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/>
      <c r="L28" s="104"/>
      <c r="M28" s="104"/>
      <c r="N28" s="107">
        <f>I28*I27+J28*J27+K28*K27+L28*L27+M28*M27</f>
        <v>76.16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51" t="s">
        <v>216</v>
      </c>
      <c r="D29" s="49" t="s">
        <v>215</v>
      </c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>SUM(I29:M29)</f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>ROUND(((P29*I29)+(Q29*J29)+(R29*K29)+(S29*L29)+(T29*M29))*O29,2)</f>
        <v>15</v>
      </c>
      <c r="V29" s="68">
        <f>IF(U29&gt;=15,15,U29)</f>
        <v>15</v>
      </c>
      <c r="W29" s="57">
        <v>4518360000</v>
      </c>
      <c r="X29" s="172">
        <v>63305526000</v>
      </c>
      <c r="Y29" s="45"/>
      <c r="Z29" s="48"/>
      <c r="AA29" s="35"/>
      <c r="AB29" s="36">
        <f>ROUND((((W29*I29)+(X29*J29)+(Y29*K29)+(Z29*L29)+(AA29*M29))/$I$2),2)*13</f>
        <v>83.98</v>
      </c>
      <c r="AC29" s="68">
        <f>IF(AB29&gt;=13,13,AB29)</f>
        <v>13</v>
      </c>
      <c r="AD29" s="63">
        <v>2</v>
      </c>
      <c r="AE29" s="32">
        <f>IF((AC29+AD29)&gt;=15,15,(AC29+AD29))</f>
        <v>15</v>
      </c>
      <c r="AF29" s="56"/>
      <c r="AG29" s="56">
        <v>3.8</v>
      </c>
      <c r="AH29" s="37">
        <f>IF((V29+AE29+AF29)&gt;=30,30,(V29+AE29+AF29))</f>
        <v>30</v>
      </c>
      <c r="AI29" s="38">
        <v>65</v>
      </c>
      <c r="AJ29" s="30">
        <f>V29+AE29+AF29+AI29+AG29</f>
        <v>98.8</v>
      </c>
      <c r="AK29" s="37">
        <f>IF(AH29+AI29+AG29&gt;=95,95,AH29+AI29+AG29)</f>
        <v>95</v>
      </c>
      <c r="AL29" s="39">
        <f>-((50-((176+(45+(50-AH29)))))/200)</f>
        <v>0.95499999999999996</v>
      </c>
      <c r="AM29" s="40"/>
      <c r="AN29" s="41">
        <f>100%+AM29</f>
        <v>1</v>
      </c>
      <c r="AO29" s="41">
        <f>100%+AN29</f>
        <v>2</v>
      </c>
      <c r="AP29" s="43"/>
      <c r="AQ29" s="70"/>
      <c r="AR29" s="58"/>
      <c r="AS29" s="58"/>
      <c r="AT29" s="58"/>
      <c r="AU29" s="58"/>
      <c r="AV29" s="59"/>
      <c r="AW29" s="71">
        <f>AR29+AS29+AT29+AU29+AV29</f>
        <v>0</v>
      </c>
      <c r="AX29" s="71">
        <f>(AR29*I29)+(AS29*J29)+(AT29*K29)+(AU29*L29)+(AV29*M29)</f>
        <v>0</v>
      </c>
    </row>
    <row r="30" spans="1:50" s="42" customFormat="1" ht="21.95" customHeight="1" thickBot="1" x14ac:dyDescent="0.2">
      <c r="A30" s="363" t="s">
        <v>214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/>
      <c r="L30" s="104"/>
      <c r="M30" s="104"/>
      <c r="N30" s="107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/>
      <c r="C31" s="49" t="s">
        <v>207</v>
      </c>
      <c r="D31" s="51" t="s">
        <v>212</v>
      </c>
      <c r="E31" s="49"/>
      <c r="F31" s="49"/>
      <c r="G31" s="53"/>
      <c r="H31" s="203" t="s">
        <v>211</v>
      </c>
      <c r="I31" s="25">
        <v>0.6</v>
      </c>
      <c r="J31" s="193">
        <v>0.32800000000000001</v>
      </c>
      <c r="K31" s="26"/>
      <c r="L31" s="26"/>
      <c r="M31" s="62"/>
      <c r="N31" s="201">
        <f>SUM(I31:M31)</f>
        <v>0.92799999999999994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>ROUND(((P31*I31)+(Q31*J31)+(R31*K31)+(S31*L31)+(T31*M31))*O31,2)</f>
        <v>13.92</v>
      </c>
      <c r="V31" s="68">
        <f>IF(U31&gt;=15,15,U31)</f>
        <v>13.92</v>
      </c>
      <c r="W31" s="217">
        <v>60895199000</v>
      </c>
      <c r="X31" s="60">
        <v>2073378000</v>
      </c>
      <c r="Y31" s="33"/>
      <c r="Z31" s="57"/>
      <c r="AA31" s="35"/>
      <c r="AB31" s="36">
        <f>ROUND((((W31*I31)+(X31*J31)+(Y31*K31)+(Z31*L31)+(AA31*M31))/$I$2),2)*13</f>
        <v>93.73</v>
      </c>
      <c r="AC31" s="68">
        <f>IF(AB31&gt;=13,13,AB31)</f>
        <v>13</v>
      </c>
      <c r="AD31" s="192">
        <v>0</v>
      </c>
      <c r="AE31" s="32">
        <f>IF((AC31+AD31)&gt;=15,15,(AC31+AD31))</f>
        <v>13</v>
      </c>
      <c r="AF31" s="56"/>
      <c r="AG31" s="56">
        <v>3.8</v>
      </c>
      <c r="AH31" s="37">
        <f>IF((V31+AE31+AF31)&gt;=30,30,(V31+AE31+AF31))</f>
        <v>26.92</v>
      </c>
      <c r="AI31" s="38">
        <v>65</v>
      </c>
      <c r="AJ31" s="30">
        <f>V31+AE31+AF31+AI31+AG31</f>
        <v>95.72</v>
      </c>
      <c r="AK31" s="37">
        <f>IF(AH31+AI31+AG31&gt;=95,95,AH31+AI31+AG31)</f>
        <v>95</v>
      </c>
      <c r="AL31" s="39">
        <f>-((50-((176+(45+(50-AH31)))))/200)</f>
        <v>0.97039999999999993</v>
      </c>
      <c r="AM31" s="40"/>
      <c r="AN31" s="41">
        <f>100%+AM31</f>
        <v>1</v>
      </c>
      <c r="AO31" s="41">
        <f>100%+AN31</f>
        <v>2</v>
      </c>
      <c r="AP31" s="43"/>
      <c r="AQ31" s="70"/>
      <c r="AR31" s="58"/>
      <c r="AS31" s="58"/>
      <c r="AT31" s="58"/>
      <c r="AU31" s="58"/>
      <c r="AV31" s="59"/>
      <c r="AW31" s="71">
        <f>AR31+AS31+AT31+AU31+AV31</f>
        <v>0</v>
      </c>
      <c r="AX31" s="71">
        <f>(AR31*I31)+(AS31*J31)+(AT31*K31)+(AU31*L31)+(AV31*M31)</f>
        <v>0</v>
      </c>
    </row>
    <row r="32" spans="1:50" s="42" customFormat="1" ht="21.95" customHeight="1" thickBot="1" x14ac:dyDescent="0.2">
      <c r="A32" s="363" t="s">
        <v>210</v>
      </c>
      <c r="B32" s="364"/>
      <c r="C32" s="364"/>
      <c r="D32" s="364"/>
      <c r="E32" s="364"/>
      <c r="F32" s="364"/>
      <c r="G32" s="364"/>
      <c r="H32" s="365"/>
      <c r="I32" s="153">
        <v>85</v>
      </c>
      <c r="J32" s="104">
        <v>85</v>
      </c>
      <c r="K32" s="104"/>
      <c r="L32" s="104"/>
      <c r="M32" s="104"/>
      <c r="N32" s="107">
        <f>I32*I31+J32*J31+K32*K31+L32*L31+M32*M31</f>
        <v>78.88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199" t="s">
        <v>209</v>
      </c>
      <c r="D33" s="166" t="s">
        <v>311</v>
      </c>
      <c r="E33" s="49"/>
      <c r="F33" s="49"/>
      <c r="G33" s="53"/>
      <c r="H33" s="203"/>
      <c r="I33" s="25">
        <v>0.55000000000000004</v>
      </c>
      <c r="J33" s="106">
        <v>0.45</v>
      </c>
      <c r="K33" s="26"/>
      <c r="L33" s="26"/>
      <c r="M33" s="62"/>
      <c r="N33" s="216">
        <f>SUM(I33:M33)</f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>ROUND(((P33*I33)+(Q33*J33)+(R33*K33)+(S33*L33)+(T33*M33))*O33,2)</f>
        <v>15</v>
      </c>
      <c r="V33" s="68">
        <f>IF(U33&gt;=15,15,U33)</f>
        <v>15</v>
      </c>
      <c r="W33" s="57">
        <v>17785414000</v>
      </c>
      <c r="X33" s="60">
        <v>2705226000</v>
      </c>
      <c r="Y33" s="45"/>
      <c r="Z33" s="48"/>
      <c r="AA33" s="35"/>
      <c r="AB33" s="36">
        <f>ROUND((((W33*I33)+(X33*J33)+(Y33*K33)+(Z33*L33)+(AA33*M33))/$I$2),2)*13</f>
        <v>27.689999999999998</v>
      </c>
      <c r="AC33" s="68">
        <f>IF(AB33&gt;=13,13,AB33)</f>
        <v>13</v>
      </c>
      <c r="AD33" s="63">
        <v>2</v>
      </c>
      <c r="AE33" s="32">
        <f>IF((AC33+AD33)&gt;=15,15,(AC33+AD33))</f>
        <v>15</v>
      </c>
      <c r="AF33" s="56"/>
      <c r="AG33" s="56">
        <v>3.8</v>
      </c>
      <c r="AH33" s="37">
        <f>IF((V33+AE33+AF33)&gt;=30,30,(V33+AE33+AF33))</f>
        <v>30</v>
      </c>
      <c r="AI33" s="38">
        <v>65</v>
      </c>
      <c r="AJ33" s="30">
        <f>V33+AE33+AF33+AI33+AG33</f>
        <v>98.8</v>
      </c>
      <c r="AK33" s="37">
        <f>IF(AH33+AI33+AG33&gt;=95,95,AH33+AI33+AG33)</f>
        <v>95</v>
      </c>
      <c r="AL33" s="39">
        <f>-((50-((176+(45+(50-AH33)))))/200)</f>
        <v>0.95499999999999996</v>
      </c>
      <c r="AM33" s="40"/>
      <c r="AN33" s="41">
        <f>100%+AM33</f>
        <v>1</v>
      </c>
      <c r="AO33" s="41">
        <f>100%+AN33</f>
        <v>2</v>
      </c>
      <c r="AP33" s="43"/>
      <c r="AQ33" s="70"/>
      <c r="AR33" s="58"/>
      <c r="AS33" s="58"/>
      <c r="AT33" s="58"/>
      <c r="AU33" s="58"/>
      <c r="AV33" s="59"/>
      <c r="AW33" s="71">
        <f>AR33+AS33+AT33+AU33+AV33</f>
        <v>0</v>
      </c>
      <c r="AX33" s="71">
        <f>(AR33*I33)+(AS33*J33)+(AT33*K33)+(AU33*L33)+(AV33*M33)</f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153">
        <v>85</v>
      </c>
      <c r="J34" s="104">
        <v>85</v>
      </c>
      <c r="K34" s="104"/>
      <c r="L34" s="104"/>
      <c r="M34" s="104"/>
      <c r="N34" s="107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51" t="s">
        <v>208</v>
      </c>
      <c r="D35" s="49" t="s">
        <v>312</v>
      </c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>SUM(I35:M35)</f>
        <v>1</v>
      </c>
      <c r="O35" s="28">
        <v>1</v>
      </c>
      <c r="P35" s="29">
        <v>15</v>
      </c>
      <c r="Q35" s="181">
        <v>15</v>
      </c>
      <c r="R35" s="30"/>
      <c r="S35" s="30"/>
      <c r="T35" s="31"/>
      <c r="U35" s="32">
        <f>ROUND(((P35*I35)+(Q35*J35)+(R35*K35)+(S35*L35)+(T35*M35))*O35,2)</f>
        <v>15</v>
      </c>
      <c r="V35" s="68">
        <f>IF(U35&gt;=15,15,U35)</f>
        <v>15</v>
      </c>
      <c r="W35" s="57">
        <v>36613423000</v>
      </c>
      <c r="X35" s="60">
        <v>11566060000</v>
      </c>
      <c r="Y35" s="33"/>
      <c r="Z35" s="60"/>
      <c r="AA35" s="35"/>
      <c r="AB35" s="36">
        <f>ROUND((((W35*I35)+(X35*J35)+(Y35*K35)+(Z35*L35)+(AA35*M35))/$I$2),2)*13</f>
        <v>61.36</v>
      </c>
      <c r="AC35" s="68">
        <f>IF(AB35&gt;=13,13,AB35)</f>
        <v>13</v>
      </c>
      <c r="AD35" s="63">
        <v>2</v>
      </c>
      <c r="AE35" s="32">
        <f>IF((AC35+AD35)&gt;=15,15,(AC35+AD35))</f>
        <v>15</v>
      </c>
      <c r="AF35" s="56"/>
      <c r="AG35" s="56">
        <v>3.8</v>
      </c>
      <c r="AH35" s="37">
        <f>IF((V35+AE35+AF35)&gt;=30,30,(V35+AE35+AF35))</f>
        <v>30</v>
      </c>
      <c r="AI35" s="38">
        <v>65</v>
      </c>
      <c r="AJ35" s="30">
        <f>V35+AE35+AF35+AI35+AG35</f>
        <v>98.8</v>
      </c>
      <c r="AK35" s="37">
        <f>IF(AH35+AI35+AG35&gt;=95,95,AH35+AI35+AG35)</f>
        <v>95</v>
      </c>
      <c r="AL35" s="39">
        <f>-((50-((176+(45+(50-AH35)))))/200)</f>
        <v>0.95499999999999996</v>
      </c>
      <c r="AM35" s="40"/>
      <c r="AN35" s="41">
        <f>100%+AM35</f>
        <v>1</v>
      </c>
      <c r="AO35" s="41">
        <f>100%+AN35</f>
        <v>2</v>
      </c>
      <c r="AP35" s="43"/>
      <c r="AQ35" s="70"/>
      <c r="AR35" s="58"/>
      <c r="AS35" s="58"/>
      <c r="AT35" s="58"/>
      <c r="AU35" s="58"/>
      <c r="AV35" s="59"/>
      <c r="AW35" s="71">
        <f>AR35+AS35+AT35+AU35+AV35</f>
        <v>0</v>
      </c>
      <c r="AX35" s="71">
        <f>(AR35*I35)+(AS35*J35)+(AT35*K35)+(AU35*L35)+(AV35*M35)</f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153">
        <v>85</v>
      </c>
      <c r="J36" s="104">
        <v>85</v>
      </c>
      <c r="K36" s="104"/>
      <c r="L36" s="104"/>
      <c r="M36" s="104"/>
      <c r="N36" s="107">
        <f>I36*I35+J36*J35+K36*K35+L36*L35+M36*M35</f>
        <v>85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205">
        <v>17</v>
      </c>
      <c r="B37" s="49"/>
      <c r="C37" s="52" t="s">
        <v>206</v>
      </c>
      <c r="D37" s="51" t="s">
        <v>308</v>
      </c>
      <c r="E37" s="49"/>
      <c r="F37" s="24"/>
      <c r="G37" s="53"/>
      <c r="H37" s="203" t="s">
        <v>309</v>
      </c>
      <c r="I37" s="25">
        <v>0.6</v>
      </c>
      <c r="J37" s="26">
        <v>0.378</v>
      </c>
      <c r="K37" s="26"/>
      <c r="L37" s="26"/>
      <c r="M37" s="62"/>
      <c r="N37" s="27">
        <f>SUM(I37:M37)</f>
        <v>0.97799999999999998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>ROUND(((P37*I37)+(Q37*J37)+(R37*K37)+(S37*L37)+(T37*M37))*O37,2)</f>
        <v>14.67</v>
      </c>
      <c r="V37" s="68">
        <f>IF(U37&gt;=15,15,U37)</f>
        <v>14.67</v>
      </c>
      <c r="W37" s="57">
        <v>15442996000</v>
      </c>
      <c r="X37" s="60">
        <v>3143872000</v>
      </c>
      <c r="Y37" s="45"/>
      <c r="Z37" s="48"/>
      <c r="AA37" s="35"/>
      <c r="AB37" s="36">
        <f>ROUND((((W37*I37)+(X37*J37)+(Y37*K37)+(Z37*L37)+(AA37*M37))/$I$2),2)*13</f>
        <v>26.389999999999997</v>
      </c>
      <c r="AC37" s="68">
        <f>IF(AB37&gt;=13,13,AB37)</f>
        <v>13</v>
      </c>
      <c r="AD37" s="192">
        <v>1.5</v>
      </c>
      <c r="AE37" s="32">
        <f>IF((AC37+AD37)&gt;=15,15,(AC37+AD37))</f>
        <v>14.5</v>
      </c>
      <c r="AF37" s="56"/>
      <c r="AG37" s="56">
        <v>3.8</v>
      </c>
      <c r="AH37" s="37">
        <f>IF((V37+AE37+AF37)&gt;=30,30,(V37+AE37+AF37))</f>
        <v>29.17</v>
      </c>
      <c r="AI37" s="38">
        <v>65</v>
      </c>
      <c r="AJ37" s="30">
        <f>V37+AE37+AF37+AI37+AG37</f>
        <v>97.97</v>
      </c>
      <c r="AK37" s="37">
        <f>IF(AH37+AI37+AG37&gt;=95,95,AH37+AI37+AG37)</f>
        <v>95</v>
      </c>
      <c r="AL37" s="39">
        <f>-((50-((176+(45+(50-AH37)))))/200)</f>
        <v>0.95914999999999995</v>
      </c>
      <c r="AM37" s="40"/>
      <c r="AN37" s="41">
        <f>100%+AM37</f>
        <v>1</v>
      </c>
      <c r="AO37" s="41">
        <f>100%+AN37</f>
        <v>2</v>
      </c>
      <c r="AP37" s="43"/>
      <c r="AQ37" s="70"/>
      <c r="AR37" s="58"/>
      <c r="AS37" s="58"/>
      <c r="AT37" s="58"/>
      <c r="AU37" s="58"/>
      <c r="AV37" s="59"/>
      <c r="AW37" s="71">
        <f>AR37+AS37+AT37+AU37+AV37</f>
        <v>0</v>
      </c>
      <c r="AX37" s="71">
        <f>(AR37*I37)+(AS37*J37)+(AT37*K37)+(AU37*L37)+(AV37*M37)</f>
        <v>0</v>
      </c>
    </row>
    <row r="38" spans="1:50" s="42" customFormat="1" ht="21.95" customHeight="1" thickBot="1" x14ac:dyDescent="0.2">
      <c r="A38" s="363" t="s">
        <v>43</v>
      </c>
      <c r="B38" s="364"/>
      <c r="C38" s="364"/>
      <c r="D38" s="364"/>
      <c r="E38" s="364"/>
      <c r="F38" s="364"/>
      <c r="G38" s="364"/>
      <c r="H38" s="365"/>
      <c r="I38" s="153">
        <v>85</v>
      </c>
      <c r="J38" s="104">
        <v>85</v>
      </c>
      <c r="K38" s="104"/>
      <c r="L38" s="104"/>
      <c r="M38" s="104"/>
      <c r="N38" s="107">
        <f>I38*I37+J38*J37+K38*K37+L38*L37+M38*M37</f>
        <v>83.13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18</v>
      </c>
      <c r="B39" s="49"/>
      <c r="C39" s="165" t="s">
        <v>201</v>
      </c>
      <c r="D39" s="51" t="s">
        <v>246</v>
      </c>
      <c r="E39" s="199" t="s">
        <v>64</v>
      </c>
      <c r="F39" s="49"/>
      <c r="G39" s="53"/>
      <c r="H39" s="203" t="s">
        <v>314</v>
      </c>
      <c r="I39" s="25">
        <v>0.4</v>
      </c>
      <c r="J39" s="26">
        <v>0.24829999999999999</v>
      </c>
      <c r="K39" s="26">
        <v>0.3</v>
      </c>
      <c r="L39" s="26"/>
      <c r="M39" s="62"/>
      <c r="N39" s="201">
        <f>SUM(I39:M39)</f>
        <v>0.94829999999999992</v>
      </c>
      <c r="O39" s="197">
        <v>1.1000000000000001</v>
      </c>
      <c r="P39" s="29">
        <v>15</v>
      </c>
      <c r="Q39" s="30">
        <v>15</v>
      </c>
      <c r="R39" s="30">
        <v>15</v>
      </c>
      <c r="S39" s="30"/>
      <c r="T39" s="31"/>
      <c r="U39" s="32">
        <f>ROUND(((P39*I39)+(Q39*J39)+(R39*K39)+(S39*L39)+(T39*M39))*O39,2)</f>
        <v>15.65</v>
      </c>
      <c r="V39" s="68">
        <f>IF(U39&gt;=15,15,U39)</f>
        <v>15</v>
      </c>
      <c r="W39" s="57">
        <v>3270462000</v>
      </c>
      <c r="X39" s="33">
        <v>2164716000</v>
      </c>
      <c r="Y39" s="45">
        <v>21720797000</v>
      </c>
      <c r="Z39" s="48"/>
      <c r="AA39" s="35"/>
      <c r="AB39" s="36">
        <f>ROUND((((W39*I39)+(X39*J39)+(Y39*K39)+(Z39*L39)+(AA39*M39))/$I$2),2)*13</f>
        <v>21.060000000000002</v>
      </c>
      <c r="AC39" s="68">
        <f>IF(AB39&gt;=13,13,AB39)</f>
        <v>13</v>
      </c>
      <c r="AD39" s="192">
        <v>1</v>
      </c>
      <c r="AE39" s="32">
        <f>IF((AC39+AD39)&gt;=15,15,(AC39+AD39))</f>
        <v>14</v>
      </c>
      <c r="AF39" s="56"/>
      <c r="AG39" s="56">
        <v>3.8</v>
      </c>
      <c r="AH39" s="37">
        <f>IF((V39+AE39+AF39)&gt;=30,30,(V39+AE39+AF39))</f>
        <v>29</v>
      </c>
      <c r="AI39" s="38">
        <v>65</v>
      </c>
      <c r="AJ39" s="30">
        <f>V39+AE39+AF39+AI39+AG39</f>
        <v>97.8</v>
      </c>
      <c r="AK39" s="37">
        <f>IF(AH39+AI39+AG39&gt;=95,95,AH39+AI39+AG39)</f>
        <v>95</v>
      </c>
      <c r="AL39" s="39">
        <f>-((50-((176+(45+(50-AH39)))))/200)</f>
        <v>0.96</v>
      </c>
      <c r="AM39" s="40"/>
      <c r="AN39" s="41">
        <f>100%+AM39</f>
        <v>1</v>
      </c>
      <c r="AO39" s="41">
        <f>100%+AN39</f>
        <v>2</v>
      </c>
      <c r="AP39" s="43"/>
      <c r="AQ39" s="70"/>
      <c r="AR39" s="58"/>
      <c r="AS39" s="58"/>
      <c r="AT39" s="58"/>
      <c r="AU39" s="58"/>
      <c r="AV39" s="59"/>
      <c r="AW39" s="71">
        <f>AR39+AS39+AT39+AU39+AV39</f>
        <v>0</v>
      </c>
      <c r="AX39" s="71">
        <f>(AR39*I39)+(AS39*J39)+(AT39*K39)+(AU39*L39)+(AV39*M39)</f>
        <v>0</v>
      </c>
    </row>
    <row r="40" spans="1:50" s="42" customFormat="1" ht="21.95" customHeight="1" thickBot="1" x14ac:dyDescent="0.2">
      <c r="A40" s="363" t="s">
        <v>43</v>
      </c>
      <c r="B40" s="364"/>
      <c r="C40" s="364"/>
      <c r="D40" s="364"/>
      <c r="E40" s="364"/>
      <c r="F40" s="364"/>
      <c r="G40" s="364"/>
      <c r="H40" s="365"/>
      <c r="I40" s="153">
        <v>85</v>
      </c>
      <c r="J40" s="104">
        <v>85</v>
      </c>
      <c r="K40" s="104">
        <v>85</v>
      </c>
      <c r="L40" s="104"/>
      <c r="M40" s="104"/>
      <c r="N40" s="107">
        <f>I40*I39+J40*J39+K40*K39+L40*L39+M40*M39</f>
        <v>80.605500000000006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205">
        <v>19</v>
      </c>
      <c r="B41" s="49"/>
      <c r="C41" s="51" t="s">
        <v>313</v>
      </c>
      <c r="D41" s="49" t="s">
        <v>213</v>
      </c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>SUM(I41:M41)</f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>ROUND(((P41*I41)+(Q41*J41)+(R41*K41)+(S41*L41)+(T41*M41))*O41,2)</f>
        <v>15</v>
      </c>
      <c r="V41" s="68">
        <f>IF(U41&gt;=15,15,U41)</f>
        <v>15</v>
      </c>
      <c r="W41" s="57">
        <v>3157334000</v>
      </c>
      <c r="X41" s="58">
        <v>36613423000</v>
      </c>
      <c r="Y41" s="60"/>
      <c r="Z41" s="48"/>
      <c r="AA41" s="35"/>
      <c r="AB41" s="36">
        <f>ROUND((((W41*I41)+(X41*J41)+(Y41*K41)+(Z41*L41)+(AA41*M41))/$I$2),2)*13</f>
        <v>49.27</v>
      </c>
      <c r="AC41" s="68">
        <f>IF(AB41&gt;=13,13,AB41)</f>
        <v>13</v>
      </c>
      <c r="AD41" s="63">
        <v>2</v>
      </c>
      <c r="AE41" s="32">
        <f>IF((AC41+AD41)&gt;=15,15,(AC41+AD41))</f>
        <v>15</v>
      </c>
      <c r="AF41" s="56"/>
      <c r="AG41" s="56">
        <v>3.8</v>
      </c>
      <c r="AH41" s="37">
        <f>IF((V41+AE41+AF41)&gt;=30,30,(V41+AE41+AF41))</f>
        <v>30</v>
      </c>
      <c r="AI41" s="38">
        <v>65</v>
      </c>
      <c r="AJ41" s="30">
        <f>V41+AE41+AF41+AI41+AG41</f>
        <v>98.8</v>
      </c>
      <c r="AK41" s="37">
        <f>IF(AH41+AI41+AG41&gt;=95,95,AH41+AI41+AG41)</f>
        <v>95</v>
      </c>
      <c r="AL41" s="39">
        <f>-((50-((176+(45+(50-AH41)))))/200)</f>
        <v>0.95499999999999996</v>
      </c>
      <c r="AM41" s="40"/>
      <c r="AN41" s="41">
        <f>100%+AM41</f>
        <v>1</v>
      </c>
      <c r="AO41" s="41">
        <f>100%+AN41</f>
        <v>2</v>
      </c>
      <c r="AP41" s="43"/>
      <c r="AQ41" s="70"/>
      <c r="AR41" s="58"/>
      <c r="AS41" s="58"/>
      <c r="AT41" s="58"/>
      <c r="AU41" s="58"/>
      <c r="AV41" s="59"/>
      <c r="AW41" s="71">
        <f>AR41+AS41+AT41+AU41+AV41</f>
        <v>0</v>
      </c>
      <c r="AX41" s="71">
        <f>(AR41*I41)+(AS41*J41)+(AT41*K41)+(AU41*L41)+(AV41*M41)</f>
        <v>0</v>
      </c>
    </row>
    <row r="42" spans="1:50" s="42" customFormat="1" ht="21.95" customHeight="1" thickBot="1" x14ac:dyDescent="0.2">
      <c r="A42" s="363" t="s">
        <v>43</v>
      </c>
      <c r="B42" s="364"/>
      <c r="C42" s="364"/>
      <c r="D42" s="364"/>
      <c r="E42" s="364"/>
      <c r="F42" s="364"/>
      <c r="G42" s="364"/>
      <c r="H42" s="365"/>
      <c r="I42" s="153">
        <v>85</v>
      </c>
      <c r="J42" s="104">
        <v>85</v>
      </c>
      <c r="K42" s="104"/>
      <c r="L42" s="104"/>
      <c r="M42" s="104"/>
      <c r="N42" s="107">
        <f>I42*I41+J42*J41+K42*K41+L42*L41+M42*M41</f>
        <v>85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49"/>
      <c r="B43" s="49"/>
      <c r="C43" s="199"/>
      <c r="D43" s="49"/>
      <c r="E43" s="165"/>
      <c r="F43" s="206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74" si="0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ref="U43:U74" si="1">ROUND(((P43*I43)+(Q43*J43)+(R43*K43)+(S43*L43)+(T43*M43))*O43,2)</f>
        <v>15</v>
      </c>
      <c r="V43" s="68">
        <f t="shared" ref="V43:V74" si="2">IF(U43&gt;=15,15,U43)</f>
        <v>15</v>
      </c>
      <c r="W43" s="57"/>
      <c r="X43" s="60"/>
      <c r="Y43" s="45"/>
      <c r="Z43" s="48"/>
      <c r="AA43" s="35"/>
      <c r="AB43" s="36">
        <f t="shared" ref="AB43:AB74" si="3">ROUND((((W43*I43)+(X43*J43)+(Y43*K43)+(Z43*L43)+(AA43*M43))/$I$2),2)*13</f>
        <v>0</v>
      </c>
      <c r="AC43" s="68">
        <f t="shared" ref="AC43:AC74" si="4">IF(AB43&gt;=13,13,AB43)</f>
        <v>0</v>
      </c>
      <c r="AD43" s="63">
        <v>2</v>
      </c>
      <c r="AE43" s="32">
        <f t="shared" ref="AE43:AE74" si="5">IF((AC43+AD43)&gt;=15,15,(AC43+AD43))</f>
        <v>2</v>
      </c>
      <c r="AF43" s="56"/>
      <c r="AG43" s="56"/>
      <c r="AH43" s="37">
        <f t="shared" ref="AH43:AH74" si="6">IF((V43+AE43+AF43)&gt;=30,30,(V43+AE43+AF43))</f>
        <v>17</v>
      </c>
      <c r="AI43" s="38">
        <v>65</v>
      </c>
      <c r="AJ43" s="30">
        <f t="shared" ref="AJ43:AJ74" si="7">V43+AE43+AF43+AI43+AG43</f>
        <v>82</v>
      </c>
      <c r="AK43" s="37">
        <f t="shared" ref="AK43:AK74" si="8">IF(AH43+AI43+AG43&gt;=95,95,AH43+AI43+AG43)</f>
        <v>82</v>
      </c>
      <c r="AL43" s="39">
        <f t="shared" ref="AL43:AL74" si="9">-((50-((176+(45+(50-AH43)))))/200)</f>
        <v>1.02</v>
      </c>
      <c r="AM43" s="40"/>
      <c r="AN43" s="41">
        <f t="shared" ref="AN43:AO62" si="10">100%+AM43</f>
        <v>1</v>
      </c>
      <c r="AO43" s="41">
        <f t="shared" si="10"/>
        <v>2</v>
      </c>
      <c r="AP43" s="43"/>
      <c r="AQ43" s="70"/>
      <c r="AR43" s="58"/>
      <c r="AS43" s="58"/>
      <c r="AT43" s="58"/>
      <c r="AU43" s="58"/>
      <c r="AV43" s="59"/>
      <c r="AW43" s="71">
        <f t="shared" ref="AW43:AW74" si="11">AR43+AS43+AT43+AU43+AV43</f>
        <v>0</v>
      </c>
      <c r="AX43" s="71">
        <f t="shared" ref="AX43:AX74" si="12">(AR43*I43)+(AS43*J43)+(AT43*K43)+(AU43*L43)+(AV43*M43)</f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0"/>
        <v>1</v>
      </c>
      <c r="AO44" s="41">
        <f t="shared" si="10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0"/>
        <v>1</v>
      </c>
      <c r="AO45" s="41">
        <f t="shared" si="10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 t="s">
        <v>60</v>
      </c>
      <c r="D46" s="49" t="s">
        <v>205</v>
      </c>
      <c r="E46" s="51" t="s">
        <v>204</v>
      </c>
      <c r="F46" s="51" t="s">
        <v>203</v>
      </c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0"/>
        <v>1</v>
      </c>
      <c r="AO46" s="41">
        <f t="shared" si="10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199" t="s">
        <v>59</v>
      </c>
      <c r="D47" s="49" t="s">
        <v>202</v>
      </c>
      <c r="E47" s="165" t="s">
        <v>201</v>
      </c>
      <c r="F47" s="166" t="s">
        <v>310</v>
      </c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0"/>
        <v>1</v>
      </c>
      <c r="AO47" s="41">
        <f t="shared" si="10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0"/>
        <v>1</v>
      </c>
      <c r="AO48" s="41">
        <f t="shared" si="10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0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0"/>
        <v>1</v>
      </c>
      <c r="AO49" s="41">
        <f t="shared" si="10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0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0"/>
        <v>1</v>
      </c>
      <c r="AO50" s="41">
        <f t="shared" si="10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0"/>
        <v>1</v>
      </c>
      <c r="AO51" s="41">
        <f t="shared" si="10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0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0"/>
        <v>1</v>
      </c>
      <c r="AO52" s="41">
        <f t="shared" si="10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0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0"/>
        <v>1</v>
      </c>
      <c r="AO53" s="41">
        <f t="shared" si="10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0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0"/>
        <v>1</v>
      </c>
      <c r="AO54" s="41">
        <f t="shared" si="10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0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0"/>
        <v>1</v>
      </c>
      <c r="AO55" s="41">
        <f t="shared" si="10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0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0"/>
        <v>1</v>
      </c>
      <c r="AO56" s="41">
        <f t="shared" si="10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0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0"/>
        <v>1</v>
      </c>
      <c r="AO57" s="41">
        <f t="shared" si="10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0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0"/>
        <v>1</v>
      </c>
      <c r="AO58" s="41">
        <f t="shared" si="10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0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0"/>
        <v>1</v>
      </c>
      <c r="AO59" s="41">
        <f t="shared" si="10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0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0"/>
        <v>1</v>
      </c>
      <c r="AO60" s="41">
        <f t="shared" si="10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0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0"/>
        <v>1</v>
      </c>
      <c r="AO61" s="41">
        <f t="shared" si="10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0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0"/>
        <v>1</v>
      </c>
      <c r="AO62" s="41">
        <f t="shared" si="10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0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ref="AN63:AO82" si="13">100%+AM63</f>
        <v>1</v>
      </c>
      <c r="AO63" s="41">
        <f t="shared" si="13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0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3"/>
        <v>1</v>
      </c>
      <c r="AO64" s="41">
        <f t="shared" si="13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0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3"/>
        <v>1</v>
      </c>
      <c r="AO65" s="41">
        <f t="shared" si="13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0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3"/>
        <v>1</v>
      </c>
      <c r="AO66" s="41">
        <f t="shared" si="13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0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3"/>
        <v>1</v>
      </c>
      <c r="AO67" s="41">
        <f t="shared" si="13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0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3"/>
        <v>1</v>
      </c>
      <c r="AO68" s="41">
        <f t="shared" si="13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0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3"/>
        <v>1</v>
      </c>
      <c r="AO69" s="41">
        <f t="shared" si="13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0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3"/>
        <v>1</v>
      </c>
      <c r="AO70" s="41">
        <f t="shared" si="13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0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3"/>
        <v>1</v>
      </c>
      <c r="AO71" s="41">
        <f t="shared" si="13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0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3"/>
        <v>1</v>
      </c>
      <c r="AO72" s="41">
        <f t="shared" si="13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0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3"/>
        <v>1</v>
      </c>
      <c r="AO73" s="41">
        <f t="shared" si="13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0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3"/>
        <v>1</v>
      </c>
      <c r="AO74" s="41">
        <f t="shared" si="13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ref="N75:N106" si="14">SUM(I75:M75)</f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06" si="15">ROUND(((P75*I75)+(Q75*J75)+(R75*K75)+(S75*L75)+(T75*M75))*O75,2)</f>
        <v>15</v>
      </c>
      <c r="V75" s="68">
        <f t="shared" ref="V75:V106" si="16">IF(U75&gt;=15,15,U75)</f>
        <v>15</v>
      </c>
      <c r="W75" s="57"/>
      <c r="X75" s="60"/>
      <c r="Y75" s="45"/>
      <c r="Z75" s="48"/>
      <c r="AA75" s="35"/>
      <c r="AB75" s="36">
        <f t="shared" ref="AB75:AB106" si="17">ROUND((((W75*I75)+(X75*J75)+(Y75*K75)+(Z75*L75)+(AA75*M75))/$I$2),2)*13</f>
        <v>0</v>
      </c>
      <c r="AC75" s="68">
        <f t="shared" ref="AC75:AC106" si="18">IF(AB75&gt;=13,13,AB75)</f>
        <v>0</v>
      </c>
      <c r="AD75" s="63">
        <v>2</v>
      </c>
      <c r="AE75" s="32">
        <f t="shared" ref="AE75:AE106" si="19">IF((AC75+AD75)&gt;=15,15,(AC75+AD75))</f>
        <v>2</v>
      </c>
      <c r="AF75" s="56"/>
      <c r="AG75" s="56"/>
      <c r="AH75" s="37">
        <f t="shared" ref="AH75:AH106" si="20">IF((V75+AE75+AF75)&gt;=30,30,(V75+AE75+AF75))</f>
        <v>17</v>
      </c>
      <c r="AI75" s="38">
        <v>65</v>
      </c>
      <c r="AJ75" s="30">
        <f t="shared" ref="AJ75:AJ106" si="21">V75+AE75+AF75+AI75+AG75</f>
        <v>82</v>
      </c>
      <c r="AK75" s="37">
        <f t="shared" ref="AK75:AK106" si="22">IF(AH75+AI75+AG75&gt;=95,95,AH75+AI75+AG75)</f>
        <v>82</v>
      </c>
      <c r="AL75" s="39">
        <f t="shared" ref="AL75:AL106" si="23">-((50-((176+(45+(50-AH75)))))/200)</f>
        <v>1.02</v>
      </c>
      <c r="AM75" s="40"/>
      <c r="AN75" s="41">
        <f t="shared" si="13"/>
        <v>1</v>
      </c>
      <c r="AO75" s="41">
        <f t="shared" si="13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06" si="24">AR75+AS75+AT75+AU75+AV75</f>
        <v>0</v>
      </c>
      <c r="AX75" s="71">
        <f t="shared" ref="AX75:AX106" si="25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5"/>
        <v>15</v>
      </c>
      <c r="V76" s="68">
        <f t="shared" si="16"/>
        <v>15</v>
      </c>
      <c r="W76" s="57"/>
      <c r="X76" s="60"/>
      <c r="Y76" s="45"/>
      <c r="Z76" s="48"/>
      <c r="AA76" s="35"/>
      <c r="AB76" s="36">
        <f t="shared" si="17"/>
        <v>0</v>
      </c>
      <c r="AC76" s="68">
        <f t="shared" si="18"/>
        <v>0</v>
      </c>
      <c r="AD76" s="63">
        <v>2</v>
      </c>
      <c r="AE76" s="32">
        <f t="shared" si="19"/>
        <v>2</v>
      </c>
      <c r="AF76" s="56"/>
      <c r="AG76" s="56"/>
      <c r="AH76" s="37">
        <f t="shared" si="20"/>
        <v>17</v>
      </c>
      <c r="AI76" s="38">
        <v>65</v>
      </c>
      <c r="AJ76" s="30">
        <f t="shared" si="21"/>
        <v>82</v>
      </c>
      <c r="AK76" s="37">
        <f t="shared" si="22"/>
        <v>82</v>
      </c>
      <c r="AL76" s="39">
        <f t="shared" si="23"/>
        <v>1.02</v>
      </c>
      <c r="AM76" s="40"/>
      <c r="AN76" s="41">
        <f t="shared" si="13"/>
        <v>1</v>
      </c>
      <c r="AO76" s="41">
        <f t="shared" si="13"/>
        <v>2</v>
      </c>
      <c r="AP76" s="43"/>
      <c r="AQ76" s="70"/>
      <c r="AR76" s="58"/>
      <c r="AS76" s="58"/>
      <c r="AT76" s="58"/>
      <c r="AU76" s="58"/>
      <c r="AV76" s="59"/>
      <c r="AW76" s="71">
        <f t="shared" si="24"/>
        <v>0</v>
      </c>
      <c r="AX76" s="71">
        <f t="shared" si="25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5"/>
        <v>15</v>
      </c>
      <c r="V77" s="68">
        <f t="shared" si="16"/>
        <v>15</v>
      </c>
      <c r="W77" s="57"/>
      <c r="X77" s="60"/>
      <c r="Y77" s="45"/>
      <c r="Z77" s="48"/>
      <c r="AA77" s="35"/>
      <c r="AB77" s="36">
        <f t="shared" si="17"/>
        <v>0</v>
      </c>
      <c r="AC77" s="68">
        <f t="shared" si="18"/>
        <v>0</v>
      </c>
      <c r="AD77" s="63">
        <v>2</v>
      </c>
      <c r="AE77" s="32">
        <f t="shared" si="19"/>
        <v>2</v>
      </c>
      <c r="AF77" s="56"/>
      <c r="AG77" s="56"/>
      <c r="AH77" s="37">
        <f t="shared" si="20"/>
        <v>17</v>
      </c>
      <c r="AI77" s="38">
        <v>65</v>
      </c>
      <c r="AJ77" s="30">
        <f t="shared" si="21"/>
        <v>82</v>
      </c>
      <c r="AK77" s="37">
        <f t="shared" si="22"/>
        <v>82</v>
      </c>
      <c r="AL77" s="39">
        <f t="shared" si="23"/>
        <v>1.02</v>
      </c>
      <c r="AM77" s="40"/>
      <c r="AN77" s="41">
        <f t="shared" si="13"/>
        <v>1</v>
      </c>
      <c r="AO77" s="41">
        <f t="shared" si="13"/>
        <v>2</v>
      </c>
      <c r="AP77" s="43"/>
      <c r="AQ77" s="70"/>
      <c r="AR77" s="58"/>
      <c r="AS77" s="58"/>
      <c r="AT77" s="58"/>
      <c r="AU77" s="58"/>
      <c r="AV77" s="59"/>
      <c r="AW77" s="71">
        <f t="shared" si="24"/>
        <v>0</v>
      </c>
      <c r="AX77" s="71">
        <f t="shared" si="25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5"/>
        <v>15</v>
      </c>
      <c r="V78" s="68">
        <f t="shared" si="16"/>
        <v>15</v>
      </c>
      <c r="W78" s="57"/>
      <c r="X78" s="60"/>
      <c r="Y78" s="45"/>
      <c r="Z78" s="48"/>
      <c r="AA78" s="35"/>
      <c r="AB78" s="36">
        <f t="shared" si="17"/>
        <v>0</v>
      </c>
      <c r="AC78" s="68">
        <f t="shared" si="18"/>
        <v>0</v>
      </c>
      <c r="AD78" s="63">
        <v>2</v>
      </c>
      <c r="AE78" s="32">
        <f t="shared" si="19"/>
        <v>2</v>
      </c>
      <c r="AF78" s="56"/>
      <c r="AG78" s="56"/>
      <c r="AH78" s="37">
        <f t="shared" si="20"/>
        <v>17</v>
      </c>
      <c r="AI78" s="38">
        <v>65</v>
      </c>
      <c r="AJ78" s="30">
        <f t="shared" si="21"/>
        <v>82</v>
      </c>
      <c r="AK78" s="37">
        <f t="shared" si="22"/>
        <v>82</v>
      </c>
      <c r="AL78" s="39">
        <f t="shared" si="23"/>
        <v>1.02</v>
      </c>
      <c r="AM78" s="40"/>
      <c r="AN78" s="41">
        <f t="shared" si="13"/>
        <v>1</v>
      </c>
      <c r="AO78" s="41">
        <f t="shared" si="13"/>
        <v>2</v>
      </c>
      <c r="AP78" s="43"/>
      <c r="AQ78" s="70"/>
      <c r="AR78" s="58"/>
      <c r="AS78" s="58"/>
      <c r="AT78" s="58"/>
      <c r="AU78" s="58"/>
      <c r="AV78" s="59"/>
      <c r="AW78" s="71">
        <f t="shared" si="24"/>
        <v>0</v>
      </c>
      <c r="AX78" s="71">
        <f t="shared" si="25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5"/>
        <v>15</v>
      </c>
      <c r="V79" s="68">
        <f t="shared" si="16"/>
        <v>15</v>
      </c>
      <c r="W79" s="57"/>
      <c r="X79" s="60"/>
      <c r="Y79" s="45"/>
      <c r="Z79" s="48"/>
      <c r="AA79" s="35"/>
      <c r="AB79" s="36">
        <f t="shared" si="17"/>
        <v>0</v>
      </c>
      <c r="AC79" s="68">
        <f t="shared" si="18"/>
        <v>0</v>
      </c>
      <c r="AD79" s="63">
        <v>2</v>
      </c>
      <c r="AE79" s="32">
        <f t="shared" si="19"/>
        <v>2</v>
      </c>
      <c r="AF79" s="56"/>
      <c r="AG79" s="56"/>
      <c r="AH79" s="37">
        <f t="shared" si="20"/>
        <v>17</v>
      </c>
      <c r="AI79" s="38">
        <v>65</v>
      </c>
      <c r="AJ79" s="30">
        <f t="shared" si="21"/>
        <v>82</v>
      </c>
      <c r="AK79" s="37">
        <f t="shared" si="22"/>
        <v>82</v>
      </c>
      <c r="AL79" s="39">
        <f t="shared" si="23"/>
        <v>1.02</v>
      </c>
      <c r="AM79" s="40"/>
      <c r="AN79" s="41">
        <f t="shared" si="13"/>
        <v>1</v>
      </c>
      <c r="AO79" s="41">
        <f t="shared" si="13"/>
        <v>2</v>
      </c>
      <c r="AP79" s="43"/>
      <c r="AQ79" s="70"/>
      <c r="AR79" s="58"/>
      <c r="AS79" s="58"/>
      <c r="AT79" s="58"/>
      <c r="AU79" s="58"/>
      <c r="AV79" s="59"/>
      <c r="AW79" s="71">
        <f t="shared" si="24"/>
        <v>0</v>
      </c>
      <c r="AX79" s="71">
        <f t="shared" si="25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5"/>
        <v>15</v>
      </c>
      <c r="V80" s="68">
        <f t="shared" si="16"/>
        <v>15</v>
      </c>
      <c r="W80" s="57"/>
      <c r="X80" s="60"/>
      <c r="Y80" s="45"/>
      <c r="Z80" s="48"/>
      <c r="AA80" s="35"/>
      <c r="AB80" s="36">
        <f t="shared" si="17"/>
        <v>0</v>
      </c>
      <c r="AC80" s="68">
        <f t="shared" si="18"/>
        <v>0</v>
      </c>
      <c r="AD80" s="63">
        <v>2</v>
      </c>
      <c r="AE80" s="32">
        <f t="shared" si="19"/>
        <v>2</v>
      </c>
      <c r="AF80" s="56"/>
      <c r="AG80" s="56"/>
      <c r="AH80" s="37">
        <f t="shared" si="20"/>
        <v>17</v>
      </c>
      <c r="AI80" s="38">
        <v>65</v>
      </c>
      <c r="AJ80" s="30">
        <f t="shared" si="21"/>
        <v>82</v>
      </c>
      <c r="AK80" s="37">
        <f t="shared" si="22"/>
        <v>82</v>
      </c>
      <c r="AL80" s="39">
        <f t="shared" si="23"/>
        <v>1.02</v>
      </c>
      <c r="AM80" s="40"/>
      <c r="AN80" s="41">
        <f t="shared" si="13"/>
        <v>1</v>
      </c>
      <c r="AO80" s="41">
        <f t="shared" si="13"/>
        <v>2</v>
      </c>
      <c r="AP80" s="43"/>
      <c r="AQ80" s="70"/>
      <c r="AR80" s="58"/>
      <c r="AS80" s="58"/>
      <c r="AT80" s="58"/>
      <c r="AU80" s="58"/>
      <c r="AV80" s="59"/>
      <c r="AW80" s="71">
        <f t="shared" si="24"/>
        <v>0</v>
      </c>
      <c r="AX80" s="71">
        <f t="shared" si="25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5"/>
        <v>15</v>
      </c>
      <c r="V81" s="68">
        <f t="shared" si="16"/>
        <v>15</v>
      </c>
      <c r="W81" s="57"/>
      <c r="X81" s="60"/>
      <c r="Y81" s="45"/>
      <c r="Z81" s="48"/>
      <c r="AA81" s="35"/>
      <c r="AB81" s="36">
        <f t="shared" si="17"/>
        <v>0</v>
      </c>
      <c r="AC81" s="68">
        <f t="shared" si="18"/>
        <v>0</v>
      </c>
      <c r="AD81" s="63">
        <v>2</v>
      </c>
      <c r="AE81" s="32">
        <f t="shared" si="19"/>
        <v>2</v>
      </c>
      <c r="AF81" s="56"/>
      <c r="AG81" s="56"/>
      <c r="AH81" s="37">
        <f t="shared" si="20"/>
        <v>17</v>
      </c>
      <c r="AI81" s="38">
        <v>65</v>
      </c>
      <c r="AJ81" s="30">
        <f t="shared" si="21"/>
        <v>82</v>
      </c>
      <c r="AK81" s="37">
        <f t="shared" si="22"/>
        <v>82</v>
      </c>
      <c r="AL81" s="39">
        <f t="shared" si="23"/>
        <v>1.02</v>
      </c>
      <c r="AM81" s="40"/>
      <c r="AN81" s="41">
        <f t="shared" si="13"/>
        <v>1</v>
      </c>
      <c r="AO81" s="41">
        <f t="shared" si="13"/>
        <v>2</v>
      </c>
      <c r="AP81" s="43"/>
      <c r="AQ81" s="70"/>
      <c r="AR81" s="58"/>
      <c r="AS81" s="58"/>
      <c r="AT81" s="58"/>
      <c r="AU81" s="58"/>
      <c r="AV81" s="59"/>
      <c r="AW81" s="71">
        <f t="shared" si="24"/>
        <v>0</v>
      </c>
      <c r="AX81" s="71">
        <f t="shared" si="25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5"/>
        <v>15</v>
      </c>
      <c r="V82" s="68">
        <f t="shared" si="16"/>
        <v>15</v>
      </c>
      <c r="W82" s="57"/>
      <c r="X82" s="60"/>
      <c r="Y82" s="45"/>
      <c r="Z82" s="48"/>
      <c r="AA82" s="35"/>
      <c r="AB82" s="36">
        <f t="shared" si="17"/>
        <v>0</v>
      </c>
      <c r="AC82" s="68">
        <f t="shared" si="18"/>
        <v>0</v>
      </c>
      <c r="AD82" s="63">
        <v>2</v>
      </c>
      <c r="AE82" s="32">
        <f t="shared" si="19"/>
        <v>2</v>
      </c>
      <c r="AF82" s="56"/>
      <c r="AG82" s="56"/>
      <c r="AH82" s="37">
        <f t="shared" si="20"/>
        <v>17</v>
      </c>
      <c r="AI82" s="38">
        <v>65</v>
      </c>
      <c r="AJ82" s="30">
        <f t="shared" si="21"/>
        <v>82</v>
      </c>
      <c r="AK82" s="37">
        <f t="shared" si="22"/>
        <v>82</v>
      </c>
      <c r="AL82" s="39">
        <f t="shared" si="23"/>
        <v>1.02</v>
      </c>
      <c r="AM82" s="40"/>
      <c r="AN82" s="41">
        <f t="shared" si="13"/>
        <v>1</v>
      </c>
      <c r="AO82" s="41">
        <f t="shared" si="13"/>
        <v>2</v>
      </c>
      <c r="AP82" s="43"/>
      <c r="AQ82" s="70"/>
      <c r="AR82" s="58"/>
      <c r="AS82" s="58"/>
      <c r="AT82" s="58"/>
      <c r="AU82" s="58"/>
      <c r="AV82" s="59"/>
      <c r="AW82" s="71">
        <f t="shared" si="24"/>
        <v>0</v>
      </c>
      <c r="AX82" s="71">
        <f t="shared" si="25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5"/>
        <v>15</v>
      </c>
      <c r="V83" s="68">
        <f t="shared" si="16"/>
        <v>15</v>
      </c>
      <c r="W83" s="57"/>
      <c r="X83" s="60"/>
      <c r="Y83" s="45"/>
      <c r="Z83" s="48"/>
      <c r="AA83" s="35"/>
      <c r="AB83" s="36">
        <f t="shared" si="17"/>
        <v>0</v>
      </c>
      <c r="AC83" s="68">
        <f t="shared" si="18"/>
        <v>0</v>
      </c>
      <c r="AD83" s="63">
        <v>2</v>
      </c>
      <c r="AE83" s="32">
        <f t="shared" si="19"/>
        <v>2</v>
      </c>
      <c r="AF83" s="56"/>
      <c r="AG83" s="56"/>
      <c r="AH83" s="37">
        <f t="shared" si="20"/>
        <v>17</v>
      </c>
      <c r="AI83" s="38">
        <v>65</v>
      </c>
      <c r="AJ83" s="30">
        <f t="shared" si="21"/>
        <v>82</v>
      </c>
      <c r="AK83" s="37">
        <f t="shared" si="22"/>
        <v>82</v>
      </c>
      <c r="AL83" s="39">
        <f t="shared" si="23"/>
        <v>1.02</v>
      </c>
      <c r="AM83" s="40"/>
      <c r="AN83" s="41">
        <f t="shared" ref="AN83:AO102" si="26">100%+AM83</f>
        <v>1</v>
      </c>
      <c r="AO83" s="41">
        <f t="shared" si="26"/>
        <v>2</v>
      </c>
      <c r="AP83" s="43"/>
      <c r="AQ83" s="70"/>
      <c r="AR83" s="58"/>
      <c r="AS83" s="58"/>
      <c r="AT83" s="58"/>
      <c r="AU83" s="58"/>
      <c r="AV83" s="59"/>
      <c r="AW83" s="71">
        <f t="shared" si="24"/>
        <v>0</v>
      </c>
      <c r="AX83" s="71">
        <f t="shared" si="25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5"/>
        <v>15</v>
      </c>
      <c r="V84" s="68">
        <f t="shared" si="16"/>
        <v>15</v>
      </c>
      <c r="W84" s="57"/>
      <c r="X84" s="60"/>
      <c r="Y84" s="45"/>
      <c r="Z84" s="48"/>
      <c r="AA84" s="35"/>
      <c r="AB84" s="36">
        <f t="shared" si="17"/>
        <v>0</v>
      </c>
      <c r="AC84" s="68">
        <f t="shared" si="18"/>
        <v>0</v>
      </c>
      <c r="AD84" s="63">
        <v>2</v>
      </c>
      <c r="AE84" s="32">
        <f t="shared" si="19"/>
        <v>2</v>
      </c>
      <c r="AF84" s="56"/>
      <c r="AG84" s="56"/>
      <c r="AH84" s="37">
        <f t="shared" si="20"/>
        <v>17</v>
      </c>
      <c r="AI84" s="38">
        <v>65</v>
      </c>
      <c r="AJ84" s="30">
        <f t="shared" si="21"/>
        <v>82</v>
      </c>
      <c r="AK84" s="37">
        <f t="shared" si="22"/>
        <v>82</v>
      </c>
      <c r="AL84" s="39">
        <f t="shared" si="23"/>
        <v>1.02</v>
      </c>
      <c r="AM84" s="40"/>
      <c r="AN84" s="41">
        <f t="shared" si="26"/>
        <v>1</v>
      </c>
      <c r="AO84" s="41">
        <f t="shared" si="26"/>
        <v>2</v>
      </c>
      <c r="AP84" s="43"/>
      <c r="AQ84" s="70"/>
      <c r="AR84" s="58"/>
      <c r="AS84" s="58"/>
      <c r="AT84" s="58"/>
      <c r="AU84" s="58"/>
      <c r="AV84" s="59"/>
      <c r="AW84" s="71">
        <f t="shared" si="24"/>
        <v>0</v>
      </c>
      <c r="AX84" s="71">
        <f t="shared" si="25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5"/>
        <v>15</v>
      </c>
      <c r="V85" s="68">
        <f t="shared" si="16"/>
        <v>15</v>
      </c>
      <c r="W85" s="57"/>
      <c r="X85" s="60"/>
      <c r="Y85" s="45"/>
      <c r="Z85" s="48"/>
      <c r="AA85" s="35"/>
      <c r="AB85" s="36">
        <f t="shared" si="17"/>
        <v>0</v>
      </c>
      <c r="AC85" s="68">
        <f t="shared" si="18"/>
        <v>0</v>
      </c>
      <c r="AD85" s="63">
        <v>2</v>
      </c>
      <c r="AE85" s="32">
        <f t="shared" si="19"/>
        <v>2</v>
      </c>
      <c r="AF85" s="56"/>
      <c r="AG85" s="56"/>
      <c r="AH85" s="37">
        <f t="shared" si="20"/>
        <v>17</v>
      </c>
      <c r="AI85" s="38">
        <v>65</v>
      </c>
      <c r="AJ85" s="30">
        <f t="shared" si="21"/>
        <v>82</v>
      </c>
      <c r="AK85" s="37">
        <f t="shared" si="22"/>
        <v>82</v>
      </c>
      <c r="AL85" s="39">
        <f t="shared" si="23"/>
        <v>1.02</v>
      </c>
      <c r="AM85" s="40"/>
      <c r="AN85" s="41">
        <f t="shared" si="26"/>
        <v>1</v>
      </c>
      <c r="AO85" s="41">
        <f t="shared" si="26"/>
        <v>2</v>
      </c>
      <c r="AP85" s="43"/>
      <c r="AQ85" s="70"/>
      <c r="AR85" s="58"/>
      <c r="AS85" s="58"/>
      <c r="AT85" s="58"/>
      <c r="AU85" s="58"/>
      <c r="AV85" s="59"/>
      <c r="AW85" s="71">
        <f t="shared" si="24"/>
        <v>0</v>
      </c>
      <c r="AX85" s="71">
        <f t="shared" si="25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5"/>
        <v>15</v>
      </c>
      <c r="V86" s="68">
        <f t="shared" si="16"/>
        <v>15</v>
      </c>
      <c r="W86" s="57"/>
      <c r="X86" s="60"/>
      <c r="Y86" s="45"/>
      <c r="Z86" s="48"/>
      <c r="AA86" s="35"/>
      <c r="AB86" s="36">
        <f t="shared" si="17"/>
        <v>0</v>
      </c>
      <c r="AC86" s="68">
        <f t="shared" si="18"/>
        <v>0</v>
      </c>
      <c r="AD86" s="63">
        <v>2</v>
      </c>
      <c r="AE86" s="32">
        <f t="shared" si="19"/>
        <v>2</v>
      </c>
      <c r="AF86" s="56"/>
      <c r="AG86" s="56"/>
      <c r="AH86" s="37">
        <f t="shared" si="20"/>
        <v>17</v>
      </c>
      <c r="AI86" s="38">
        <v>65</v>
      </c>
      <c r="AJ86" s="30">
        <f t="shared" si="21"/>
        <v>82</v>
      </c>
      <c r="AK86" s="37">
        <f t="shared" si="22"/>
        <v>82</v>
      </c>
      <c r="AL86" s="39">
        <f t="shared" si="23"/>
        <v>1.02</v>
      </c>
      <c r="AM86" s="40"/>
      <c r="AN86" s="41">
        <f t="shared" si="26"/>
        <v>1</v>
      </c>
      <c r="AO86" s="41">
        <f t="shared" si="26"/>
        <v>2</v>
      </c>
      <c r="AP86" s="43"/>
      <c r="AQ86" s="70"/>
      <c r="AR86" s="58"/>
      <c r="AS86" s="58"/>
      <c r="AT86" s="58"/>
      <c r="AU86" s="58"/>
      <c r="AV86" s="59"/>
      <c r="AW86" s="71">
        <f t="shared" si="24"/>
        <v>0</v>
      </c>
      <c r="AX86" s="71">
        <f t="shared" si="25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5"/>
        <v>15</v>
      </c>
      <c r="V87" s="68">
        <f t="shared" si="16"/>
        <v>15</v>
      </c>
      <c r="W87" s="57"/>
      <c r="X87" s="60"/>
      <c r="Y87" s="45"/>
      <c r="Z87" s="48"/>
      <c r="AA87" s="35"/>
      <c r="AB87" s="36">
        <f t="shared" si="17"/>
        <v>0</v>
      </c>
      <c r="AC87" s="68">
        <f t="shared" si="18"/>
        <v>0</v>
      </c>
      <c r="AD87" s="63">
        <v>2</v>
      </c>
      <c r="AE87" s="32">
        <f t="shared" si="19"/>
        <v>2</v>
      </c>
      <c r="AF87" s="56"/>
      <c r="AG87" s="56"/>
      <c r="AH87" s="37">
        <f t="shared" si="20"/>
        <v>17</v>
      </c>
      <c r="AI87" s="38">
        <v>65</v>
      </c>
      <c r="AJ87" s="30">
        <f t="shared" si="21"/>
        <v>82</v>
      </c>
      <c r="AK87" s="37">
        <f t="shared" si="22"/>
        <v>82</v>
      </c>
      <c r="AL87" s="39">
        <f t="shared" si="23"/>
        <v>1.02</v>
      </c>
      <c r="AM87" s="40"/>
      <c r="AN87" s="41">
        <f t="shared" si="26"/>
        <v>1</v>
      </c>
      <c r="AO87" s="41">
        <f t="shared" si="26"/>
        <v>2</v>
      </c>
      <c r="AP87" s="43"/>
      <c r="AQ87" s="70"/>
      <c r="AR87" s="58"/>
      <c r="AS87" s="58"/>
      <c r="AT87" s="58"/>
      <c r="AU87" s="58"/>
      <c r="AV87" s="59"/>
      <c r="AW87" s="71">
        <f t="shared" si="24"/>
        <v>0</v>
      </c>
      <c r="AX87" s="71">
        <f t="shared" si="25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5"/>
        <v>15</v>
      </c>
      <c r="V88" s="68">
        <f t="shared" si="16"/>
        <v>15</v>
      </c>
      <c r="W88" s="57"/>
      <c r="X88" s="60"/>
      <c r="Y88" s="45"/>
      <c r="Z88" s="48"/>
      <c r="AA88" s="35"/>
      <c r="AB88" s="36">
        <f t="shared" si="17"/>
        <v>0</v>
      </c>
      <c r="AC88" s="68">
        <f t="shared" si="18"/>
        <v>0</v>
      </c>
      <c r="AD88" s="63">
        <v>2</v>
      </c>
      <c r="AE88" s="32">
        <f t="shared" si="19"/>
        <v>2</v>
      </c>
      <c r="AF88" s="56"/>
      <c r="AG88" s="56"/>
      <c r="AH88" s="37">
        <f t="shared" si="20"/>
        <v>17</v>
      </c>
      <c r="AI88" s="38">
        <v>65</v>
      </c>
      <c r="AJ88" s="30">
        <f t="shared" si="21"/>
        <v>82</v>
      </c>
      <c r="AK88" s="37">
        <f t="shared" si="22"/>
        <v>82</v>
      </c>
      <c r="AL88" s="39">
        <f t="shared" si="23"/>
        <v>1.02</v>
      </c>
      <c r="AM88" s="40"/>
      <c r="AN88" s="41">
        <f t="shared" si="26"/>
        <v>1</v>
      </c>
      <c r="AO88" s="41">
        <f t="shared" si="26"/>
        <v>2</v>
      </c>
      <c r="AP88" s="43"/>
      <c r="AQ88" s="70"/>
      <c r="AR88" s="58"/>
      <c r="AS88" s="58"/>
      <c r="AT88" s="58"/>
      <c r="AU88" s="58"/>
      <c r="AV88" s="59"/>
      <c r="AW88" s="71">
        <f t="shared" si="24"/>
        <v>0</v>
      </c>
      <c r="AX88" s="71">
        <f t="shared" si="25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5"/>
        <v>15</v>
      </c>
      <c r="V89" s="68">
        <f t="shared" si="16"/>
        <v>15</v>
      </c>
      <c r="W89" s="57"/>
      <c r="X89" s="60"/>
      <c r="Y89" s="45"/>
      <c r="Z89" s="48"/>
      <c r="AA89" s="35"/>
      <c r="AB89" s="36">
        <f t="shared" si="17"/>
        <v>0</v>
      </c>
      <c r="AC89" s="68">
        <f t="shared" si="18"/>
        <v>0</v>
      </c>
      <c r="AD89" s="63">
        <v>2</v>
      </c>
      <c r="AE89" s="32">
        <f t="shared" si="19"/>
        <v>2</v>
      </c>
      <c r="AF89" s="56"/>
      <c r="AG89" s="56"/>
      <c r="AH89" s="37">
        <f t="shared" si="20"/>
        <v>17</v>
      </c>
      <c r="AI89" s="38">
        <v>65</v>
      </c>
      <c r="AJ89" s="30">
        <f t="shared" si="21"/>
        <v>82</v>
      </c>
      <c r="AK89" s="37">
        <f t="shared" si="22"/>
        <v>82</v>
      </c>
      <c r="AL89" s="39">
        <f t="shared" si="23"/>
        <v>1.02</v>
      </c>
      <c r="AM89" s="40"/>
      <c r="AN89" s="41">
        <f t="shared" si="26"/>
        <v>1</v>
      </c>
      <c r="AO89" s="41">
        <f t="shared" si="26"/>
        <v>2</v>
      </c>
      <c r="AP89" s="43"/>
      <c r="AQ89" s="70"/>
      <c r="AR89" s="58"/>
      <c r="AS89" s="58"/>
      <c r="AT89" s="58"/>
      <c r="AU89" s="58"/>
      <c r="AV89" s="59"/>
      <c r="AW89" s="71">
        <f t="shared" si="24"/>
        <v>0</v>
      </c>
      <c r="AX89" s="71">
        <f t="shared" si="25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5"/>
        <v>15</v>
      </c>
      <c r="V90" s="68">
        <f t="shared" si="16"/>
        <v>15</v>
      </c>
      <c r="W90" s="57"/>
      <c r="X90" s="60"/>
      <c r="Y90" s="45"/>
      <c r="Z90" s="48"/>
      <c r="AA90" s="35"/>
      <c r="AB90" s="36">
        <f t="shared" si="17"/>
        <v>0</v>
      </c>
      <c r="AC90" s="68">
        <f t="shared" si="18"/>
        <v>0</v>
      </c>
      <c r="AD90" s="63">
        <v>2</v>
      </c>
      <c r="AE90" s="32">
        <f t="shared" si="19"/>
        <v>2</v>
      </c>
      <c r="AF90" s="56"/>
      <c r="AG90" s="56"/>
      <c r="AH90" s="37">
        <f t="shared" si="20"/>
        <v>17</v>
      </c>
      <c r="AI90" s="38">
        <v>65</v>
      </c>
      <c r="AJ90" s="30">
        <f t="shared" si="21"/>
        <v>82</v>
      </c>
      <c r="AK90" s="37">
        <f t="shared" si="22"/>
        <v>82</v>
      </c>
      <c r="AL90" s="39">
        <f t="shared" si="23"/>
        <v>1.02</v>
      </c>
      <c r="AM90" s="40"/>
      <c r="AN90" s="41">
        <f t="shared" si="26"/>
        <v>1</v>
      </c>
      <c r="AO90" s="41">
        <f t="shared" si="26"/>
        <v>2</v>
      </c>
      <c r="AP90" s="43"/>
      <c r="AQ90" s="70"/>
      <c r="AR90" s="58"/>
      <c r="AS90" s="58"/>
      <c r="AT90" s="58"/>
      <c r="AU90" s="58"/>
      <c r="AV90" s="59"/>
      <c r="AW90" s="71">
        <f t="shared" si="24"/>
        <v>0</v>
      </c>
      <c r="AX90" s="71">
        <f t="shared" si="25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5"/>
        <v>15</v>
      </c>
      <c r="V91" s="68">
        <f t="shared" si="16"/>
        <v>15</v>
      </c>
      <c r="W91" s="57"/>
      <c r="X91" s="60"/>
      <c r="Y91" s="45"/>
      <c r="Z91" s="48"/>
      <c r="AA91" s="35"/>
      <c r="AB91" s="36">
        <f t="shared" si="17"/>
        <v>0</v>
      </c>
      <c r="AC91" s="68">
        <f t="shared" si="18"/>
        <v>0</v>
      </c>
      <c r="AD91" s="63">
        <v>2</v>
      </c>
      <c r="AE91" s="32">
        <f t="shared" si="19"/>
        <v>2</v>
      </c>
      <c r="AF91" s="56"/>
      <c r="AG91" s="56"/>
      <c r="AH91" s="37">
        <f t="shared" si="20"/>
        <v>17</v>
      </c>
      <c r="AI91" s="38">
        <v>65</v>
      </c>
      <c r="AJ91" s="30">
        <f t="shared" si="21"/>
        <v>82</v>
      </c>
      <c r="AK91" s="37">
        <f t="shared" si="22"/>
        <v>82</v>
      </c>
      <c r="AL91" s="39">
        <f t="shared" si="23"/>
        <v>1.02</v>
      </c>
      <c r="AM91" s="40"/>
      <c r="AN91" s="41">
        <f t="shared" si="26"/>
        <v>1</v>
      </c>
      <c r="AO91" s="41">
        <f t="shared" si="26"/>
        <v>2</v>
      </c>
      <c r="AP91" s="43"/>
      <c r="AQ91" s="70"/>
      <c r="AR91" s="58"/>
      <c r="AS91" s="58"/>
      <c r="AT91" s="58"/>
      <c r="AU91" s="58"/>
      <c r="AV91" s="59"/>
      <c r="AW91" s="71">
        <f t="shared" si="24"/>
        <v>0</v>
      </c>
      <c r="AX91" s="71">
        <f t="shared" si="25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5"/>
        <v>15</v>
      </c>
      <c r="V92" s="68">
        <f t="shared" si="16"/>
        <v>15</v>
      </c>
      <c r="W92" s="57"/>
      <c r="X92" s="60"/>
      <c r="Y92" s="45"/>
      <c r="Z92" s="48"/>
      <c r="AA92" s="35"/>
      <c r="AB92" s="36">
        <f t="shared" si="17"/>
        <v>0</v>
      </c>
      <c r="AC92" s="68">
        <f t="shared" si="18"/>
        <v>0</v>
      </c>
      <c r="AD92" s="63">
        <v>2</v>
      </c>
      <c r="AE92" s="32">
        <f t="shared" si="19"/>
        <v>2</v>
      </c>
      <c r="AF92" s="56"/>
      <c r="AG92" s="56"/>
      <c r="AH92" s="37">
        <f t="shared" si="20"/>
        <v>17</v>
      </c>
      <c r="AI92" s="38">
        <v>65</v>
      </c>
      <c r="AJ92" s="30">
        <f t="shared" si="21"/>
        <v>82</v>
      </c>
      <c r="AK92" s="37">
        <f t="shared" si="22"/>
        <v>82</v>
      </c>
      <c r="AL92" s="39">
        <f t="shared" si="23"/>
        <v>1.02</v>
      </c>
      <c r="AM92" s="40"/>
      <c r="AN92" s="41">
        <f t="shared" si="26"/>
        <v>1</v>
      </c>
      <c r="AO92" s="41">
        <f t="shared" si="26"/>
        <v>2</v>
      </c>
      <c r="AP92" s="43"/>
      <c r="AQ92" s="70"/>
      <c r="AR92" s="58"/>
      <c r="AS92" s="58"/>
      <c r="AT92" s="58"/>
      <c r="AU92" s="58"/>
      <c r="AV92" s="59"/>
      <c r="AW92" s="71">
        <f t="shared" si="24"/>
        <v>0</v>
      </c>
      <c r="AX92" s="71">
        <f t="shared" si="25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5"/>
        <v>15</v>
      </c>
      <c r="V93" s="68">
        <f t="shared" si="16"/>
        <v>15</v>
      </c>
      <c r="W93" s="57"/>
      <c r="X93" s="60"/>
      <c r="Y93" s="45"/>
      <c r="Z93" s="48"/>
      <c r="AA93" s="35"/>
      <c r="AB93" s="36">
        <f t="shared" si="17"/>
        <v>0</v>
      </c>
      <c r="AC93" s="68">
        <f t="shared" si="18"/>
        <v>0</v>
      </c>
      <c r="AD93" s="63">
        <v>2</v>
      </c>
      <c r="AE93" s="32">
        <f t="shared" si="19"/>
        <v>2</v>
      </c>
      <c r="AF93" s="56"/>
      <c r="AG93" s="56"/>
      <c r="AH93" s="37">
        <f t="shared" si="20"/>
        <v>17</v>
      </c>
      <c r="AI93" s="38">
        <v>65</v>
      </c>
      <c r="AJ93" s="30">
        <f t="shared" si="21"/>
        <v>82</v>
      </c>
      <c r="AK93" s="37">
        <f t="shared" si="22"/>
        <v>82</v>
      </c>
      <c r="AL93" s="39">
        <f t="shared" si="23"/>
        <v>1.02</v>
      </c>
      <c r="AM93" s="40"/>
      <c r="AN93" s="41">
        <f t="shared" si="26"/>
        <v>1</v>
      </c>
      <c r="AO93" s="41">
        <f t="shared" si="26"/>
        <v>2</v>
      </c>
      <c r="AP93" s="43"/>
      <c r="AQ93" s="70"/>
      <c r="AR93" s="58"/>
      <c r="AS93" s="58"/>
      <c r="AT93" s="58"/>
      <c r="AU93" s="58"/>
      <c r="AV93" s="59"/>
      <c r="AW93" s="71">
        <f t="shared" si="24"/>
        <v>0</v>
      </c>
      <c r="AX93" s="71">
        <f t="shared" si="25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5"/>
        <v>15</v>
      </c>
      <c r="V94" s="68">
        <f t="shared" si="16"/>
        <v>15</v>
      </c>
      <c r="W94" s="57"/>
      <c r="X94" s="60"/>
      <c r="Y94" s="45"/>
      <c r="Z94" s="48"/>
      <c r="AA94" s="35"/>
      <c r="AB94" s="36">
        <f t="shared" si="17"/>
        <v>0</v>
      </c>
      <c r="AC94" s="68">
        <f t="shared" si="18"/>
        <v>0</v>
      </c>
      <c r="AD94" s="63">
        <v>2</v>
      </c>
      <c r="AE94" s="32">
        <f t="shared" si="19"/>
        <v>2</v>
      </c>
      <c r="AF94" s="56"/>
      <c r="AG94" s="56"/>
      <c r="AH94" s="37">
        <f t="shared" si="20"/>
        <v>17</v>
      </c>
      <c r="AI94" s="38">
        <v>65</v>
      </c>
      <c r="AJ94" s="30">
        <f t="shared" si="21"/>
        <v>82</v>
      </c>
      <c r="AK94" s="37">
        <f t="shared" si="22"/>
        <v>82</v>
      </c>
      <c r="AL94" s="39">
        <f t="shared" si="23"/>
        <v>1.02</v>
      </c>
      <c r="AM94" s="40"/>
      <c r="AN94" s="41">
        <f t="shared" si="26"/>
        <v>1</v>
      </c>
      <c r="AO94" s="41">
        <f t="shared" si="26"/>
        <v>2</v>
      </c>
      <c r="AP94" s="43"/>
      <c r="AQ94" s="70"/>
      <c r="AR94" s="58"/>
      <c r="AS94" s="58"/>
      <c r="AT94" s="58"/>
      <c r="AU94" s="58"/>
      <c r="AV94" s="59"/>
      <c r="AW94" s="71">
        <f t="shared" si="24"/>
        <v>0</v>
      </c>
      <c r="AX94" s="71">
        <f t="shared" si="25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5"/>
        <v>15</v>
      </c>
      <c r="V95" s="68">
        <f t="shared" si="16"/>
        <v>15</v>
      </c>
      <c r="W95" s="57"/>
      <c r="X95" s="60"/>
      <c r="Y95" s="45"/>
      <c r="Z95" s="48"/>
      <c r="AA95" s="35"/>
      <c r="AB95" s="36">
        <f t="shared" si="17"/>
        <v>0</v>
      </c>
      <c r="AC95" s="68">
        <f t="shared" si="18"/>
        <v>0</v>
      </c>
      <c r="AD95" s="63">
        <v>2</v>
      </c>
      <c r="AE95" s="32">
        <f t="shared" si="19"/>
        <v>2</v>
      </c>
      <c r="AF95" s="56"/>
      <c r="AG95" s="56"/>
      <c r="AH95" s="37">
        <f t="shared" si="20"/>
        <v>17</v>
      </c>
      <c r="AI95" s="38">
        <v>65</v>
      </c>
      <c r="AJ95" s="30">
        <f t="shared" si="21"/>
        <v>82</v>
      </c>
      <c r="AK95" s="37">
        <f t="shared" si="22"/>
        <v>82</v>
      </c>
      <c r="AL95" s="39">
        <f t="shared" si="23"/>
        <v>1.02</v>
      </c>
      <c r="AM95" s="40"/>
      <c r="AN95" s="41">
        <f t="shared" si="26"/>
        <v>1</v>
      </c>
      <c r="AO95" s="41">
        <f t="shared" si="26"/>
        <v>2</v>
      </c>
      <c r="AP95" s="43"/>
      <c r="AQ95" s="70"/>
      <c r="AR95" s="58"/>
      <c r="AS95" s="58"/>
      <c r="AT95" s="58"/>
      <c r="AU95" s="58"/>
      <c r="AV95" s="59"/>
      <c r="AW95" s="71">
        <f t="shared" si="24"/>
        <v>0</v>
      </c>
      <c r="AX95" s="71">
        <f t="shared" si="25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5"/>
        <v>15</v>
      </c>
      <c r="V96" s="68">
        <f t="shared" si="16"/>
        <v>15</v>
      </c>
      <c r="W96" s="57"/>
      <c r="X96" s="60"/>
      <c r="Y96" s="45"/>
      <c r="Z96" s="48"/>
      <c r="AA96" s="35"/>
      <c r="AB96" s="36">
        <f t="shared" si="17"/>
        <v>0</v>
      </c>
      <c r="AC96" s="68">
        <f t="shared" si="18"/>
        <v>0</v>
      </c>
      <c r="AD96" s="63">
        <v>2</v>
      </c>
      <c r="AE96" s="32">
        <f t="shared" si="19"/>
        <v>2</v>
      </c>
      <c r="AF96" s="56"/>
      <c r="AG96" s="56"/>
      <c r="AH96" s="37">
        <f t="shared" si="20"/>
        <v>17</v>
      </c>
      <c r="AI96" s="38">
        <v>65</v>
      </c>
      <c r="AJ96" s="30">
        <f t="shared" si="21"/>
        <v>82</v>
      </c>
      <c r="AK96" s="37">
        <f t="shared" si="22"/>
        <v>82</v>
      </c>
      <c r="AL96" s="39">
        <f t="shared" si="23"/>
        <v>1.02</v>
      </c>
      <c r="AM96" s="40"/>
      <c r="AN96" s="41">
        <f t="shared" si="26"/>
        <v>1</v>
      </c>
      <c r="AO96" s="41">
        <f t="shared" si="26"/>
        <v>2</v>
      </c>
      <c r="AP96" s="43"/>
      <c r="AQ96" s="70"/>
      <c r="AR96" s="58"/>
      <c r="AS96" s="58"/>
      <c r="AT96" s="58"/>
      <c r="AU96" s="58"/>
      <c r="AV96" s="59"/>
      <c r="AW96" s="71">
        <f t="shared" si="24"/>
        <v>0</v>
      </c>
      <c r="AX96" s="71">
        <f t="shared" si="25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5"/>
        <v>15</v>
      </c>
      <c r="V97" s="68">
        <f t="shared" si="16"/>
        <v>15</v>
      </c>
      <c r="W97" s="57"/>
      <c r="X97" s="60"/>
      <c r="Y97" s="45"/>
      <c r="Z97" s="48"/>
      <c r="AA97" s="35"/>
      <c r="AB97" s="36">
        <f t="shared" si="17"/>
        <v>0</v>
      </c>
      <c r="AC97" s="68">
        <f t="shared" si="18"/>
        <v>0</v>
      </c>
      <c r="AD97" s="63">
        <v>2</v>
      </c>
      <c r="AE97" s="32">
        <f t="shared" si="19"/>
        <v>2</v>
      </c>
      <c r="AF97" s="56"/>
      <c r="AG97" s="56"/>
      <c r="AH97" s="37">
        <f t="shared" si="20"/>
        <v>17</v>
      </c>
      <c r="AI97" s="38">
        <v>65</v>
      </c>
      <c r="AJ97" s="30">
        <f t="shared" si="21"/>
        <v>82</v>
      </c>
      <c r="AK97" s="37">
        <f t="shared" si="22"/>
        <v>82</v>
      </c>
      <c r="AL97" s="39">
        <f t="shared" si="23"/>
        <v>1.02</v>
      </c>
      <c r="AM97" s="40"/>
      <c r="AN97" s="41">
        <f t="shared" si="26"/>
        <v>1</v>
      </c>
      <c r="AO97" s="41">
        <f t="shared" si="26"/>
        <v>2</v>
      </c>
      <c r="AP97" s="43"/>
      <c r="AQ97" s="70"/>
      <c r="AR97" s="58"/>
      <c r="AS97" s="58"/>
      <c r="AT97" s="58"/>
      <c r="AU97" s="58"/>
      <c r="AV97" s="59"/>
      <c r="AW97" s="71">
        <f t="shared" si="24"/>
        <v>0</v>
      </c>
      <c r="AX97" s="71">
        <f t="shared" si="25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5"/>
        <v>15</v>
      </c>
      <c r="V98" s="68">
        <f t="shared" si="16"/>
        <v>15</v>
      </c>
      <c r="W98" s="57"/>
      <c r="X98" s="60"/>
      <c r="Y98" s="45"/>
      <c r="Z98" s="48"/>
      <c r="AA98" s="35"/>
      <c r="AB98" s="36">
        <f t="shared" si="17"/>
        <v>0</v>
      </c>
      <c r="AC98" s="68">
        <f t="shared" si="18"/>
        <v>0</v>
      </c>
      <c r="AD98" s="63">
        <v>2</v>
      </c>
      <c r="AE98" s="32">
        <f t="shared" si="19"/>
        <v>2</v>
      </c>
      <c r="AF98" s="56"/>
      <c r="AG98" s="56"/>
      <c r="AH98" s="37">
        <f t="shared" si="20"/>
        <v>17</v>
      </c>
      <c r="AI98" s="38">
        <v>65</v>
      </c>
      <c r="AJ98" s="30">
        <f t="shared" si="21"/>
        <v>82</v>
      </c>
      <c r="AK98" s="37">
        <f t="shared" si="22"/>
        <v>82</v>
      </c>
      <c r="AL98" s="39">
        <f t="shared" si="23"/>
        <v>1.02</v>
      </c>
      <c r="AM98" s="40"/>
      <c r="AN98" s="41">
        <f t="shared" si="26"/>
        <v>1</v>
      </c>
      <c r="AO98" s="41">
        <f t="shared" si="26"/>
        <v>2</v>
      </c>
      <c r="AP98" s="43"/>
      <c r="AQ98" s="70"/>
      <c r="AR98" s="58"/>
      <c r="AS98" s="58"/>
      <c r="AT98" s="58"/>
      <c r="AU98" s="58"/>
      <c r="AV98" s="59"/>
      <c r="AW98" s="71">
        <f t="shared" si="24"/>
        <v>0</v>
      </c>
      <c r="AX98" s="71">
        <f t="shared" si="25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5"/>
        <v>15</v>
      </c>
      <c r="V99" s="68">
        <f t="shared" si="16"/>
        <v>15</v>
      </c>
      <c r="W99" s="57"/>
      <c r="X99" s="60"/>
      <c r="Y99" s="45"/>
      <c r="Z99" s="48"/>
      <c r="AA99" s="35"/>
      <c r="AB99" s="36">
        <f t="shared" si="17"/>
        <v>0</v>
      </c>
      <c r="AC99" s="68">
        <f t="shared" si="18"/>
        <v>0</v>
      </c>
      <c r="AD99" s="63">
        <v>2</v>
      </c>
      <c r="AE99" s="32">
        <f t="shared" si="19"/>
        <v>2</v>
      </c>
      <c r="AF99" s="56"/>
      <c r="AG99" s="56"/>
      <c r="AH99" s="37">
        <f t="shared" si="20"/>
        <v>17</v>
      </c>
      <c r="AI99" s="38">
        <v>65</v>
      </c>
      <c r="AJ99" s="30">
        <f t="shared" si="21"/>
        <v>82</v>
      </c>
      <c r="AK99" s="37">
        <f t="shared" si="22"/>
        <v>82</v>
      </c>
      <c r="AL99" s="39">
        <f t="shared" si="23"/>
        <v>1.02</v>
      </c>
      <c r="AM99" s="40"/>
      <c r="AN99" s="41">
        <f t="shared" si="26"/>
        <v>1</v>
      </c>
      <c r="AO99" s="41">
        <f t="shared" si="26"/>
        <v>2</v>
      </c>
      <c r="AP99" s="43"/>
      <c r="AQ99" s="70"/>
      <c r="AR99" s="58"/>
      <c r="AS99" s="58"/>
      <c r="AT99" s="58"/>
      <c r="AU99" s="58"/>
      <c r="AV99" s="59"/>
      <c r="AW99" s="71">
        <f t="shared" si="24"/>
        <v>0</v>
      </c>
      <c r="AX99" s="71">
        <f t="shared" si="25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5"/>
        <v>15</v>
      </c>
      <c r="V100" s="68">
        <f t="shared" si="16"/>
        <v>15</v>
      </c>
      <c r="W100" s="57"/>
      <c r="X100" s="60"/>
      <c r="Y100" s="45"/>
      <c r="Z100" s="48"/>
      <c r="AA100" s="35"/>
      <c r="AB100" s="36">
        <f t="shared" si="17"/>
        <v>0</v>
      </c>
      <c r="AC100" s="68">
        <f t="shared" si="18"/>
        <v>0</v>
      </c>
      <c r="AD100" s="63">
        <v>2</v>
      </c>
      <c r="AE100" s="32">
        <f t="shared" si="19"/>
        <v>2</v>
      </c>
      <c r="AF100" s="56"/>
      <c r="AG100" s="56"/>
      <c r="AH100" s="37">
        <f t="shared" si="20"/>
        <v>17</v>
      </c>
      <c r="AI100" s="38">
        <v>65</v>
      </c>
      <c r="AJ100" s="30">
        <f t="shared" si="21"/>
        <v>82</v>
      </c>
      <c r="AK100" s="37">
        <f t="shared" si="22"/>
        <v>82</v>
      </c>
      <c r="AL100" s="39">
        <f t="shared" si="23"/>
        <v>1.02</v>
      </c>
      <c r="AM100" s="40"/>
      <c r="AN100" s="41">
        <f t="shared" si="26"/>
        <v>1</v>
      </c>
      <c r="AO100" s="41">
        <f t="shared" si="26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4"/>
        <v>0</v>
      </c>
      <c r="AX100" s="71">
        <f t="shared" si="25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5"/>
        <v>15</v>
      </c>
      <c r="V101" s="68">
        <f t="shared" si="16"/>
        <v>15</v>
      </c>
      <c r="W101" s="57"/>
      <c r="X101" s="60"/>
      <c r="Y101" s="45"/>
      <c r="Z101" s="48"/>
      <c r="AA101" s="35"/>
      <c r="AB101" s="36">
        <f t="shared" si="17"/>
        <v>0</v>
      </c>
      <c r="AC101" s="68">
        <f t="shared" si="18"/>
        <v>0</v>
      </c>
      <c r="AD101" s="63">
        <v>2</v>
      </c>
      <c r="AE101" s="32">
        <f t="shared" si="19"/>
        <v>2</v>
      </c>
      <c r="AF101" s="56"/>
      <c r="AG101" s="56"/>
      <c r="AH101" s="37">
        <f t="shared" si="20"/>
        <v>17</v>
      </c>
      <c r="AI101" s="38">
        <v>65</v>
      </c>
      <c r="AJ101" s="30">
        <f t="shared" si="21"/>
        <v>82</v>
      </c>
      <c r="AK101" s="37">
        <f t="shared" si="22"/>
        <v>82</v>
      </c>
      <c r="AL101" s="39">
        <f t="shared" si="23"/>
        <v>1.02</v>
      </c>
      <c r="AM101" s="40"/>
      <c r="AN101" s="41">
        <f t="shared" si="26"/>
        <v>1</v>
      </c>
      <c r="AO101" s="41">
        <f t="shared" si="26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4"/>
        <v>0</v>
      </c>
      <c r="AX101" s="71">
        <f t="shared" si="25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5"/>
        <v>15</v>
      </c>
      <c r="V102" s="68">
        <f t="shared" si="16"/>
        <v>15</v>
      </c>
      <c r="W102" s="57"/>
      <c r="X102" s="60"/>
      <c r="Y102" s="45"/>
      <c r="Z102" s="48"/>
      <c r="AA102" s="35"/>
      <c r="AB102" s="36">
        <f t="shared" si="17"/>
        <v>0</v>
      </c>
      <c r="AC102" s="68">
        <f t="shared" si="18"/>
        <v>0</v>
      </c>
      <c r="AD102" s="63">
        <v>2</v>
      </c>
      <c r="AE102" s="32">
        <f t="shared" si="19"/>
        <v>2</v>
      </c>
      <c r="AF102" s="56"/>
      <c r="AG102" s="56"/>
      <c r="AH102" s="37">
        <f t="shared" si="20"/>
        <v>17</v>
      </c>
      <c r="AI102" s="38">
        <v>65</v>
      </c>
      <c r="AJ102" s="30">
        <f t="shared" si="21"/>
        <v>82</v>
      </c>
      <c r="AK102" s="37">
        <f t="shared" si="22"/>
        <v>82</v>
      </c>
      <c r="AL102" s="39">
        <f t="shared" si="23"/>
        <v>1.02</v>
      </c>
      <c r="AM102" s="40"/>
      <c r="AN102" s="41">
        <f t="shared" si="26"/>
        <v>1</v>
      </c>
      <c r="AO102" s="41">
        <f t="shared" si="26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4"/>
        <v>0</v>
      </c>
      <c r="AX102" s="71">
        <f t="shared" si="25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5"/>
        <v>15</v>
      </c>
      <c r="V103" s="68">
        <f t="shared" si="16"/>
        <v>15</v>
      </c>
      <c r="W103" s="57"/>
      <c r="X103" s="60"/>
      <c r="Y103" s="45"/>
      <c r="Z103" s="48"/>
      <c r="AA103" s="35"/>
      <c r="AB103" s="36">
        <f t="shared" si="17"/>
        <v>0</v>
      </c>
      <c r="AC103" s="68">
        <f t="shared" si="18"/>
        <v>0</v>
      </c>
      <c r="AD103" s="63">
        <v>2</v>
      </c>
      <c r="AE103" s="32">
        <f t="shared" si="19"/>
        <v>2</v>
      </c>
      <c r="AF103" s="56"/>
      <c r="AG103" s="56"/>
      <c r="AH103" s="37">
        <f t="shared" si="20"/>
        <v>17</v>
      </c>
      <c r="AI103" s="38">
        <v>65</v>
      </c>
      <c r="AJ103" s="30">
        <f t="shared" si="21"/>
        <v>82</v>
      </c>
      <c r="AK103" s="37">
        <f t="shared" si="22"/>
        <v>82</v>
      </c>
      <c r="AL103" s="39">
        <f t="shared" si="23"/>
        <v>1.02</v>
      </c>
      <c r="AM103" s="40"/>
      <c r="AN103" s="41">
        <f t="shared" ref="AN103:AO122" si="27">100%+AM103</f>
        <v>1</v>
      </c>
      <c r="AO103" s="41">
        <f t="shared" si="27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4"/>
        <v>0</v>
      </c>
      <c r="AX103" s="71">
        <f t="shared" si="25"/>
        <v>0</v>
      </c>
    </row>
    <row r="104" spans="1:50" s="12" customFormat="1" ht="64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5"/>
        <v>15</v>
      </c>
      <c r="V104" s="68">
        <f t="shared" si="16"/>
        <v>15</v>
      </c>
      <c r="W104" s="57"/>
      <c r="X104" s="60"/>
      <c r="Y104" s="45"/>
      <c r="Z104" s="48"/>
      <c r="AA104" s="35"/>
      <c r="AB104" s="36">
        <f t="shared" si="17"/>
        <v>0</v>
      </c>
      <c r="AC104" s="68">
        <f t="shared" si="18"/>
        <v>0</v>
      </c>
      <c r="AD104" s="63">
        <v>2</v>
      </c>
      <c r="AE104" s="32">
        <f t="shared" si="19"/>
        <v>2</v>
      </c>
      <c r="AF104" s="56"/>
      <c r="AG104" s="56"/>
      <c r="AH104" s="37">
        <f t="shared" si="20"/>
        <v>17</v>
      </c>
      <c r="AI104" s="38">
        <v>65</v>
      </c>
      <c r="AJ104" s="30">
        <f t="shared" si="21"/>
        <v>82</v>
      </c>
      <c r="AK104" s="37">
        <f t="shared" si="22"/>
        <v>82</v>
      </c>
      <c r="AL104" s="39">
        <f t="shared" si="23"/>
        <v>1.02</v>
      </c>
      <c r="AM104" s="40"/>
      <c r="AN104" s="41">
        <f t="shared" si="27"/>
        <v>1</v>
      </c>
      <c r="AO104" s="41">
        <f t="shared" si="27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4"/>
        <v>0</v>
      </c>
      <c r="AX104" s="71">
        <f t="shared" si="25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5"/>
        <v>15</v>
      </c>
      <c r="V105" s="68">
        <f t="shared" si="16"/>
        <v>15</v>
      </c>
      <c r="W105" s="57"/>
      <c r="X105" s="60"/>
      <c r="Y105" s="45"/>
      <c r="Z105" s="48"/>
      <c r="AA105" s="35"/>
      <c r="AB105" s="36">
        <f t="shared" si="17"/>
        <v>0</v>
      </c>
      <c r="AC105" s="68">
        <f t="shared" si="18"/>
        <v>0</v>
      </c>
      <c r="AD105" s="63">
        <v>2</v>
      </c>
      <c r="AE105" s="32">
        <f t="shared" si="19"/>
        <v>2</v>
      </c>
      <c r="AF105" s="56"/>
      <c r="AG105" s="56"/>
      <c r="AH105" s="37">
        <f t="shared" si="20"/>
        <v>17</v>
      </c>
      <c r="AI105" s="38">
        <v>65</v>
      </c>
      <c r="AJ105" s="30">
        <f t="shared" si="21"/>
        <v>82</v>
      </c>
      <c r="AK105" s="37">
        <f t="shared" si="22"/>
        <v>82</v>
      </c>
      <c r="AL105" s="39">
        <f t="shared" si="23"/>
        <v>1.02</v>
      </c>
      <c r="AM105" s="40"/>
      <c r="AN105" s="41">
        <f t="shared" si="27"/>
        <v>1</v>
      </c>
      <c r="AO105" s="41">
        <f t="shared" si="27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4"/>
        <v>0</v>
      </c>
      <c r="AX105" s="71">
        <f t="shared" si="25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5"/>
        <v>15</v>
      </c>
      <c r="V106" s="68">
        <f t="shared" si="16"/>
        <v>15</v>
      </c>
      <c r="W106" s="57"/>
      <c r="X106" s="60"/>
      <c r="Y106" s="45"/>
      <c r="Z106" s="48"/>
      <c r="AA106" s="35"/>
      <c r="AB106" s="36">
        <f t="shared" si="17"/>
        <v>0</v>
      </c>
      <c r="AC106" s="68">
        <f t="shared" si="18"/>
        <v>0</v>
      </c>
      <c r="AD106" s="63">
        <v>2</v>
      </c>
      <c r="AE106" s="32">
        <f t="shared" si="19"/>
        <v>2</v>
      </c>
      <c r="AF106" s="56"/>
      <c r="AG106" s="56"/>
      <c r="AH106" s="37">
        <f t="shared" si="20"/>
        <v>17</v>
      </c>
      <c r="AI106" s="38">
        <v>65</v>
      </c>
      <c r="AJ106" s="30">
        <f t="shared" si="21"/>
        <v>82</v>
      </c>
      <c r="AK106" s="37">
        <f t="shared" si="22"/>
        <v>82</v>
      </c>
      <c r="AL106" s="39">
        <f t="shared" si="23"/>
        <v>1.02</v>
      </c>
      <c r="AM106" s="40"/>
      <c r="AN106" s="41">
        <f t="shared" si="27"/>
        <v>1</v>
      </c>
      <c r="AO106" s="41">
        <f t="shared" si="27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4"/>
        <v>0</v>
      </c>
      <c r="AX106" s="71">
        <f t="shared" si="25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8" si="28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ref="U107:U138" si="29">ROUND(((P107*I107)+(Q107*J107)+(R107*K107)+(S107*L107)+(T107*M107))*O107,2)</f>
        <v>15</v>
      </c>
      <c r="V107" s="68">
        <f t="shared" ref="V107:V138" si="30">IF(U107&gt;=15,15,U107)</f>
        <v>15</v>
      </c>
      <c r="W107" s="57"/>
      <c r="X107" s="60"/>
      <c r="Y107" s="45"/>
      <c r="Z107" s="48"/>
      <c r="AA107" s="35"/>
      <c r="AB107" s="36">
        <f t="shared" ref="AB107:AB138" si="31">ROUND((((W107*I107)+(X107*J107)+(Y107*K107)+(Z107*L107)+(AA107*M107))/$I$2),2)*13</f>
        <v>0</v>
      </c>
      <c r="AC107" s="68">
        <f t="shared" ref="AC107:AC138" si="32">IF(AB107&gt;=13,13,AB107)</f>
        <v>0</v>
      </c>
      <c r="AD107" s="63">
        <v>2</v>
      </c>
      <c r="AE107" s="32">
        <f t="shared" ref="AE107:AE138" si="33">IF((AC107+AD107)&gt;=15,15,(AC107+AD107))</f>
        <v>2</v>
      </c>
      <c r="AF107" s="56"/>
      <c r="AG107" s="56"/>
      <c r="AH107" s="37">
        <f t="shared" ref="AH107:AH142" si="34">IF((V107+AE107+AF107)&gt;=30,30,(V107+AE107+AF107))</f>
        <v>17</v>
      </c>
      <c r="AI107" s="38">
        <v>65</v>
      </c>
      <c r="AJ107" s="30">
        <f t="shared" ref="AJ107:AJ138" si="35">V107+AE107+AF107+AI107+AG107</f>
        <v>82</v>
      </c>
      <c r="AK107" s="37">
        <f t="shared" ref="AK107:AK142" si="36">IF(AH107+AI107+AG107&gt;=95,95,AH107+AI107+AG107)</f>
        <v>82</v>
      </c>
      <c r="AL107" s="39">
        <f t="shared" ref="AL107:AL142" si="37">-((50-((176+(45+(50-AH107)))))/200)</f>
        <v>1.02</v>
      </c>
      <c r="AM107" s="40"/>
      <c r="AN107" s="41">
        <f t="shared" si="27"/>
        <v>1</v>
      </c>
      <c r="AO107" s="41">
        <f t="shared" si="27"/>
        <v>2</v>
      </c>
      <c r="AP107" s="43"/>
      <c r="AQ107" s="70"/>
      <c r="AR107" s="58"/>
      <c r="AS107" s="58"/>
      <c r="AT107" s="58"/>
      <c r="AU107" s="58"/>
      <c r="AV107" s="59"/>
      <c r="AW107" s="71">
        <f t="shared" ref="AW107:AW138" si="38">AR107+AS107+AT107+AU107+AV107</f>
        <v>0</v>
      </c>
      <c r="AX107" s="71">
        <f t="shared" ref="AX107:AX142" si="39">(AR107*I107)+(AS107*J107)+(AT107*K107)+(AU107*L107)+(AV107*M107)</f>
        <v>0</v>
      </c>
    </row>
    <row r="108" spans="1:50" s="42" customFormat="1" ht="47.2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8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29"/>
        <v>15</v>
      </c>
      <c r="V108" s="68">
        <f t="shared" si="30"/>
        <v>15</v>
      </c>
      <c r="W108" s="57"/>
      <c r="X108" s="60"/>
      <c r="Y108" s="45"/>
      <c r="Z108" s="48"/>
      <c r="AA108" s="35"/>
      <c r="AB108" s="36">
        <f t="shared" si="31"/>
        <v>0</v>
      </c>
      <c r="AC108" s="68">
        <f t="shared" si="32"/>
        <v>0</v>
      </c>
      <c r="AD108" s="63">
        <v>2</v>
      </c>
      <c r="AE108" s="32">
        <f t="shared" si="33"/>
        <v>2</v>
      </c>
      <c r="AF108" s="56"/>
      <c r="AG108" s="56"/>
      <c r="AH108" s="37">
        <f t="shared" si="34"/>
        <v>17</v>
      </c>
      <c r="AI108" s="38">
        <v>65</v>
      </c>
      <c r="AJ108" s="30">
        <f t="shared" si="35"/>
        <v>82</v>
      </c>
      <c r="AK108" s="37">
        <f t="shared" si="36"/>
        <v>82</v>
      </c>
      <c r="AL108" s="39">
        <f t="shared" si="37"/>
        <v>1.02</v>
      </c>
      <c r="AM108" s="40"/>
      <c r="AN108" s="41">
        <f t="shared" si="27"/>
        <v>1</v>
      </c>
      <c r="AO108" s="41">
        <f t="shared" si="27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38"/>
        <v>0</v>
      </c>
      <c r="AX108" s="71">
        <f t="shared" si="39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8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29"/>
        <v>15</v>
      </c>
      <c r="V109" s="68">
        <f t="shared" si="30"/>
        <v>15</v>
      </c>
      <c r="W109" s="57"/>
      <c r="X109" s="60"/>
      <c r="Y109" s="45"/>
      <c r="Z109" s="48"/>
      <c r="AA109" s="35"/>
      <c r="AB109" s="36">
        <f t="shared" si="31"/>
        <v>0</v>
      </c>
      <c r="AC109" s="68">
        <f t="shared" si="32"/>
        <v>0</v>
      </c>
      <c r="AD109" s="63">
        <v>2</v>
      </c>
      <c r="AE109" s="32">
        <f t="shared" si="33"/>
        <v>2</v>
      </c>
      <c r="AF109" s="56"/>
      <c r="AG109" s="56"/>
      <c r="AH109" s="37">
        <f t="shared" si="34"/>
        <v>17</v>
      </c>
      <c r="AI109" s="38">
        <v>65</v>
      </c>
      <c r="AJ109" s="30">
        <f t="shared" si="35"/>
        <v>82</v>
      </c>
      <c r="AK109" s="37">
        <f t="shared" si="36"/>
        <v>82</v>
      </c>
      <c r="AL109" s="39">
        <f t="shared" si="37"/>
        <v>1.02</v>
      </c>
      <c r="AM109" s="40"/>
      <c r="AN109" s="41">
        <f t="shared" si="27"/>
        <v>1</v>
      </c>
      <c r="AO109" s="41">
        <f t="shared" si="27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38"/>
        <v>0</v>
      </c>
      <c r="AX109" s="71">
        <f t="shared" si="39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8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29"/>
        <v>15</v>
      </c>
      <c r="V110" s="68">
        <f t="shared" si="30"/>
        <v>15</v>
      </c>
      <c r="W110" s="57"/>
      <c r="X110" s="60"/>
      <c r="Y110" s="45"/>
      <c r="Z110" s="48"/>
      <c r="AA110" s="35"/>
      <c r="AB110" s="36">
        <f t="shared" si="31"/>
        <v>0</v>
      </c>
      <c r="AC110" s="68">
        <f t="shared" si="32"/>
        <v>0</v>
      </c>
      <c r="AD110" s="63">
        <v>2</v>
      </c>
      <c r="AE110" s="32">
        <f t="shared" si="33"/>
        <v>2</v>
      </c>
      <c r="AF110" s="56"/>
      <c r="AG110" s="56"/>
      <c r="AH110" s="37">
        <f t="shared" si="34"/>
        <v>17</v>
      </c>
      <c r="AI110" s="38">
        <v>65</v>
      </c>
      <c r="AJ110" s="30">
        <f t="shared" si="35"/>
        <v>82</v>
      </c>
      <c r="AK110" s="37">
        <f t="shared" si="36"/>
        <v>82</v>
      </c>
      <c r="AL110" s="39">
        <f t="shared" si="37"/>
        <v>1.02</v>
      </c>
      <c r="AM110" s="40"/>
      <c r="AN110" s="41">
        <f t="shared" si="27"/>
        <v>1</v>
      </c>
      <c r="AO110" s="41">
        <f t="shared" si="27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38"/>
        <v>0</v>
      </c>
      <c r="AX110" s="71">
        <f t="shared" si="39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8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29"/>
        <v>15</v>
      </c>
      <c r="V111" s="68">
        <f t="shared" si="30"/>
        <v>15</v>
      </c>
      <c r="W111" s="57"/>
      <c r="X111" s="60"/>
      <c r="Y111" s="45"/>
      <c r="Z111" s="48"/>
      <c r="AA111" s="35"/>
      <c r="AB111" s="36">
        <f t="shared" si="31"/>
        <v>0</v>
      </c>
      <c r="AC111" s="68">
        <f t="shared" si="32"/>
        <v>0</v>
      </c>
      <c r="AD111" s="63">
        <v>2</v>
      </c>
      <c r="AE111" s="32">
        <f t="shared" si="33"/>
        <v>2</v>
      </c>
      <c r="AF111" s="56"/>
      <c r="AG111" s="56"/>
      <c r="AH111" s="37">
        <f t="shared" si="34"/>
        <v>17</v>
      </c>
      <c r="AI111" s="38">
        <v>65</v>
      </c>
      <c r="AJ111" s="30">
        <f t="shared" si="35"/>
        <v>82</v>
      </c>
      <c r="AK111" s="37">
        <f t="shared" si="36"/>
        <v>82</v>
      </c>
      <c r="AL111" s="39">
        <f t="shared" si="37"/>
        <v>1.02</v>
      </c>
      <c r="AM111" s="40"/>
      <c r="AN111" s="41">
        <f t="shared" si="27"/>
        <v>1</v>
      </c>
      <c r="AO111" s="41">
        <f t="shared" si="27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38"/>
        <v>0</v>
      </c>
      <c r="AX111" s="71">
        <f t="shared" si="39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8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29"/>
        <v>15</v>
      </c>
      <c r="V112" s="68">
        <f t="shared" si="30"/>
        <v>15</v>
      </c>
      <c r="W112" s="57"/>
      <c r="X112" s="60"/>
      <c r="Y112" s="45"/>
      <c r="Z112" s="48"/>
      <c r="AA112" s="35"/>
      <c r="AB112" s="36">
        <f t="shared" si="31"/>
        <v>0</v>
      </c>
      <c r="AC112" s="68">
        <f t="shared" si="32"/>
        <v>0</v>
      </c>
      <c r="AD112" s="63">
        <v>2</v>
      </c>
      <c r="AE112" s="32">
        <f t="shared" si="33"/>
        <v>2</v>
      </c>
      <c r="AF112" s="56"/>
      <c r="AG112" s="56"/>
      <c r="AH112" s="37">
        <f t="shared" si="34"/>
        <v>17</v>
      </c>
      <c r="AI112" s="38">
        <v>65</v>
      </c>
      <c r="AJ112" s="30">
        <f t="shared" si="35"/>
        <v>82</v>
      </c>
      <c r="AK112" s="37">
        <f t="shared" si="36"/>
        <v>82</v>
      </c>
      <c r="AL112" s="39">
        <f t="shared" si="37"/>
        <v>1.02</v>
      </c>
      <c r="AM112" s="40"/>
      <c r="AN112" s="41">
        <f t="shared" si="27"/>
        <v>1</v>
      </c>
      <c r="AO112" s="41">
        <f t="shared" si="27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38"/>
        <v>0</v>
      </c>
      <c r="AX112" s="71">
        <f t="shared" si="39"/>
        <v>0</v>
      </c>
    </row>
    <row r="113" spans="1:50" s="1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8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29"/>
        <v>15</v>
      </c>
      <c r="V113" s="68">
        <f t="shared" si="30"/>
        <v>15</v>
      </c>
      <c r="W113" s="57"/>
      <c r="X113" s="60"/>
      <c r="Y113" s="45"/>
      <c r="Z113" s="48"/>
      <c r="AA113" s="35"/>
      <c r="AB113" s="36">
        <f t="shared" si="31"/>
        <v>0</v>
      </c>
      <c r="AC113" s="68">
        <f t="shared" si="32"/>
        <v>0</v>
      </c>
      <c r="AD113" s="63">
        <v>2</v>
      </c>
      <c r="AE113" s="32">
        <f t="shared" si="33"/>
        <v>2</v>
      </c>
      <c r="AF113" s="56"/>
      <c r="AG113" s="56"/>
      <c r="AH113" s="37">
        <f t="shared" si="34"/>
        <v>17</v>
      </c>
      <c r="AI113" s="38">
        <v>65</v>
      </c>
      <c r="AJ113" s="30">
        <f t="shared" si="35"/>
        <v>82</v>
      </c>
      <c r="AK113" s="37">
        <f t="shared" si="36"/>
        <v>82</v>
      </c>
      <c r="AL113" s="39">
        <f t="shared" si="37"/>
        <v>1.02</v>
      </c>
      <c r="AM113" s="40"/>
      <c r="AN113" s="41">
        <f t="shared" si="27"/>
        <v>1</v>
      </c>
      <c r="AO113" s="41">
        <f t="shared" si="27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38"/>
        <v>0</v>
      </c>
      <c r="AX113" s="71">
        <f t="shared" si="39"/>
        <v>0</v>
      </c>
    </row>
    <row r="114" spans="1:50" s="42" customFormat="1" ht="57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8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29"/>
        <v>15</v>
      </c>
      <c r="V114" s="68">
        <f t="shared" si="30"/>
        <v>15</v>
      </c>
      <c r="W114" s="57"/>
      <c r="X114" s="60"/>
      <c r="Y114" s="45"/>
      <c r="Z114" s="48"/>
      <c r="AA114" s="35"/>
      <c r="AB114" s="36">
        <f t="shared" si="31"/>
        <v>0</v>
      </c>
      <c r="AC114" s="68">
        <f t="shared" si="32"/>
        <v>0</v>
      </c>
      <c r="AD114" s="63">
        <v>2</v>
      </c>
      <c r="AE114" s="32">
        <f t="shared" si="33"/>
        <v>2</v>
      </c>
      <c r="AF114" s="56"/>
      <c r="AG114" s="56"/>
      <c r="AH114" s="37">
        <f t="shared" si="34"/>
        <v>17</v>
      </c>
      <c r="AI114" s="38">
        <v>65</v>
      </c>
      <c r="AJ114" s="30">
        <f t="shared" si="35"/>
        <v>82</v>
      </c>
      <c r="AK114" s="37">
        <f t="shared" si="36"/>
        <v>82</v>
      </c>
      <c r="AL114" s="39">
        <f t="shared" si="37"/>
        <v>1.02</v>
      </c>
      <c r="AM114" s="40"/>
      <c r="AN114" s="41">
        <f t="shared" si="27"/>
        <v>1</v>
      </c>
      <c r="AO114" s="41">
        <f t="shared" si="27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38"/>
        <v>0</v>
      </c>
      <c r="AX114" s="71">
        <f t="shared" si="39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8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29"/>
        <v>15</v>
      </c>
      <c r="V115" s="68">
        <f t="shared" si="30"/>
        <v>15</v>
      </c>
      <c r="W115" s="57"/>
      <c r="X115" s="60"/>
      <c r="Y115" s="45"/>
      <c r="Z115" s="48"/>
      <c r="AA115" s="35"/>
      <c r="AB115" s="36">
        <f t="shared" si="31"/>
        <v>0</v>
      </c>
      <c r="AC115" s="68">
        <f t="shared" si="32"/>
        <v>0</v>
      </c>
      <c r="AD115" s="63">
        <v>2</v>
      </c>
      <c r="AE115" s="32">
        <f t="shared" si="33"/>
        <v>2</v>
      </c>
      <c r="AF115" s="56"/>
      <c r="AG115" s="56"/>
      <c r="AH115" s="37">
        <f t="shared" si="34"/>
        <v>17</v>
      </c>
      <c r="AI115" s="38">
        <v>65</v>
      </c>
      <c r="AJ115" s="30">
        <f t="shared" si="35"/>
        <v>82</v>
      </c>
      <c r="AK115" s="37">
        <f t="shared" si="36"/>
        <v>82</v>
      </c>
      <c r="AL115" s="39">
        <f t="shared" si="37"/>
        <v>1.02</v>
      </c>
      <c r="AM115" s="40"/>
      <c r="AN115" s="41">
        <f t="shared" si="27"/>
        <v>1</v>
      </c>
      <c r="AO115" s="41">
        <f t="shared" si="27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38"/>
        <v>0</v>
      </c>
      <c r="AX115" s="71">
        <f t="shared" si="39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8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29"/>
        <v>15</v>
      </c>
      <c r="V116" s="68">
        <f t="shared" si="30"/>
        <v>15</v>
      </c>
      <c r="W116" s="57"/>
      <c r="X116" s="60"/>
      <c r="Y116" s="45"/>
      <c r="Z116" s="48"/>
      <c r="AA116" s="35"/>
      <c r="AB116" s="36">
        <f t="shared" si="31"/>
        <v>0</v>
      </c>
      <c r="AC116" s="68">
        <f t="shared" si="32"/>
        <v>0</v>
      </c>
      <c r="AD116" s="63">
        <v>2</v>
      </c>
      <c r="AE116" s="32">
        <f t="shared" si="33"/>
        <v>2</v>
      </c>
      <c r="AF116" s="56"/>
      <c r="AG116" s="56"/>
      <c r="AH116" s="37">
        <f t="shared" si="34"/>
        <v>17</v>
      </c>
      <c r="AI116" s="38">
        <v>65</v>
      </c>
      <c r="AJ116" s="30">
        <f t="shared" si="35"/>
        <v>82</v>
      </c>
      <c r="AK116" s="37">
        <f t="shared" si="36"/>
        <v>82</v>
      </c>
      <c r="AL116" s="39">
        <f t="shared" si="37"/>
        <v>1.02</v>
      </c>
      <c r="AM116" s="40"/>
      <c r="AN116" s="41">
        <f t="shared" si="27"/>
        <v>1</v>
      </c>
      <c r="AO116" s="41">
        <f t="shared" si="27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38"/>
        <v>0</v>
      </c>
      <c r="AX116" s="71">
        <f t="shared" si="39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8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29"/>
        <v>15</v>
      </c>
      <c r="V117" s="68">
        <f t="shared" si="30"/>
        <v>15</v>
      </c>
      <c r="W117" s="57"/>
      <c r="X117" s="60"/>
      <c r="Y117" s="45"/>
      <c r="Z117" s="48"/>
      <c r="AA117" s="35"/>
      <c r="AB117" s="36">
        <f t="shared" si="31"/>
        <v>0</v>
      </c>
      <c r="AC117" s="68">
        <f t="shared" si="32"/>
        <v>0</v>
      </c>
      <c r="AD117" s="63">
        <v>2</v>
      </c>
      <c r="AE117" s="32">
        <f t="shared" si="33"/>
        <v>2</v>
      </c>
      <c r="AF117" s="56"/>
      <c r="AG117" s="56"/>
      <c r="AH117" s="37">
        <f t="shared" si="34"/>
        <v>17</v>
      </c>
      <c r="AI117" s="38">
        <v>65</v>
      </c>
      <c r="AJ117" s="30">
        <f t="shared" si="35"/>
        <v>82</v>
      </c>
      <c r="AK117" s="37">
        <f t="shared" si="36"/>
        <v>82</v>
      </c>
      <c r="AL117" s="39">
        <f t="shared" si="37"/>
        <v>1.02</v>
      </c>
      <c r="AM117" s="40"/>
      <c r="AN117" s="41">
        <f t="shared" si="27"/>
        <v>1</v>
      </c>
      <c r="AO117" s="41">
        <f t="shared" si="27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38"/>
        <v>0</v>
      </c>
      <c r="AX117" s="71">
        <f t="shared" si="39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8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29"/>
        <v>15</v>
      </c>
      <c r="V118" s="68">
        <f t="shared" si="30"/>
        <v>15</v>
      </c>
      <c r="W118" s="57"/>
      <c r="X118" s="60"/>
      <c r="Y118" s="45"/>
      <c r="Z118" s="48"/>
      <c r="AA118" s="35"/>
      <c r="AB118" s="36">
        <f t="shared" si="31"/>
        <v>0</v>
      </c>
      <c r="AC118" s="68">
        <f t="shared" si="32"/>
        <v>0</v>
      </c>
      <c r="AD118" s="63">
        <v>2</v>
      </c>
      <c r="AE118" s="32">
        <f t="shared" si="33"/>
        <v>2</v>
      </c>
      <c r="AF118" s="56"/>
      <c r="AG118" s="56"/>
      <c r="AH118" s="37">
        <f t="shared" si="34"/>
        <v>17</v>
      </c>
      <c r="AI118" s="38">
        <v>65</v>
      </c>
      <c r="AJ118" s="30">
        <f t="shared" si="35"/>
        <v>82</v>
      </c>
      <c r="AK118" s="37">
        <f t="shared" si="36"/>
        <v>82</v>
      </c>
      <c r="AL118" s="39">
        <f t="shared" si="37"/>
        <v>1.02</v>
      </c>
      <c r="AM118" s="40"/>
      <c r="AN118" s="41">
        <f t="shared" si="27"/>
        <v>1</v>
      </c>
      <c r="AO118" s="41">
        <f t="shared" si="27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38"/>
        <v>0</v>
      </c>
      <c r="AX118" s="71">
        <f t="shared" si="39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8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29"/>
        <v>15</v>
      </c>
      <c r="V119" s="68">
        <f t="shared" si="30"/>
        <v>15</v>
      </c>
      <c r="W119" s="57"/>
      <c r="X119" s="60"/>
      <c r="Y119" s="45"/>
      <c r="Z119" s="48"/>
      <c r="AA119" s="35"/>
      <c r="AB119" s="36">
        <f t="shared" si="31"/>
        <v>0</v>
      </c>
      <c r="AC119" s="68">
        <f t="shared" si="32"/>
        <v>0</v>
      </c>
      <c r="AD119" s="63">
        <v>2</v>
      </c>
      <c r="AE119" s="32">
        <f t="shared" si="33"/>
        <v>2</v>
      </c>
      <c r="AF119" s="56"/>
      <c r="AG119" s="56"/>
      <c r="AH119" s="37">
        <f t="shared" si="34"/>
        <v>17</v>
      </c>
      <c r="AI119" s="38">
        <v>65</v>
      </c>
      <c r="AJ119" s="30">
        <f t="shared" si="35"/>
        <v>82</v>
      </c>
      <c r="AK119" s="37">
        <f t="shared" si="36"/>
        <v>82</v>
      </c>
      <c r="AL119" s="39">
        <f t="shared" si="37"/>
        <v>1.02</v>
      </c>
      <c r="AM119" s="40"/>
      <c r="AN119" s="41">
        <f t="shared" si="27"/>
        <v>1</v>
      </c>
      <c r="AO119" s="41">
        <f t="shared" si="27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38"/>
        <v>0</v>
      </c>
      <c r="AX119" s="71">
        <f t="shared" si="39"/>
        <v>0</v>
      </c>
    </row>
    <row r="120" spans="1:50" s="42" customFormat="1" ht="53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8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29"/>
        <v>15</v>
      </c>
      <c r="V120" s="68">
        <f t="shared" si="30"/>
        <v>15</v>
      </c>
      <c r="W120" s="57"/>
      <c r="X120" s="60"/>
      <c r="Y120" s="45"/>
      <c r="Z120" s="48"/>
      <c r="AA120" s="35"/>
      <c r="AB120" s="36">
        <f t="shared" si="31"/>
        <v>0</v>
      </c>
      <c r="AC120" s="68">
        <f t="shared" si="32"/>
        <v>0</v>
      </c>
      <c r="AD120" s="63">
        <v>2</v>
      </c>
      <c r="AE120" s="32">
        <f t="shared" si="33"/>
        <v>2</v>
      </c>
      <c r="AF120" s="56"/>
      <c r="AG120" s="56"/>
      <c r="AH120" s="37">
        <f t="shared" si="34"/>
        <v>17</v>
      </c>
      <c r="AI120" s="38">
        <v>65</v>
      </c>
      <c r="AJ120" s="30">
        <f t="shared" si="35"/>
        <v>82</v>
      </c>
      <c r="AK120" s="37">
        <f t="shared" si="36"/>
        <v>82</v>
      </c>
      <c r="AL120" s="39">
        <f t="shared" si="37"/>
        <v>1.02</v>
      </c>
      <c r="AM120" s="40"/>
      <c r="AN120" s="41">
        <f t="shared" si="27"/>
        <v>1</v>
      </c>
      <c r="AO120" s="41">
        <f t="shared" si="27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38"/>
        <v>0</v>
      </c>
      <c r="AX120" s="71">
        <f t="shared" si="39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8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29"/>
        <v>15</v>
      </c>
      <c r="V121" s="68">
        <f t="shared" si="30"/>
        <v>15</v>
      </c>
      <c r="W121" s="57"/>
      <c r="X121" s="60"/>
      <c r="Y121" s="45"/>
      <c r="Z121" s="48"/>
      <c r="AA121" s="35"/>
      <c r="AB121" s="36">
        <f t="shared" si="31"/>
        <v>0</v>
      </c>
      <c r="AC121" s="68">
        <f t="shared" si="32"/>
        <v>0</v>
      </c>
      <c r="AD121" s="63">
        <v>2</v>
      </c>
      <c r="AE121" s="32">
        <f t="shared" si="33"/>
        <v>2</v>
      </c>
      <c r="AF121" s="56"/>
      <c r="AG121" s="56"/>
      <c r="AH121" s="37">
        <f t="shared" si="34"/>
        <v>17</v>
      </c>
      <c r="AI121" s="38">
        <v>65</v>
      </c>
      <c r="AJ121" s="30">
        <f t="shared" si="35"/>
        <v>82</v>
      </c>
      <c r="AK121" s="37">
        <f t="shared" si="36"/>
        <v>82</v>
      </c>
      <c r="AL121" s="39">
        <f t="shared" si="37"/>
        <v>1.02</v>
      </c>
      <c r="AM121" s="40"/>
      <c r="AN121" s="41">
        <f t="shared" si="27"/>
        <v>1</v>
      </c>
      <c r="AO121" s="41">
        <f t="shared" si="27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38"/>
        <v>0</v>
      </c>
      <c r="AX121" s="71">
        <f t="shared" si="39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8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29"/>
        <v>15</v>
      </c>
      <c r="V122" s="68">
        <f t="shared" si="30"/>
        <v>15</v>
      </c>
      <c r="W122" s="57"/>
      <c r="X122" s="60"/>
      <c r="Y122" s="45"/>
      <c r="Z122" s="48"/>
      <c r="AA122" s="35"/>
      <c r="AB122" s="36">
        <f t="shared" si="31"/>
        <v>0</v>
      </c>
      <c r="AC122" s="68">
        <f t="shared" si="32"/>
        <v>0</v>
      </c>
      <c r="AD122" s="63">
        <v>2</v>
      </c>
      <c r="AE122" s="32">
        <f t="shared" si="33"/>
        <v>2</v>
      </c>
      <c r="AF122" s="56"/>
      <c r="AG122" s="56"/>
      <c r="AH122" s="37">
        <f t="shared" si="34"/>
        <v>17</v>
      </c>
      <c r="AI122" s="38">
        <v>65</v>
      </c>
      <c r="AJ122" s="30">
        <f t="shared" si="35"/>
        <v>82</v>
      </c>
      <c r="AK122" s="37">
        <f t="shared" si="36"/>
        <v>82</v>
      </c>
      <c r="AL122" s="39">
        <f t="shared" si="37"/>
        <v>1.02</v>
      </c>
      <c r="AM122" s="40"/>
      <c r="AN122" s="41">
        <f t="shared" si="27"/>
        <v>1</v>
      </c>
      <c r="AO122" s="41">
        <f t="shared" si="27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38"/>
        <v>0</v>
      </c>
      <c r="AX122" s="71">
        <f t="shared" si="39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8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29"/>
        <v>15</v>
      </c>
      <c r="V123" s="68">
        <f t="shared" si="30"/>
        <v>15</v>
      </c>
      <c r="W123" s="57"/>
      <c r="X123" s="60"/>
      <c r="Y123" s="45"/>
      <c r="Z123" s="48"/>
      <c r="AA123" s="35"/>
      <c r="AB123" s="36">
        <f t="shared" si="31"/>
        <v>0</v>
      </c>
      <c r="AC123" s="68">
        <f t="shared" si="32"/>
        <v>0</v>
      </c>
      <c r="AD123" s="63">
        <v>2</v>
      </c>
      <c r="AE123" s="32">
        <f t="shared" si="33"/>
        <v>2</v>
      </c>
      <c r="AF123" s="56"/>
      <c r="AG123" s="56"/>
      <c r="AH123" s="37">
        <f t="shared" si="34"/>
        <v>17</v>
      </c>
      <c r="AI123" s="38">
        <v>65</v>
      </c>
      <c r="AJ123" s="30">
        <f t="shared" si="35"/>
        <v>82</v>
      </c>
      <c r="AK123" s="37">
        <f t="shared" si="36"/>
        <v>82</v>
      </c>
      <c r="AL123" s="39">
        <f t="shared" si="37"/>
        <v>1.02</v>
      </c>
      <c r="AM123" s="40"/>
      <c r="AN123" s="41">
        <f t="shared" ref="AN123:AO142" si="40">100%+AM123</f>
        <v>1</v>
      </c>
      <c r="AO123" s="41">
        <f t="shared" si="4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38"/>
        <v>0</v>
      </c>
      <c r="AX123" s="71">
        <f t="shared" si="39"/>
        <v>0</v>
      </c>
    </row>
    <row r="124" spans="1:50" s="1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8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29"/>
        <v>15</v>
      </c>
      <c r="V124" s="68">
        <f t="shared" si="30"/>
        <v>15</v>
      </c>
      <c r="W124" s="57"/>
      <c r="X124" s="60"/>
      <c r="Y124" s="45"/>
      <c r="Z124" s="48"/>
      <c r="AA124" s="35"/>
      <c r="AB124" s="36">
        <f t="shared" si="31"/>
        <v>0</v>
      </c>
      <c r="AC124" s="68">
        <f t="shared" si="32"/>
        <v>0</v>
      </c>
      <c r="AD124" s="63">
        <v>2</v>
      </c>
      <c r="AE124" s="32">
        <f t="shared" si="33"/>
        <v>2</v>
      </c>
      <c r="AF124" s="56"/>
      <c r="AG124" s="56"/>
      <c r="AH124" s="37">
        <f t="shared" si="34"/>
        <v>17</v>
      </c>
      <c r="AI124" s="38">
        <v>65</v>
      </c>
      <c r="AJ124" s="30">
        <f t="shared" si="35"/>
        <v>82</v>
      </c>
      <c r="AK124" s="37">
        <f t="shared" si="36"/>
        <v>82</v>
      </c>
      <c r="AL124" s="39">
        <f t="shared" si="37"/>
        <v>1.02</v>
      </c>
      <c r="AM124" s="40"/>
      <c r="AN124" s="41">
        <f t="shared" si="40"/>
        <v>1</v>
      </c>
      <c r="AO124" s="41">
        <f t="shared" si="4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38"/>
        <v>0</v>
      </c>
      <c r="AX124" s="71">
        <f t="shared" si="39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8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29"/>
        <v>15</v>
      </c>
      <c r="V125" s="68">
        <f t="shared" si="30"/>
        <v>15</v>
      </c>
      <c r="W125" s="57"/>
      <c r="X125" s="60"/>
      <c r="Y125" s="45"/>
      <c r="Z125" s="48"/>
      <c r="AA125" s="35"/>
      <c r="AB125" s="36">
        <f t="shared" si="31"/>
        <v>0</v>
      </c>
      <c r="AC125" s="68">
        <f t="shared" si="32"/>
        <v>0</v>
      </c>
      <c r="AD125" s="63">
        <v>2</v>
      </c>
      <c r="AE125" s="32">
        <f t="shared" si="33"/>
        <v>2</v>
      </c>
      <c r="AF125" s="56"/>
      <c r="AG125" s="56"/>
      <c r="AH125" s="37">
        <f t="shared" si="34"/>
        <v>17</v>
      </c>
      <c r="AI125" s="38">
        <v>65</v>
      </c>
      <c r="AJ125" s="30">
        <f t="shared" si="35"/>
        <v>82</v>
      </c>
      <c r="AK125" s="37">
        <f t="shared" si="36"/>
        <v>82</v>
      </c>
      <c r="AL125" s="39">
        <f t="shared" si="37"/>
        <v>1.02</v>
      </c>
      <c r="AM125" s="40"/>
      <c r="AN125" s="41">
        <f t="shared" si="40"/>
        <v>1</v>
      </c>
      <c r="AO125" s="41">
        <f t="shared" si="4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38"/>
        <v>0</v>
      </c>
      <c r="AX125" s="71">
        <f t="shared" si="39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8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29"/>
        <v>15</v>
      </c>
      <c r="V126" s="68">
        <f t="shared" si="30"/>
        <v>15</v>
      </c>
      <c r="W126" s="57"/>
      <c r="X126" s="60"/>
      <c r="Y126" s="45"/>
      <c r="Z126" s="48"/>
      <c r="AA126" s="35"/>
      <c r="AB126" s="36">
        <f t="shared" si="31"/>
        <v>0</v>
      </c>
      <c r="AC126" s="68">
        <f t="shared" si="32"/>
        <v>0</v>
      </c>
      <c r="AD126" s="63">
        <v>2</v>
      </c>
      <c r="AE126" s="32">
        <f t="shared" si="33"/>
        <v>2</v>
      </c>
      <c r="AF126" s="56"/>
      <c r="AG126" s="56"/>
      <c r="AH126" s="37">
        <f t="shared" si="34"/>
        <v>17</v>
      </c>
      <c r="AI126" s="38">
        <v>65</v>
      </c>
      <c r="AJ126" s="30">
        <f t="shared" si="35"/>
        <v>82</v>
      </c>
      <c r="AK126" s="37">
        <f t="shared" si="36"/>
        <v>82</v>
      </c>
      <c r="AL126" s="39">
        <f t="shared" si="37"/>
        <v>1.02</v>
      </c>
      <c r="AM126" s="40"/>
      <c r="AN126" s="41">
        <f t="shared" si="40"/>
        <v>1</v>
      </c>
      <c r="AO126" s="41">
        <f t="shared" si="4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38"/>
        <v>0</v>
      </c>
      <c r="AX126" s="71">
        <f t="shared" si="39"/>
        <v>0</v>
      </c>
    </row>
    <row r="127" spans="1:50" s="1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8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29"/>
        <v>15</v>
      </c>
      <c r="V127" s="68">
        <f t="shared" si="30"/>
        <v>15</v>
      </c>
      <c r="W127" s="57"/>
      <c r="X127" s="60"/>
      <c r="Y127" s="45"/>
      <c r="Z127" s="48"/>
      <c r="AA127" s="35"/>
      <c r="AB127" s="36">
        <f t="shared" si="31"/>
        <v>0</v>
      </c>
      <c r="AC127" s="68">
        <f t="shared" si="32"/>
        <v>0</v>
      </c>
      <c r="AD127" s="63">
        <v>2</v>
      </c>
      <c r="AE127" s="32">
        <f t="shared" si="33"/>
        <v>2</v>
      </c>
      <c r="AF127" s="56"/>
      <c r="AG127" s="56"/>
      <c r="AH127" s="37">
        <f t="shared" si="34"/>
        <v>17</v>
      </c>
      <c r="AI127" s="38">
        <v>65</v>
      </c>
      <c r="AJ127" s="30">
        <f t="shared" si="35"/>
        <v>82</v>
      </c>
      <c r="AK127" s="37">
        <f t="shared" si="36"/>
        <v>82</v>
      </c>
      <c r="AL127" s="39">
        <f t="shared" si="37"/>
        <v>1.02</v>
      </c>
      <c r="AM127" s="40"/>
      <c r="AN127" s="41">
        <f t="shared" si="40"/>
        <v>1</v>
      </c>
      <c r="AO127" s="41">
        <f t="shared" si="4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38"/>
        <v>0</v>
      </c>
      <c r="AX127" s="71">
        <f t="shared" si="39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8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29"/>
        <v>15</v>
      </c>
      <c r="V128" s="68">
        <f t="shared" si="30"/>
        <v>15</v>
      </c>
      <c r="W128" s="57"/>
      <c r="X128" s="60"/>
      <c r="Y128" s="45"/>
      <c r="Z128" s="48"/>
      <c r="AA128" s="35"/>
      <c r="AB128" s="36">
        <f t="shared" si="31"/>
        <v>0</v>
      </c>
      <c r="AC128" s="68">
        <f t="shared" si="32"/>
        <v>0</v>
      </c>
      <c r="AD128" s="63">
        <v>2</v>
      </c>
      <c r="AE128" s="32">
        <f t="shared" si="33"/>
        <v>2</v>
      </c>
      <c r="AF128" s="56"/>
      <c r="AG128" s="56"/>
      <c r="AH128" s="37">
        <f t="shared" si="34"/>
        <v>17</v>
      </c>
      <c r="AI128" s="38">
        <v>65</v>
      </c>
      <c r="AJ128" s="30">
        <f t="shared" si="35"/>
        <v>82</v>
      </c>
      <c r="AK128" s="37">
        <f t="shared" si="36"/>
        <v>82</v>
      </c>
      <c r="AL128" s="39">
        <f t="shared" si="37"/>
        <v>1.02</v>
      </c>
      <c r="AM128" s="40"/>
      <c r="AN128" s="41">
        <f t="shared" si="40"/>
        <v>1</v>
      </c>
      <c r="AO128" s="41">
        <f t="shared" si="4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38"/>
        <v>0</v>
      </c>
      <c r="AX128" s="71">
        <f t="shared" si="39"/>
        <v>0</v>
      </c>
    </row>
    <row r="129" spans="1:50" s="4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8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29"/>
        <v>15</v>
      </c>
      <c r="V129" s="68">
        <f t="shared" si="30"/>
        <v>15</v>
      </c>
      <c r="W129" s="57"/>
      <c r="X129" s="60"/>
      <c r="Y129" s="45"/>
      <c r="Z129" s="48"/>
      <c r="AA129" s="35"/>
      <c r="AB129" s="36">
        <f t="shared" si="31"/>
        <v>0</v>
      </c>
      <c r="AC129" s="68">
        <f t="shared" si="32"/>
        <v>0</v>
      </c>
      <c r="AD129" s="63">
        <v>2</v>
      </c>
      <c r="AE129" s="32">
        <f t="shared" si="33"/>
        <v>2</v>
      </c>
      <c r="AF129" s="56"/>
      <c r="AG129" s="56"/>
      <c r="AH129" s="37">
        <f t="shared" si="34"/>
        <v>17</v>
      </c>
      <c r="AI129" s="38">
        <v>65</v>
      </c>
      <c r="AJ129" s="30">
        <f t="shared" si="35"/>
        <v>82</v>
      </c>
      <c r="AK129" s="37">
        <f t="shared" si="36"/>
        <v>82</v>
      </c>
      <c r="AL129" s="39">
        <f t="shared" si="37"/>
        <v>1.02</v>
      </c>
      <c r="AM129" s="40"/>
      <c r="AN129" s="41">
        <f t="shared" si="40"/>
        <v>1</v>
      </c>
      <c r="AO129" s="41">
        <f t="shared" si="4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38"/>
        <v>0</v>
      </c>
      <c r="AX129" s="71">
        <f t="shared" si="39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8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29"/>
        <v>15</v>
      </c>
      <c r="V130" s="68">
        <f t="shared" si="30"/>
        <v>15</v>
      </c>
      <c r="W130" s="57"/>
      <c r="X130" s="60"/>
      <c r="Y130" s="45"/>
      <c r="Z130" s="48"/>
      <c r="AA130" s="35"/>
      <c r="AB130" s="36">
        <f t="shared" si="31"/>
        <v>0</v>
      </c>
      <c r="AC130" s="68">
        <f t="shared" si="32"/>
        <v>0</v>
      </c>
      <c r="AD130" s="63">
        <v>2</v>
      </c>
      <c r="AE130" s="32">
        <f t="shared" si="33"/>
        <v>2</v>
      </c>
      <c r="AF130" s="56"/>
      <c r="AG130" s="56"/>
      <c r="AH130" s="37">
        <f t="shared" si="34"/>
        <v>17</v>
      </c>
      <c r="AI130" s="38">
        <v>65</v>
      </c>
      <c r="AJ130" s="30">
        <f t="shared" si="35"/>
        <v>82</v>
      </c>
      <c r="AK130" s="37">
        <f t="shared" si="36"/>
        <v>82</v>
      </c>
      <c r="AL130" s="39">
        <f t="shared" si="37"/>
        <v>1.02</v>
      </c>
      <c r="AM130" s="40"/>
      <c r="AN130" s="41">
        <f t="shared" si="40"/>
        <v>1</v>
      </c>
      <c r="AO130" s="41">
        <f t="shared" si="4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38"/>
        <v>0</v>
      </c>
      <c r="AX130" s="71">
        <f t="shared" si="39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8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29"/>
        <v>15</v>
      </c>
      <c r="V131" s="68">
        <f t="shared" si="30"/>
        <v>15</v>
      </c>
      <c r="W131" s="57"/>
      <c r="X131" s="60"/>
      <c r="Y131" s="45"/>
      <c r="Z131" s="48"/>
      <c r="AA131" s="35"/>
      <c r="AB131" s="36">
        <f t="shared" si="31"/>
        <v>0</v>
      </c>
      <c r="AC131" s="68">
        <f t="shared" si="32"/>
        <v>0</v>
      </c>
      <c r="AD131" s="63">
        <v>2</v>
      </c>
      <c r="AE131" s="32">
        <f t="shared" si="33"/>
        <v>2</v>
      </c>
      <c r="AF131" s="56"/>
      <c r="AG131" s="56"/>
      <c r="AH131" s="37">
        <f t="shared" si="34"/>
        <v>17</v>
      </c>
      <c r="AI131" s="38">
        <v>65</v>
      </c>
      <c r="AJ131" s="30">
        <f t="shared" si="35"/>
        <v>82</v>
      </c>
      <c r="AK131" s="37">
        <f t="shared" si="36"/>
        <v>82</v>
      </c>
      <c r="AL131" s="39">
        <f t="shared" si="37"/>
        <v>1.02</v>
      </c>
      <c r="AM131" s="40"/>
      <c r="AN131" s="41">
        <f t="shared" si="40"/>
        <v>1</v>
      </c>
      <c r="AO131" s="41">
        <f t="shared" si="4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38"/>
        <v>0</v>
      </c>
      <c r="AX131" s="71">
        <f t="shared" si="39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8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29"/>
        <v>15</v>
      </c>
      <c r="V132" s="68">
        <f t="shared" si="30"/>
        <v>15</v>
      </c>
      <c r="W132" s="57"/>
      <c r="X132" s="60"/>
      <c r="Y132" s="45"/>
      <c r="Z132" s="48"/>
      <c r="AA132" s="35"/>
      <c r="AB132" s="36">
        <f t="shared" si="31"/>
        <v>0</v>
      </c>
      <c r="AC132" s="68">
        <f t="shared" si="32"/>
        <v>0</v>
      </c>
      <c r="AD132" s="63">
        <v>2</v>
      </c>
      <c r="AE132" s="32">
        <f t="shared" si="33"/>
        <v>2</v>
      </c>
      <c r="AF132" s="56"/>
      <c r="AG132" s="56"/>
      <c r="AH132" s="37">
        <f t="shared" si="34"/>
        <v>17</v>
      </c>
      <c r="AI132" s="38">
        <v>65</v>
      </c>
      <c r="AJ132" s="30">
        <f t="shared" si="35"/>
        <v>82</v>
      </c>
      <c r="AK132" s="37">
        <f t="shared" si="36"/>
        <v>82</v>
      </c>
      <c r="AL132" s="39">
        <f t="shared" si="37"/>
        <v>1.02</v>
      </c>
      <c r="AM132" s="40"/>
      <c r="AN132" s="41">
        <f t="shared" si="40"/>
        <v>1</v>
      </c>
      <c r="AO132" s="41">
        <f t="shared" si="4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38"/>
        <v>0</v>
      </c>
      <c r="AX132" s="71">
        <f t="shared" si="39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8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29"/>
        <v>15</v>
      </c>
      <c r="V133" s="68">
        <f t="shared" si="30"/>
        <v>15</v>
      </c>
      <c r="W133" s="57"/>
      <c r="X133" s="60"/>
      <c r="Y133" s="45"/>
      <c r="Z133" s="48"/>
      <c r="AA133" s="35"/>
      <c r="AB133" s="36">
        <f t="shared" si="31"/>
        <v>0</v>
      </c>
      <c r="AC133" s="68">
        <f t="shared" si="32"/>
        <v>0</v>
      </c>
      <c r="AD133" s="63">
        <v>2</v>
      </c>
      <c r="AE133" s="32">
        <f t="shared" si="33"/>
        <v>2</v>
      </c>
      <c r="AF133" s="56"/>
      <c r="AG133" s="56"/>
      <c r="AH133" s="37">
        <f t="shared" si="34"/>
        <v>17</v>
      </c>
      <c r="AI133" s="38">
        <v>65</v>
      </c>
      <c r="AJ133" s="30">
        <f t="shared" si="35"/>
        <v>82</v>
      </c>
      <c r="AK133" s="37">
        <f t="shared" si="36"/>
        <v>82</v>
      </c>
      <c r="AL133" s="39">
        <f t="shared" si="37"/>
        <v>1.02</v>
      </c>
      <c r="AM133" s="40"/>
      <c r="AN133" s="41">
        <f t="shared" si="40"/>
        <v>1</v>
      </c>
      <c r="AO133" s="41">
        <f t="shared" si="4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38"/>
        <v>0</v>
      </c>
      <c r="AX133" s="71">
        <f t="shared" si="39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8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29"/>
        <v>15</v>
      </c>
      <c r="V134" s="68">
        <f t="shared" si="30"/>
        <v>15</v>
      </c>
      <c r="W134" s="57"/>
      <c r="X134" s="60"/>
      <c r="Y134" s="45"/>
      <c r="Z134" s="48"/>
      <c r="AA134" s="35"/>
      <c r="AB134" s="36">
        <f t="shared" si="31"/>
        <v>0</v>
      </c>
      <c r="AC134" s="68">
        <f t="shared" si="32"/>
        <v>0</v>
      </c>
      <c r="AD134" s="63">
        <v>2</v>
      </c>
      <c r="AE134" s="32">
        <f t="shared" si="33"/>
        <v>2</v>
      </c>
      <c r="AF134" s="56"/>
      <c r="AG134" s="56"/>
      <c r="AH134" s="37">
        <f t="shared" si="34"/>
        <v>17</v>
      </c>
      <c r="AI134" s="38">
        <v>65</v>
      </c>
      <c r="AJ134" s="30">
        <f t="shared" si="35"/>
        <v>82</v>
      </c>
      <c r="AK134" s="37">
        <f t="shared" si="36"/>
        <v>82</v>
      </c>
      <c r="AL134" s="39">
        <f t="shared" si="37"/>
        <v>1.02</v>
      </c>
      <c r="AM134" s="40"/>
      <c r="AN134" s="41">
        <f t="shared" si="40"/>
        <v>1</v>
      </c>
      <c r="AO134" s="41">
        <f t="shared" si="4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38"/>
        <v>0</v>
      </c>
      <c r="AX134" s="71">
        <f t="shared" si="39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8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29"/>
        <v>15</v>
      </c>
      <c r="V135" s="68">
        <f t="shared" si="30"/>
        <v>15</v>
      </c>
      <c r="W135" s="57"/>
      <c r="X135" s="60"/>
      <c r="Y135" s="45"/>
      <c r="Z135" s="48"/>
      <c r="AA135" s="35"/>
      <c r="AB135" s="36">
        <f t="shared" si="31"/>
        <v>0</v>
      </c>
      <c r="AC135" s="68">
        <f t="shared" si="32"/>
        <v>0</v>
      </c>
      <c r="AD135" s="63">
        <v>2</v>
      </c>
      <c r="AE135" s="32">
        <f t="shared" si="33"/>
        <v>2</v>
      </c>
      <c r="AF135" s="56"/>
      <c r="AG135" s="56"/>
      <c r="AH135" s="37">
        <f t="shared" si="34"/>
        <v>17</v>
      </c>
      <c r="AI135" s="38">
        <v>65</v>
      </c>
      <c r="AJ135" s="30">
        <f t="shared" si="35"/>
        <v>82</v>
      </c>
      <c r="AK135" s="37">
        <f t="shared" si="36"/>
        <v>82</v>
      </c>
      <c r="AL135" s="39">
        <f t="shared" si="37"/>
        <v>1.02</v>
      </c>
      <c r="AM135" s="40"/>
      <c r="AN135" s="41">
        <f t="shared" si="40"/>
        <v>1</v>
      </c>
      <c r="AO135" s="41">
        <f t="shared" si="4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38"/>
        <v>0</v>
      </c>
      <c r="AX135" s="71">
        <f t="shared" si="39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8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29"/>
        <v>15</v>
      </c>
      <c r="V136" s="68">
        <f t="shared" si="30"/>
        <v>15</v>
      </c>
      <c r="W136" s="57"/>
      <c r="X136" s="60"/>
      <c r="Y136" s="45"/>
      <c r="Z136" s="48"/>
      <c r="AA136" s="35"/>
      <c r="AB136" s="36">
        <f t="shared" si="31"/>
        <v>0</v>
      </c>
      <c r="AC136" s="68">
        <f t="shared" si="32"/>
        <v>0</v>
      </c>
      <c r="AD136" s="63">
        <v>2</v>
      </c>
      <c r="AE136" s="32">
        <f t="shared" si="33"/>
        <v>2</v>
      </c>
      <c r="AF136" s="56"/>
      <c r="AG136" s="56"/>
      <c r="AH136" s="37">
        <f t="shared" si="34"/>
        <v>17</v>
      </c>
      <c r="AI136" s="38">
        <v>65</v>
      </c>
      <c r="AJ136" s="30">
        <f t="shared" si="35"/>
        <v>82</v>
      </c>
      <c r="AK136" s="37">
        <f t="shared" si="36"/>
        <v>82</v>
      </c>
      <c r="AL136" s="39">
        <f t="shared" si="37"/>
        <v>1.02</v>
      </c>
      <c r="AM136" s="40"/>
      <c r="AN136" s="41">
        <f t="shared" si="40"/>
        <v>1</v>
      </c>
      <c r="AO136" s="41">
        <f t="shared" si="4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38"/>
        <v>0</v>
      </c>
      <c r="AX136" s="71">
        <f t="shared" si="39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8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29"/>
        <v>15</v>
      </c>
      <c r="V137" s="68">
        <f t="shared" si="30"/>
        <v>15</v>
      </c>
      <c r="W137" s="57"/>
      <c r="X137" s="60"/>
      <c r="Y137" s="45"/>
      <c r="Z137" s="48"/>
      <c r="AA137" s="35"/>
      <c r="AB137" s="36">
        <f t="shared" si="31"/>
        <v>0</v>
      </c>
      <c r="AC137" s="68">
        <f t="shared" si="32"/>
        <v>0</v>
      </c>
      <c r="AD137" s="63">
        <v>2</v>
      </c>
      <c r="AE137" s="32">
        <f t="shared" si="33"/>
        <v>2</v>
      </c>
      <c r="AF137" s="56"/>
      <c r="AG137" s="56"/>
      <c r="AH137" s="37">
        <f t="shared" si="34"/>
        <v>17</v>
      </c>
      <c r="AI137" s="38">
        <v>65</v>
      </c>
      <c r="AJ137" s="30">
        <f t="shared" si="35"/>
        <v>82</v>
      </c>
      <c r="AK137" s="37">
        <f t="shared" si="36"/>
        <v>82</v>
      </c>
      <c r="AL137" s="39">
        <f t="shared" si="37"/>
        <v>1.02</v>
      </c>
      <c r="AM137" s="40"/>
      <c r="AN137" s="41">
        <f t="shared" si="40"/>
        <v>1</v>
      </c>
      <c r="AO137" s="41">
        <f t="shared" si="40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38"/>
        <v>0</v>
      </c>
      <c r="AX137" s="71">
        <f t="shared" si="39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8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29"/>
        <v>15</v>
      </c>
      <c r="V138" s="68">
        <f t="shared" si="30"/>
        <v>15</v>
      </c>
      <c r="W138" s="57"/>
      <c r="X138" s="60"/>
      <c r="Y138" s="45"/>
      <c r="Z138" s="48"/>
      <c r="AA138" s="35"/>
      <c r="AB138" s="36">
        <f t="shared" si="31"/>
        <v>0</v>
      </c>
      <c r="AC138" s="68">
        <f t="shared" si="32"/>
        <v>0</v>
      </c>
      <c r="AD138" s="63">
        <v>2</v>
      </c>
      <c r="AE138" s="32">
        <f t="shared" si="33"/>
        <v>2</v>
      </c>
      <c r="AF138" s="56"/>
      <c r="AG138" s="56"/>
      <c r="AH138" s="37">
        <f t="shared" si="34"/>
        <v>17</v>
      </c>
      <c r="AI138" s="38">
        <v>65</v>
      </c>
      <c r="AJ138" s="30">
        <f t="shared" si="35"/>
        <v>82</v>
      </c>
      <c r="AK138" s="37">
        <f t="shared" si="36"/>
        <v>82</v>
      </c>
      <c r="AL138" s="39">
        <f t="shared" si="37"/>
        <v>1.02</v>
      </c>
      <c r="AM138" s="40"/>
      <c r="AN138" s="41">
        <f t="shared" si="40"/>
        <v>1</v>
      </c>
      <c r="AO138" s="41">
        <f t="shared" si="40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38"/>
        <v>0</v>
      </c>
      <c r="AX138" s="71">
        <f t="shared" si="39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ref="N139:N142" si="41">SUM(I139:M139)</f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ref="U139:U142" si="42">ROUND(((P139*I139)+(Q139*J139)+(R139*K139)+(S139*L139)+(T139*M139))*O139,2)</f>
        <v>15</v>
      </c>
      <c r="V139" s="68">
        <f t="shared" ref="V139:V142" si="43">IF(U139&gt;=15,15,U139)</f>
        <v>15</v>
      </c>
      <c r="W139" s="57"/>
      <c r="X139" s="60"/>
      <c r="Y139" s="45"/>
      <c r="Z139" s="48"/>
      <c r="AA139" s="35"/>
      <c r="AB139" s="36">
        <f t="shared" ref="AB139:AB142" si="44">ROUND((((W139*I139)+(X139*J139)+(Y139*K139)+(Z139*L139)+(AA139*M139))/$I$2),2)*13</f>
        <v>0</v>
      </c>
      <c r="AC139" s="68">
        <f t="shared" ref="AC139:AC142" si="45">IF(AB139&gt;=13,13,AB139)</f>
        <v>0</v>
      </c>
      <c r="AD139" s="63">
        <v>2</v>
      </c>
      <c r="AE139" s="32">
        <f t="shared" ref="AE139:AE142" si="46">IF((AC139+AD139)&gt;=15,15,(AC139+AD139))</f>
        <v>2</v>
      </c>
      <c r="AF139" s="56"/>
      <c r="AG139" s="56"/>
      <c r="AH139" s="37">
        <f t="shared" si="34"/>
        <v>17</v>
      </c>
      <c r="AI139" s="38">
        <v>65</v>
      </c>
      <c r="AJ139" s="30">
        <f t="shared" ref="AJ139:AJ142" si="47">V139+AE139+AF139+AI139+AG139</f>
        <v>82</v>
      </c>
      <c r="AK139" s="37">
        <f t="shared" si="36"/>
        <v>82</v>
      </c>
      <c r="AL139" s="39">
        <f t="shared" si="37"/>
        <v>1.02</v>
      </c>
      <c r="AM139" s="40"/>
      <c r="AN139" s="41">
        <f t="shared" si="40"/>
        <v>1</v>
      </c>
      <c r="AO139" s="41">
        <f t="shared" si="40"/>
        <v>2</v>
      </c>
      <c r="AP139" s="43"/>
      <c r="AQ139" s="70"/>
      <c r="AR139" s="58"/>
      <c r="AS139" s="58"/>
      <c r="AT139" s="58"/>
      <c r="AU139" s="58"/>
      <c r="AV139" s="59"/>
      <c r="AW139" s="71">
        <f t="shared" ref="AW139:AW142" si="48">AR139+AS139+AT139+AU139+AV139</f>
        <v>0</v>
      </c>
      <c r="AX139" s="71">
        <f t="shared" si="39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41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42"/>
        <v>15</v>
      </c>
      <c r="V140" s="68">
        <f t="shared" si="43"/>
        <v>15</v>
      </c>
      <c r="W140" s="57"/>
      <c r="X140" s="60"/>
      <c r="Y140" s="45"/>
      <c r="Z140" s="48"/>
      <c r="AA140" s="35"/>
      <c r="AB140" s="36">
        <f t="shared" si="44"/>
        <v>0</v>
      </c>
      <c r="AC140" s="68">
        <f t="shared" si="45"/>
        <v>0</v>
      </c>
      <c r="AD140" s="63">
        <v>2</v>
      </c>
      <c r="AE140" s="32">
        <f t="shared" si="46"/>
        <v>2</v>
      </c>
      <c r="AF140" s="56"/>
      <c r="AG140" s="56"/>
      <c r="AH140" s="37">
        <f t="shared" si="34"/>
        <v>17</v>
      </c>
      <c r="AI140" s="38">
        <v>65</v>
      </c>
      <c r="AJ140" s="30">
        <f t="shared" si="47"/>
        <v>82</v>
      </c>
      <c r="AK140" s="37">
        <f t="shared" si="36"/>
        <v>82</v>
      </c>
      <c r="AL140" s="39">
        <f t="shared" si="37"/>
        <v>1.02</v>
      </c>
      <c r="AM140" s="40"/>
      <c r="AN140" s="41">
        <f t="shared" si="40"/>
        <v>1</v>
      </c>
      <c r="AO140" s="41">
        <f t="shared" si="40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48"/>
        <v>0</v>
      </c>
      <c r="AX140" s="71">
        <f t="shared" si="39"/>
        <v>0</v>
      </c>
    </row>
    <row r="141" spans="1:50" s="42" customFormat="1" ht="47.2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41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42"/>
        <v>15</v>
      </c>
      <c r="V141" s="68">
        <f t="shared" si="43"/>
        <v>15</v>
      </c>
      <c r="W141" s="57"/>
      <c r="X141" s="60"/>
      <c r="Y141" s="45"/>
      <c r="Z141" s="48"/>
      <c r="AA141" s="35"/>
      <c r="AB141" s="36">
        <f t="shared" si="44"/>
        <v>0</v>
      </c>
      <c r="AC141" s="68">
        <f t="shared" si="45"/>
        <v>0</v>
      </c>
      <c r="AD141" s="63">
        <v>2</v>
      </c>
      <c r="AE141" s="32">
        <f t="shared" si="46"/>
        <v>2</v>
      </c>
      <c r="AF141" s="56"/>
      <c r="AG141" s="56"/>
      <c r="AH141" s="37">
        <f t="shared" si="34"/>
        <v>17</v>
      </c>
      <c r="AI141" s="38">
        <v>65</v>
      </c>
      <c r="AJ141" s="30">
        <f t="shared" si="47"/>
        <v>82</v>
      </c>
      <c r="AK141" s="37">
        <f t="shared" si="36"/>
        <v>82</v>
      </c>
      <c r="AL141" s="39">
        <f t="shared" si="37"/>
        <v>1.02</v>
      </c>
      <c r="AM141" s="40"/>
      <c r="AN141" s="41">
        <f t="shared" si="40"/>
        <v>1</v>
      </c>
      <c r="AO141" s="41">
        <f t="shared" si="40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48"/>
        <v>0</v>
      </c>
      <c r="AX141" s="71">
        <f t="shared" si="39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41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42"/>
        <v>15</v>
      </c>
      <c r="V142" s="68">
        <f t="shared" si="43"/>
        <v>15</v>
      </c>
      <c r="W142" s="57"/>
      <c r="X142" s="60"/>
      <c r="Y142" s="45"/>
      <c r="Z142" s="48"/>
      <c r="AA142" s="35"/>
      <c r="AB142" s="36">
        <f t="shared" si="44"/>
        <v>0</v>
      </c>
      <c r="AC142" s="68">
        <f t="shared" si="45"/>
        <v>0</v>
      </c>
      <c r="AD142" s="63">
        <v>2</v>
      </c>
      <c r="AE142" s="32">
        <f t="shared" si="46"/>
        <v>2</v>
      </c>
      <c r="AF142" s="56"/>
      <c r="AG142" s="56"/>
      <c r="AH142" s="37">
        <f t="shared" si="34"/>
        <v>17</v>
      </c>
      <c r="AI142" s="38">
        <v>65</v>
      </c>
      <c r="AJ142" s="30">
        <f t="shared" si="47"/>
        <v>82</v>
      </c>
      <c r="AK142" s="37">
        <f t="shared" si="36"/>
        <v>82</v>
      </c>
      <c r="AL142" s="39">
        <f t="shared" si="37"/>
        <v>1.02</v>
      </c>
      <c r="AM142" s="40"/>
      <c r="AN142" s="41">
        <f t="shared" si="40"/>
        <v>1</v>
      </c>
      <c r="AO142" s="41">
        <f t="shared" si="40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48"/>
        <v>0</v>
      </c>
      <c r="AX142" s="71">
        <f t="shared" si="39"/>
        <v>0</v>
      </c>
    </row>
  </sheetData>
  <mergeCells count="59"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W3:AW4"/>
    <mergeCell ref="AX3:AX4"/>
    <mergeCell ref="A6:H6"/>
    <mergeCell ref="A8:H8"/>
    <mergeCell ref="A10:H10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V3:AV4"/>
    <mergeCell ref="AP3:AP4"/>
    <mergeCell ref="AG2:AH2"/>
    <mergeCell ref="AI2:AK2"/>
    <mergeCell ref="A24:H24"/>
    <mergeCell ref="A12:H12"/>
    <mergeCell ref="AS2:AT2"/>
    <mergeCell ref="AQ3:AQ4"/>
    <mergeCell ref="AR3:AR4"/>
    <mergeCell ref="AS3:AS4"/>
    <mergeCell ref="AT3:AT4"/>
    <mergeCell ref="AU3:AU4"/>
    <mergeCell ref="A32:H32"/>
    <mergeCell ref="W3:AE3"/>
    <mergeCell ref="AL3:AL4"/>
    <mergeCell ref="AM3:AM4"/>
    <mergeCell ref="A14:H14"/>
    <mergeCell ref="A16:H16"/>
    <mergeCell ref="A18:H18"/>
    <mergeCell ref="A20:H20"/>
    <mergeCell ref="A22:H22"/>
    <mergeCell ref="A26:H26"/>
    <mergeCell ref="A28:H28"/>
    <mergeCell ref="A30:H30"/>
    <mergeCell ref="A34:H34"/>
    <mergeCell ref="A36:H36"/>
    <mergeCell ref="A38:H38"/>
    <mergeCell ref="A40:H40"/>
    <mergeCell ref="A42:H42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417</v>
      </c>
      <c r="D1" s="339">
        <v>1673870000</v>
      </c>
      <c r="E1" s="340"/>
      <c r="F1" s="339"/>
      <c r="G1" s="340"/>
      <c r="H1" s="66" t="s">
        <v>416</v>
      </c>
      <c r="I1" s="341">
        <v>3124660000</v>
      </c>
      <c r="J1" s="341"/>
      <c r="K1" s="183" t="s">
        <v>426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415</v>
      </c>
      <c r="Z1" s="342"/>
      <c r="AA1" s="343" t="s">
        <v>414</v>
      </c>
      <c r="AB1" s="344"/>
      <c r="AC1" s="345"/>
      <c r="AD1" s="346" t="s">
        <v>32</v>
      </c>
      <c r="AE1" s="347"/>
      <c r="AF1" s="55"/>
      <c r="AG1" s="322" t="s">
        <v>413</v>
      </c>
      <c r="AH1" s="323"/>
      <c r="AI1" s="324">
        <f>D1</f>
        <v>1673870000</v>
      </c>
      <c r="AJ1" s="325"/>
      <c r="AK1" s="325"/>
      <c r="AL1" s="69" t="s">
        <v>412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411</v>
      </c>
      <c r="D2" s="327">
        <v>1841257000</v>
      </c>
      <c r="E2" s="328"/>
      <c r="F2" s="329"/>
      <c r="G2" s="330"/>
      <c r="H2" s="3" t="s">
        <v>410</v>
      </c>
      <c r="I2" s="331">
        <f>D2*1</f>
        <v>1841257000</v>
      </c>
      <c r="J2" s="329"/>
      <c r="K2" s="129" t="s">
        <v>409</v>
      </c>
      <c r="L2" s="130" t="s">
        <v>408</v>
      </c>
      <c r="M2" s="332">
        <v>45932.458333333336</v>
      </c>
      <c r="N2" s="332"/>
      <c r="O2" s="332"/>
      <c r="P2" s="332"/>
      <c r="Q2" s="131" t="s">
        <v>407</v>
      </c>
      <c r="R2" s="131"/>
      <c r="S2" s="131"/>
      <c r="T2" s="94"/>
      <c r="U2" s="132"/>
      <c r="V2" s="132"/>
      <c r="W2" s="133"/>
      <c r="X2" s="134"/>
      <c r="Y2" s="377">
        <v>2498290000</v>
      </c>
      <c r="Z2" s="377"/>
      <c r="AA2" s="334">
        <f>I1</f>
        <v>3124660000</v>
      </c>
      <c r="AB2" s="335"/>
      <c r="AC2" s="336"/>
      <c r="AD2" s="337">
        <f>TRUNC(Y2/AA2,4)</f>
        <v>0.79949999999999999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405</v>
      </c>
      <c r="AS2" s="348">
        <f>AI1</f>
        <v>1673870000</v>
      </c>
      <c r="AT2" s="349"/>
      <c r="AW2" s="72"/>
    </row>
    <row r="3" spans="1:50" s="12" customFormat="1" ht="24.95" customHeight="1" thickBot="1" x14ac:dyDescent="0.2">
      <c r="A3" s="350" t="s">
        <v>404</v>
      </c>
      <c r="B3" s="352" t="s">
        <v>403</v>
      </c>
      <c r="C3" s="354" t="s">
        <v>402</v>
      </c>
      <c r="D3" s="355"/>
      <c r="E3" s="355"/>
      <c r="F3" s="355"/>
      <c r="G3" s="355"/>
      <c r="H3" s="356"/>
      <c r="I3" s="354" t="s">
        <v>401</v>
      </c>
      <c r="J3" s="355"/>
      <c r="K3" s="355"/>
      <c r="L3" s="355"/>
      <c r="M3" s="356"/>
      <c r="N3" s="357" t="s">
        <v>400</v>
      </c>
      <c r="O3" s="359" t="s">
        <v>399</v>
      </c>
      <c r="P3" s="354" t="s">
        <v>398</v>
      </c>
      <c r="Q3" s="355"/>
      <c r="R3" s="361"/>
      <c r="S3" s="361"/>
      <c r="T3" s="355"/>
      <c r="U3" s="356"/>
      <c r="V3" s="222"/>
      <c r="W3" s="354" t="s">
        <v>397</v>
      </c>
      <c r="X3" s="355"/>
      <c r="Y3" s="355"/>
      <c r="Z3" s="355"/>
      <c r="AA3" s="355"/>
      <c r="AB3" s="355"/>
      <c r="AC3" s="355"/>
      <c r="AD3" s="355"/>
      <c r="AE3" s="356"/>
      <c r="AF3" s="220"/>
      <c r="AG3" s="220"/>
      <c r="AH3" s="220"/>
      <c r="AI3" s="220"/>
      <c r="AJ3" s="220"/>
      <c r="AK3" s="221"/>
      <c r="AL3" s="370" t="s">
        <v>396</v>
      </c>
      <c r="AM3" s="366" t="s">
        <v>395</v>
      </c>
      <c r="AN3" s="372" t="s">
        <v>394</v>
      </c>
      <c r="AO3" s="374" t="s">
        <v>393</v>
      </c>
      <c r="AP3" s="376" t="s">
        <v>392</v>
      </c>
      <c r="AQ3" s="362" t="s">
        <v>391</v>
      </c>
      <c r="AR3" s="366" t="s">
        <v>390</v>
      </c>
      <c r="AS3" s="362" t="s">
        <v>389</v>
      </c>
      <c r="AT3" s="362" t="s">
        <v>388</v>
      </c>
      <c r="AU3" s="362" t="s">
        <v>387</v>
      </c>
      <c r="AV3" s="368" t="s">
        <v>386</v>
      </c>
      <c r="AW3" s="362" t="s">
        <v>385</v>
      </c>
      <c r="AX3" s="362" t="s">
        <v>384</v>
      </c>
    </row>
    <row r="4" spans="1:50" s="12" customFormat="1" ht="39.75" customHeight="1" thickBot="1" x14ac:dyDescent="0.2">
      <c r="A4" s="351"/>
      <c r="B4" s="353"/>
      <c r="C4" s="13" t="s">
        <v>378</v>
      </c>
      <c r="D4" s="14" t="s">
        <v>377</v>
      </c>
      <c r="E4" s="15" t="s">
        <v>383</v>
      </c>
      <c r="F4" s="15" t="s">
        <v>375</v>
      </c>
      <c r="G4" s="16" t="s">
        <v>374</v>
      </c>
      <c r="H4" s="222" t="s">
        <v>382</v>
      </c>
      <c r="I4" s="17" t="s">
        <v>381</v>
      </c>
      <c r="J4" s="18" t="s">
        <v>377</v>
      </c>
      <c r="K4" s="14" t="s">
        <v>376</v>
      </c>
      <c r="L4" s="14" t="s">
        <v>375</v>
      </c>
      <c r="M4" s="19" t="s">
        <v>374</v>
      </c>
      <c r="N4" s="358"/>
      <c r="O4" s="360"/>
      <c r="P4" s="17" t="s">
        <v>378</v>
      </c>
      <c r="Q4" s="18" t="s">
        <v>377</v>
      </c>
      <c r="R4" s="14" t="s">
        <v>376</v>
      </c>
      <c r="S4" s="14" t="s">
        <v>375</v>
      </c>
      <c r="T4" s="19" t="s">
        <v>374</v>
      </c>
      <c r="U4" s="20" t="s">
        <v>380</v>
      </c>
      <c r="V4" s="21" t="s">
        <v>379</v>
      </c>
      <c r="W4" s="97" t="s">
        <v>378</v>
      </c>
      <c r="X4" s="18" t="s">
        <v>377</v>
      </c>
      <c r="Y4" s="18" t="s">
        <v>376</v>
      </c>
      <c r="Z4" s="18" t="s">
        <v>375</v>
      </c>
      <c r="AA4" s="19" t="s">
        <v>374</v>
      </c>
      <c r="AB4" s="65" t="s">
        <v>373</v>
      </c>
      <c r="AC4" s="127" t="s">
        <v>372</v>
      </c>
      <c r="AD4" s="128" t="s">
        <v>371</v>
      </c>
      <c r="AE4" s="128" t="s">
        <v>370</v>
      </c>
      <c r="AF4" s="117" t="s">
        <v>369</v>
      </c>
      <c r="AG4" s="117" t="s">
        <v>368</v>
      </c>
      <c r="AH4" s="118" t="s">
        <v>367</v>
      </c>
      <c r="AI4" s="119" t="s">
        <v>366</v>
      </c>
      <c r="AJ4" s="119"/>
      <c r="AK4" s="119" t="s">
        <v>365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364</v>
      </c>
      <c r="D5" s="50" t="s">
        <v>363</v>
      </c>
      <c r="E5" s="54"/>
      <c r="F5" s="52"/>
      <c r="G5" s="53"/>
      <c r="H5" s="139"/>
      <c r="I5" s="79">
        <v>0.7</v>
      </c>
      <c r="J5" s="225">
        <v>0.2944</v>
      </c>
      <c r="K5" s="26"/>
      <c r="L5" s="120"/>
      <c r="M5" s="99"/>
      <c r="N5" s="121">
        <f>SUM(I5:M5)</f>
        <v>0.99439999999999995</v>
      </c>
      <c r="O5" s="122">
        <v>1</v>
      </c>
      <c r="P5" s="80">
        <v>15</v>
      </c>
      <c r="Q5" s="181">
        <v>15</v>
      </c>
      <c r="R5" s="80"/>
      <c r="S5" s="126"/>
      <c r="T5" s="100"/>
      <c r="U5" s="123">
        <f>ROUND(((P5*I5)+(Q5*J5)+(R5*K5)+(S5*L5)+(T5*M5))*O5,2)</f>
        <v>14.92</v>
      </c>
      <c r="V5" s="101">
        <f>IF(U5&gt;=15,15,U5)</f>
        <v>14.92</v>
      </c>
      <c r="W5" s="33">
        <v>39361754000</v>
      </c>
      <c r="X5" s="184">
        <v>783455000</v>
      </c>
      <c r="Y5" s="33"/>
      <c r="Z5" s="90"/>
      <c r="AA5" s="102"/>
      <c r="AB5" s="124">
        <f>ROUND((((W5*I5)+(X5*J5)+(Y5*K5)+(Z5*L5)+(AA5*M5))/$I$2),2)*13</f>
        <v>196.17</v>
      </c>
      <c r="AC5" s="125">
        <f>IF(AB5&gt;=13,13,AB5)</f>
        <v>13</v>
      </c>
      <c r="AD5" s="226">
        <v>3</v>
      </c>
      <c r="AE5" s="123">
        <f>IF((AC5+AD5)&gt;=15,15,(AC5+AD5))</f>
        <v>15</v>
      </c>
      <c r="AF5" s="113">
        <f>0.5*I5</f>
        <v>0.35</v>
      </c>
      <c r="AG5" s="114"/>
      <c r="AH5" s="115">
        <f>IF((V5+AE5+AF5)&gt;=30,30,(V5+AE5+AF5))</f>
        <v>30</v>
      </c>
      <c r="AI5" s="116">
        <v>65</v>
      </c>
      <c r="AJ5" s="44">
        <f>V5+AE5+AF5+AI5+AG5</f>
        <v>95.27000000000001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358</v>
      </c>
      <c r="B6" s="364"/>
      <c r="C6" s="364"/>
      <c r="D6" s="364"/>
      <c r="E6" s="364"/>
      <c r="F6" s="364"/>
      <c r="G6" s="364"/>
      <c r="H6" s="365"/>
      <c r="I6" s="224">
        <v>90.73</v>
      </c>
      <c r="J6" s="104">
        <v>85</v>
      </c>
      <c r="K6" s="104"/>
      <c r="L6" s="104"/>
      <c r="M6" s="104"/>
      <c r="N6" s="143">
        <f>I6*I5+J6*J5+K6*K5+L6*L5+M6*M5</f>
        <v>88.534999999999997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362</v>
      </c>
      <c r="D7" s="88" t="s">
        <v>361</v>
      </c>
      <c r="E7" s="54"/>
      <c r="F7" s="54"/>
      <c r="G7" s="53"/>
      <c r="H7" s="140"/>
      <c r="I7" s="79">
        <v>0.7</v>
      </c>
      <c r="J7" s="26">
        <v>0.3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54">
        <v>13.4</v>
      </c>
      <c r="R7" s="80"/>
      <c r="S7" s="31"/>
      <c r="T7" s="89"/>
      <c r="U7" s="32">
        <f>ROUND(((P7*I7)+(Q7*J7)+(R7*K7)+(S7*L7)+(T7*M7))*O7,2)</f>
        <v>14.52</v>
      </c>
      <c r="V7" s="68">
        <f>IF(U7&gt;=15,15,U7)</f>
        <v>14.52</v>
      </c>
      <c r="W7" s="33">
        <v>57539030000</v>
      </c>
      <c r="X7" s="33">
        <v>3070576000</v>
      </c>
      <c r="Y7" s="33"/>
      <c r="Z7" s="45"/>
      <c r="AA7" s="35"/>
      <c r="AB7" s="36">
        <f>ROUND((((W7*I7)+(X7*J7)+(Y7*K7)+(Z7*L7)+(AA7*M7))/$I$2),2)*13</f>
        <v>290.94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>
        <f>1.5*I7</f>
        <v>1.0499999999999998</v>
      </c>
      <c r="AG7" s="114"/>
      <c r="AH7" s="37">
        <f>IF((V7+AE7+AF7)&gt;=30,30,(V7+AE7+AF7))</f>
        <v>30</v>
      </c>
      <c r="AI7" s="38">
        <v>65</v>
      </c>
      <c r="AJ7" s="30">
        <f>V7+AE7+AF7+AI7+AG7</f>
        <v>95.57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358</v>
      </c>
      <c r="B8" s="364"/>
      <c r="C8" s="364"/>
      <c r="D8" s="364"/>
      <c r="E8" s="364"/>
      <c r="F8" s="364"/>
      <c r="G8" s="364"/>
      <c r="H8" s="365"/>
      <c r="I8" s="104">
        <v>85</v>
      </c>
      <c r="J8" s="104">
        <v>85</v>
      </c>
      <c r="K8" s="104"/>
      <c r="L8" s="104"/>
      <c r="M8" s="104"/>
      <c r="N8" s="143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2" t="s">
        <v>360</v>
      </c>
      <c r="D9" s="88" t="s">
        <v>359</v>
      </c>
      <c r="E9" s="52"/>
      <c r="F9" s="54"/>
      <c r="G9" s="85"/>
      <c r="H9" s="146"/>
      <c r="I9" s="79">
        <v>0.7</v>
      </c>
      <c r="J9" s="225">
        <v>0.18260000000000001</v>
      </c>
      <c r="K9" s="26"/>
      <c r="L9" s="77"/>
      <c r="M9" s="78"/>
      <c r="N9" s="27">
        <f>SUM(I9:M9)</f>
        <v>0.88259999999999994</v>
      </c>
      <c r="O9" s="28">
        <v>1</v>
      </c>
      <c r="P9" s="80">
        <v>15</v>
      </c>
      <c r="Q9" s="154">
        <v>8.6</v>
      </c>
      <c r="R9" s="80"/>
      <c r="S9" s="30"/>
      <c r="T9" s="89"/>
      <c r="U9" s="32">
        <f>ROUND(((P9*I9)+(Q9*J9)+(R9*K9)+(S9*L9)+(T9*M9))*O9,2)</f>
        <v>12.07</v>
      </c>
      <c r="V9" s="68">
        <f>IF(U9&gt;=15,15,U9)</f>
        <v>12.07</v>
      </c>
      <c r="W9" s="33">
        <v>59183685000</v>
      </c>
      <c r="X9" s="33"/>
      <c r="Y9" s="33"/>
      <c r="Z9" s="45"/>
      <c r="AA9" s="35"/>
      <c r="AB9" s="36">
        <f>ROUND((((W9*I9)+(X9*J9)+(Y9*K9)+(Z9*L9)+(AA9*M9))/$I$2),2)*13</f>
        <v>292.5</v>
      </c>
      <c r="AC9" s="68">
        <f>IF(AB9&gt;=13,13,AB9)</f>
        <v>13</v>
      </c>
      <c r="AD9" s="63">
        <v>1</v>
      </c>
      <c r="AE9" s="32">
        <f>IF((AC9+AD9)&gt;=15,15,(AC9+AD9))</f>
        <v>14</v>
      </c>
      <c r="AF9" s="61">
        <f>1.5*I9</f>
        <v>1.0499999999999998</v>
      </c>
      <c r="AG9" s="114"/>
      <c r="AH9" s="37">
        <f>IF((V9+AE9+AF9)&gt;=30,30,(V9+AE9+AF9))</f>
        <v>27.12</v>
      </c>
      <c r="AI9" s="38">
        <v>65</v>
      </c>
      <c r="AJ9" s="30">
        <f>V9+AE9+AF9+AI9+AG9</f>
        <v>92.12</v>
      </c>
      <c r="AK9" s="37">
        <f>IF(AH9+AI9+AG9&gt;=95,95,AH9+AI9+AG9)</f>
        <v>92.12</v>
      </c>
      <c r="AL9" s="39">
        <f>-((50-((176+(45+(50-AH9)))))/200)</f>
        <v>0.96939999999999993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358</v>
      </c>
      <c r="B10" s="364"/>
      <c r="C10" s="364"/>
      <c r="D10" s="364"/>
      <c r="E10" s="364"/>
      <c r="F10" s="364"/>
      <c r="G10" s="364"/>
      <c r="H10" s="365"/>
      <c r="I10" s="224">
        <v>93.38</v>
      </c>
      <c r="J10" s="104">
        <v>85</v>
      </c>
      <c r="K10" s="104"/>
      <c r="L10" s="104"/>
      <c r="M10" s="104"/>
      <c r="N10" s="143">
        <f>I10*I9+J10*J9+K10*K9+L10*L9+M10*M9</f>
        <v>80.887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 t="s">
        <v>357</v>
      </c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42" si="1">ROUND(((P11*I11)+(Q11*J11)+(R11*K11)+(S11*L11)+(T11*M11))*O11,2)</f>
        <v>15</v>
      </c>
      <c r="V11" s="68">
        <f t="shared" ref="V11:V42" si="2">IF(U11&gt;=15,15,U11)</f>
        <v>15</v>
      </c>
      <c r="W11" s="92">
        <v>8216820000</v>
      </c>
      <c r="X11" s="33"/>
      <c r="Y11" s="33"/>
      <c r="Z11" s="45"/>
      <c r="AA11" s="35"/>
      <c r="AB11" s="36">
        <f t="shared" ref="AB11:AB42" si="3">ROUND((((W11*I11)+(X11*J11)+(Y11*K11)+(Z11*L11)+(AA11*M11))/$I$2),2)*13</f>
        <v>29.639999999999997</v>
      </c>
      <c r="AC11" s="68">
        <f t="shared" ref="AC11:AC42" si="4">IF(AB11&gt;=13,13,AB11)</f>
        <v>13</v>
      </c>
      <c r="AD11" s="63">
        <v>2</v>
      </c>
      <c r="AE11" s="32">
        <f t="shared" ref="AE11:AE42" si="5">IF((AC11+AD11)&gt;=15,15,(AC11+AD11))</f>
        <v>15</v>
      </c>
      <c r="AF11" s="61"/>
      <c r="AG11" s="114"/>
      <c r="AH11" s="37">
        <f t="shared" ref="AH11:AH42" si="6">IF((V11+AE11+AF11)&gt;=30,30,(V11+AE11+AF11))</f>
        <v>30</v>
      </c>
      <c r="AI11" s="38">
        <v>65</v>
      </c>
      <c r="AJ11" s="30">
        <f t="shared" ref="AJ11:AJ42" si="7">V11+AE11+AF11+AI11+AG11</f>
        <v>95</v>
      </c>
      <c r="AK11" s="37">
        <f t="shared" ref="AK11:AK42" si="8">IF(AH11+AI11+AG11&gt;=95,95,AH11+AI11+AG11)</f>
        <v>95</v>
      </c>
      <c r="AL11" s="39">
        <f t="shared" ref="AL11:AL42" si="9">-((50-((176+(45+(50-AH11)))))/200)</f>
        <v>0.95499999999999996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42" si="11">AR11+AS11+AT11+AU11+AV11</f>
        <v>0</v>
      </c>
      <c r="AX11" s="71">
        <f t="shared" ref="AX11:AX42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/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 t="s">
        <v>356</v>
      </c>
      <c r="D13" s="52"/>
      <c r="E13" s="49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>
        <v>14977246000</v>
      </c>
      <c r="X13" s="33"/>
      <c r="Y13" s="34"/>
      <c r="Z13" s="45"/>
      <c r="AA13" s="35"/>
      <c r="AB13" s="36">
        <f t="shared" si="3"/>
        <v>53.95</v>
      </c>
      <c r="AC13" s="68">
        <f t="shared" si="4"/>
        <v>13</v>
      </c>
      <c r="AD13" s="63">
        <v>2</v>
      </c>
      <c r="AE13" s="32">
        <f t="shared" si="5"/>
        <v>15</v>
      </c>
      <c r="AF13" s="61"/>
      <c r="AG13" s="114"/>
      <c r="AH13" s="37">
        <f t="shared" si="6"/>
        <v>30</v>
      </c>
      <c r="AI13" s="38">
        <v>65</v>
      </c>
      <c r="AJ13" s="30">
        <f t="shared" si="7"/>
        <v>95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355</v>
      </c>
      <c r="D14" s="52"/>
      <c r="E14" s="52"/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>
        <v>34748832000</v>
      </c>
      <c r="X14" s="33"/>
      <c r="Y14" s="33"/>
      <c r="Z14" s="45"/>
      <c r="AA14" s="35"/>
      <c r="AB14" s="36">
        <f t="shared" si="3"/>
        <v>125.05999999999999</v>
      </c>
      <c r="AC14" s="68">
        <f t="shared" si="4"/>
        <v>13</v>
      </c>
      <c r="AD14" s="63">
        <v>2</v>
      </c>
      <c r="AE14" s="32">
        <f t="shared" si="5"/>
        <v>15</v>
      </c>
      <c r="AF14" s="61"/>
      <c r="AG14" s="114"/>
      <c r="AH14" s="37">
        <f t="shared" si="6"/>
        <v>30</v>
      </c>
      <c r="AI14" s="38">
        <v>65</v>
      </c>
      <c r="AJ14" s="30">
        <f t="shared" si="7"/>
        <v>95</v>
      </c>
      <c r="AK14" s="37">
        <f t="shared" si="8"/>
        <v>95</v>
      </c>
      <c r="AL14" s="39">
        <f t="shared" si="9"/>
        <v>0.95499999999999996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/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74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ref="U43:U74" si="15">ROUND(((P43*I43)+(Q43*J43)+(R43*K43)+(S43*L43)+(T43*M43))*O43,2)</f>
        <v>15</v>
      </c>
      <c r="V43" s="68">
        <f t="shared" ref="V43:V74" si="16">IF(U43&gt;=15,15,U43)</f>
        <v>15</v>
      </c>
      <c r="W43" s="57"/>
      <c r="X43" s="60"/>
      <c r="Y43" s="45"/>
      <c r="Z43" s="48"/>
      <c r="AA43" s="35"/>
      <c r="AB43" s="36">
        <f t="shared" ref="AB43:AB74" si="17">ROUND((((W43*I43)+(X43*J43)+(Y43*K43)+(Z43*L43)+(AA43*M43))/$I$2),2)*13</f>
        <v>0</v>
      </c>
      <c r="AC43" s="68">
        <f t="shared" ref="AC43:AC74" si="18">IF(AB43&gt;=13,13,AB43)</f>
        <v>0</v>
      </c>
      <c r="AD43" s="63">
        <v>2</v>
      </c>
      <c r="AE43" s="32">
        <f t="shared" ref="AE43:AE74" si="19">IF((AC43+AD43)&gt;=15,15,(AC43+AD43))</f>
        <v>2</v>
      </c>
      <c r="AF43" s="56"/>
      <c r="AG43" s="56"/>
      <c r="AH43" s="37">
        <f t="shared" ref="AH43:AH74" si="20">IF((V43+AE43+AF43)&gt;=30,30,(V43+AE43+AF43))</f>
        <v>17</v>
      </c>
      <c r="AI43" s="38">
        <v>65</v>
      </c>
      <c r="AJ43" s="30">
        <f t="shared" ref="AJ43:AJ74" si="21">V43+AE43+AF43+AI43+AG43</f>
        <v>82</v>
      </c>
      <c r="AK43" s="37">
        <f t="shared" ref="AK43:AK74" si="22">IF(AH43+AI43+AG43&gt;=95,95,AH43+AI43+AG43)</f>
        <v>82</v>
      </c>
      <c r="AL43" s="39">
        <f t="shared" ref="AL43:AL74" si="23">-((50-((176+(45+(50-AH43)))))/200)</f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ref="AW43:AW74" si="24">AR43+AS43+AT43+AU43+AV43</f>
        <v>0</v>
      </c>
      <c r="AX43" s="71">
        <f t="shared" ref="AX43:AX74" si="25">(AR43*I43)+(AS43*J43)+(AT43*K43)+(AU43*L43)+(AV43*M43)</f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5"/>
        <v>15</v>
      </c>
      <c r="V44" s="68">
        <f t="shared" si="16"/>
        <v>15</v>
      </c>
      <c r="W44" s="57"/>
      <c r="X44" s="60"/>
      <c r="Y44" s="45"/>
      <c r="Z44" s="48"/>
      <c r="AA44" s="35"/>
      <c r="AB44" s="36">
        <f t="shared" si="17"/>
        <v>0</v>
      </c>
      <c r="AC44" s="68">
        <f t="shared" si="18"/>
        <v>0</v>
      </c>
      <c r="AD44" s="63">
        <v>2</v>
      </c>
      <c r="AE44" s="32">
        <f t="shared" si="19"/>
        <v>2</v>
      </c>
      <c r="AF44" s="56"/>
      <c r="AG44" s="56"/>
      <c r="AH44" s="37">
        <f t="shared" si="20"/>
        <v>17</v>
      </c>
      <c r="AI44" s="38">
        <v>65</v>
      </c>
      <c r="AJ44" s="30">
        <f t="shared" si="21"/>
        <v>82</v>
      </c>
      <c r="AK44" s="37">
        <f t="shared" si="22"/>
        <v>82</v>
      </c>
      <c r="AL44" s="39">
        <f t="shared" si="23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24"/>
        <v>0</v>
      </c>
      <c r="AX44" s="71">
        <f t="shared" si="25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5"/>
        <v>15</v>
      </c>
      <c r="V45" s="68">
        <f t="shared" si="16"/>
        <v>15</v>
      </c>
      <c r="W45" s="57"/>
      <c r="X45" s="60"/>
      <c r="Y45" s="45"/>
      <c r="Z45" s="48"/>
      <c r="AA45" s="35"/>
      <c r="AB45" s="36">
        <f t="shared" si="17"/>
        <v>0</v>
      </c>
      <c r="AC45" s="68">
        <f t="shared" si="18"/>
        <v>0</v>
      </c>
      <c r="AD45" s="63">
        <v>2</v>
      </c>
      <c r="AE45" s="32">
        <f t="shared" si="19"/>
        <v>2</v>
      </c>
      <c r="AF45" s="56"/>
      <c r="AG45" s="56"/>
      <c r="AH45" s="37">
        <f t="shared" si="20"/>
        <v>17</v>
      </c>
      <c r="AI45" s="38">
        <v>65</v>
      </c>
      <c r="AJ45" s="30">
        <f t="shared" si="21"/>
        <v>82</v>
      </c>
      <c r="AK45" s="37">
        <f t="shared" si="22"/>
        <v>82</v>
      </c>
      <c r="AL45" s="39">
        <f t="shared" si="23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24"/>
        <v>0</v>
      </c>
      <c r="AX45" s="71">
        <f t="shared" si="25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5"/>
        <v>15</v>
      </c>
      <c r="V46" s="68">
        <f t="shared" si="16"/>
        <v>15</v>
      </c>
      <c r="W46" s="57"/>
      <c r="X46" s="60"/>
      <c r="Y46" s="45"/>
      <c r="Z46" s="48"/>
      <c r="AA46" s="35"/>
      <c r="AB46" s="36">
        <f t="shared" si="17"/>
        <v>0</v>
      </c>
      <c r="AC46" s="68">
        <f t="shared" si="18"/>
        <v>0</v>
      </c>
      <c r="AD46" s="63">
        <v>2</v>
      </c>
      <c r="AE46" s="32">
        <f t="shared" si="19"/>
        <v>2</v>
      </c>
      <c r="AF46" s="56"/>
      <c r="AG46" s="56"/>
      <c r="AH46" s="37">
        <f t="shared" si="20"/>
        <v>17</v>
      </c>
      <c r="AI46" s="38">
        <v>65</v>
      </c>
      <c r="AJ46" s="30">
        <f t="shared" si="21"/>
        <v>82</v>
      </c>
      <c r="AK46" s="37">
        <f t="shared" si="22"/>
        <v>82</v>
      </c>
      <c r="AL46" s="39">
        <f t="shared" si="23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24"/>
        <v>0</v>
      </c>
      <c r="AX46" s="71">
        <f t="shared" si="25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5"/>
        <v>15</v>
      </c>
      <c r="V47" s="68">
        <f t="shared" si="16"/>
        <v>15</v>
      </c>
      <c r="W47" s="57"/>
      <c r="X47" s="60"/>
      <c r="Y47" s="45"/>
      <c r="Z47" s="48"/>
      <c r="AA47" s="35"/>
      <c r="AB47" s="36">
        <f t="shared" si="17"/>
        <v>0</v>
      </c>
      <c r="AC47" s="68">
        <f t="shared" si="18"/>
        <v>0</v>
      </c>
      <c r="AD47" s="63">
        <v>2</v>
      </c>
      <c r="AE47" s="32">
        <f t="shared" si="19"/>
        <v>2</v>
      </c>
      <c r="AF47" s="56"/>
      <c r="AG47" s="56"/>
      <c r="AH47" s="37">
        <f t="shared" si="20"/>
        <v>17</v>
      </c>
      <c r="AI47" s="38">
        <v>65</v>
      </c>
      <c r="AJ47" s="30">
        <f t="shared" si="21"/>
        <v>82</v>
      </c>
      <c r="AK47" s="37">
        <f t="shared" si="22"/>
        <v>82</v>
      </c>
      <c r="AL47" s="39">
        <f t="shared" si="23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24"/>
        <v>0</v>
      </c>
      <c r="AX47" s="71">
        <f t="shared" si="25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5"/>
        <v>15</v>
      </c>
      <c r="V48" s="68">
        <f t="shared" si="16"/>
        <v>15</v>
      </c>
      <c r="W48" s="57"/>
      <c r="X48" s="60"/>
      <c r="Y48" s="45"/>
      <c r="Z48" s="48"/>
      <c r="AA48" s="35"/>
      <c r="AB48" s="36">
        <f t="shared" si="17"/>
        <v>0</v>
      </c>
      <c r="AC48" s="68">
        <f t="shared" si="18"/>
        <v>0</v>
      </c>
      <c r="AD48" s="63">
        <v>2</v>
      </c>
      <c r="AE48" s="32">
        <f t="shared" si="19"/>
        <v>2</v>
      </c>
      <c r="AF48" s="56"/>
      <c r="AG48" s="56"/>
      <c r="AH48" s="37">
        <f t="shared" si="20"/>
        <v>17</v>
      </c>
      <c r="AI48" s="38">
        <v>65</v>
      </c>
      <c r="AJ48" s="30">
        <f t="shared" si="21"/>
        <v>82</v>
      </c>
      <c r="AK48" s="37">
        <f t="shared" si="22"/>
        <v>82</v>
      </c>
      <c r="AL48" s="39">
        <f t="shared" si="23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24"/>
        <v>0</v>
      </c>
      <c r="AX48" s="71">
        <f t="shared" si="25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5"/>
        <v>15</v>
      </c>
      <c r="V49" s="68">
        <f t="shared" si="16"/>
        <v>15</v>
      </c>
      <c r="W49" s="57"/>
      <c r="X49" s="60"/>
      <c r="Y49" s="45"/>
      <c r="Z49" s="48"/>
      <c r="AA49" s="35"/>
      <c r="AB49" s="36">
        <f t="shared" si="17"/>
        <v>0</v>
      </c>
      <c r="AC49" s="68">
        <f t="shared" si="18"/>
        <v>0</v>
      </c>
      <c r="AD49" s="63">
        <v>2</v>
      </c>
      <c r="AE49" s="32">
        <f t="shared" si="19"/>
        <v>2</v>
      </c>
      <c r="AF49" s="56"/>
      <c r="AG49" s="56"/>
      <c r="AH49" s="37">
        <f t="shared" si="20"/>
        <v>17</v>
      </c>
      <c r="AI49" s="38">
        <v>65</v>
      </c>
      <c r="AJ49" s="30">
        <f t="shared" si="21"/>
        <v>82</v>
      </c>
      <c r="AK49" s="37">
        <f t="shared" si="22"/>
        <v>82</v>
      </c>
      <c r="AL49" s="39">
        <f t="shared" si="23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24"/>
        <v>0</v>
      </c>
      <c r="AX49" s="71">
        <f t="shared" si="25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5"/>
        <v>15</v>
      </c>
      <c r="V50" s="68">
        <f t="shared" si="16"/>
        <v>15</v>
      </c>
      <c r="W50" s="57"/>
      <c r="X50" s="60"/>
      <c r="Y50" s="45"/>
      <c r="Z50" s="48"/>
      <c r="AA50" s="35"/>
      <c r="AB50" s="36">
        <f t="shared" si="17"/>
        <v>0</v>
      </c>
      <c r="AC50" s="68">
        <f t="shared" si="18"/>
        <v>0</v>
      </c>
      <c r="AD50" s="63">
        <v>2</v>
      </c>
      <c r="AE50" s="32">
        <f t="shared" si="19"/>
        <v>2</v>
      </c>
      <c r="AF50" s="56"/>
      <c r="AG50" s="56"/>
      <c r="AH50" s="37">
        <f t="shared" si="20"/>
        <v>17</v>
      </c>
      <c r="AI50" s="38">
        <v>65</v>
      </c>
      <c r="AJ50" s="30">
        <f t="shared" si="21"/>
        <v>82</v>
      </c>
      <c r="AK50" s="37">
        <f t="shared" si="22"/>
        <v>82</v>
      </c>
      <c r="AL50" s="39">
        <f t="shared" si="23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24"/>
        <v>0</v>
      </c>
      <c r="AX50" s="71">
        <f t="shared" si="25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5"/>
        <v>15</v>
      </c>
      <c r="V51" s="68">
        <f t="shared" si="16"/>
        <v>15</v>
      </c>
      <c r="W51" s="57"/>
      <c r="X51" s="60"/>
      <c r="Y51" s="45"/>
      <c r="Z51" s="48"/>
      <c r="AA51" s="35"/>
      <c r="AB51" s="36">
        <f t="shared" si="17"/>
        <v>0</v>
      </c>
      <c r="AC51" s="68">
        <f t="shared" si="18"/>
        <v>0</v>
      </c>
      <c r="AD51" s="63">
        <v>2</v>
      </c>
      <c r="AE51" s="32">
        <f t="shared" si="19"/>
        <v>2</v>
      </c>
      <c r="AF51" s="56"/>
      <c r="AG51" s="56"/>
      <c r="AH51" s="37">
        <f t="shared" si="20"/>
        <v>17</v>
      </c>
      <c r="AI51" s="38">
        <v>65</v>
      </c>
      <c r="AJ51" s="30">
        <f t="shared" si="21"/>
        <v>82</v>
      </c>
      <c r="AK51" s="37">
        <f t="shared" si="22"/>
        <v>82</v>
      </c>
      <c r="AL51" s="39">
        <f t="shared" si="23"/>
        <v>1.02</v>
      </c>
      <c r="AM51" s="40"/>
      <c r="AN51" s="41">
        <f t="shared" ref="AN51:AO70" si="26">100%+AM51</f>
        <v>1</v>
      </c>
      <c r="AO51" s="41">
        <f t="shared" si="26"/>
        <v>2</v>
      </c>
      <c r="AP51" s="43"/>
      <c r="AQ51" s="70"/>
      <c r="AR51" s="58"/>
      <c r="AS51" s="58"/>
      <c r="AT51" s="58"/>
      <c r="AU51" s="58"/>
      <c r="AV51" s="59"/>
      <c r="AW51" s="71">
        <f t="shared" si="24"/>
        <v>0</v>
      </c>
      <c r="AX51" s="71">
        <f t="shared" si="25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5"/>
        <v>15</v>
      </c>
      <c r="V52" s="68">
        <f t="shared" si="16"/>
        <v>15</v>
      </c>
      <c r="W52" s="57"/>
      <c r="X52" s="60"/>
      <c r="Y52" s="45"/>
      <c r="Z52" s="48"/>
      <c r="AA52" s="35"/>
      <c r="AB52" s="36">
        <f t="shared" si="17"/>
        <v>0</v>
      </c>
      <c r="AC52" s="68">
        <f t="shared" si="18"/>
        <v>0</v>
      </c>
      <c r="AD52" s="63">
        <v>2</v>
      </c>
      <c r="AE52" s="32">
        <f t="shared" si="19"/>
        <v>2</v>
      </c>
      <c r="AF52" s="56"/>
      <c r="AG52" s="56"/>
      <c r="AH52" s="37">
        <f t="shared" si="20"/>
        <v>17</v>
      </c>
      <c r="AI52" s="38">
        <v>65</v>
      </c>
      <c r="AJ52" s="30">
        <f t="shared" si="21"/>
        <v>82</v>
      </c>
      <c r="AK52" s="37">
        <f t="shared" si="22"/>
        <v>82</v>
      </c>
      <c r="AL52" s="39">
        <f t="shared" si="23"/>
        <v>1.02</v>
      </c>
      <c r="AM52" s="40"/>
      <c r="AN52" s="41">
        <f t="shared" si="26"/>
        <v>1</v>
      </c>
      <c r="AO52" s="41">
        <f t="shared" si="26"/>
        <v>2</v>
      </c>
      <c r="AP52" s="43"/>
      <c r="AQ52" s="70"/>
      <c r="AR52" s="58"/>
      <c r="AS52" s="58"/>
      <c r="AT52" s="58"/>
      <c r="AU52" s="58"/>
      <c r="AV52" s="59"/>
      <c r="AW52" s="71">
        <f t="shared" si="24"/>
        <v>0</v>
      </c>
      <c r="AX52" s="71">
        <f t="shared" si="25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5"/>
        <v>15</v>
      </c>
      <c r="V53" s="68">
        <f t="shared" si="16"/>
        <v>15</v>
      </c>
      <c r="W53" s="57"/>
      <c r="X53" s="60"/>
      <c r="Y53" s="45"/>
      <c r="Z53" s="48"/>
      <c r="AA53" s="35"/>
      <c r="AB53" s="36">
        <f t="shared" si="17"/>
        <v>0</v>
      </c>
      <c r="AC53" s="68">
        <f t="shared" si="18"/>
        <v>0</v>
      </c>
      <c r="AD53" s="63">
        <v>2</v>
      </c>
      <c r="AE53" s="32">
        <f t="shared" si="19"/>
        <v>2</v>
      </c>
      <c r="AF53" s="56"/>
      <c r="AG53" s="56"/>
      <c r="AH53" s="37">
        <f t="shared" si="20"/>
        <v>17</v>
      </c>
      <c r="AI53" s="38">
        <v>65</v>
      </c>
      <c r="AJ53" s="30">
        <f t="shared" si="21"/>
        <v>82</v>
      </c>
      <c r="AK53" s="37">
        <f t="shared" si="22"/>
        <v>82</v>
      </c>
      <c r="AL53" s="39">
        <f t="shared" si="23"/>
        <v>1.02</v>
      </c>
      <c r="AM53" s="40"/>
      <c r="AN53" s="41">
        <f t="shared" si="26"/>
        <v>1</v>
      </c>
      <c r="AO53" s="41">
        <f t="shared" si="26"/>
        <v>2</v>
      </c>
      <c r="AP53" s="43"/>
      <c r="AQ53" s="70"/>
      <c r="AR53" s="58"/>
      <c r="AS53" s="58"/>
      <c r="AT53" s="58"/>
      <c r="AU53" s="58"/>
      <c r="AV53" s="59"/>
      <c r="AW53" s="71">
        <f t="shared" si="24"/>
        <v>0</v>
      </c>
      <c r="AX53" s="71">
        <f t="shared" si="25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5"/>
        <v>15</v>
      </c>
      <c r="V54" s="68">
        <f t="shared" si="16"/>
        <v>15</v>
      </c>
      <c r="W54" s="57"/>
      <c r="X54" s="60"/>
      <c r="Y54" s="45"/>
      <c r="Z54" s="48"/>
      <c r="AA54" s="35"/>
      <c r="AB54" s="36">
        <f t="shared" si="17"/>
        <v>0</v>
      </c>
      <c r="AC54" s="68">
        <f t="shared" si="18"/>
        <v>0</v>
      </c>
      <c r="AD54" s="63">
        <v>2</v>
      </c>
      <c r="AE54" s="32">
        <f t="shared" si="19"/>
        <v>2</v>
      </c>
      <c r="AF54" s="56"/>
      <c r="AG54" s="56"/>
      <c r="AH54" s="37">
        <f t="shared" si="20"/>
        <v>17</v>
      </c>
      <c r="AI54" s="38">
        <v>65</v>
      </c>
      <c r="AJ54" s="30">
        <f t="shared" si="21"/>
        <v>82</v>
      </c>
      <c r="AK54" s="37">
        <f t="shared" si="22"/>
        <v>82</v>
      </c>
      <c r="AL54" s="39">
        <f t="shared" si="23"/>
        <v>1.02</v>
      </c>
      <c r="AM54" s="40"/>
      <c r="AN54" s="41">
        <f t="shared" si="26"/>
        <v>1</v>
      </c>
      <c r="AO54" s="41">
        <f t="shared" si="26"/>
        <v>2</v>
      </c>
      <c r="AP54" s="43"/>
      <c r="AQ54" s="70"/>
      <c r="AR54" s="58"/>
      <c r="AS54" s="58"/>
      <c r="AT54" s="58"/>
      <c r="AU54" s="58"/>
      <c r="AV54" s="59"/>
      <c r="AW54" s="71">
        <f t="shared" si="24"/>
        <v>0</v>
      </c>
      <c r="AX54" s="71">
        <f t="shared" si="25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5"/>
        <v>15</v>
      </c>
      <c r="V55" s="68">
        <f t="shared" si="16"/>
        <v>15</v>
      </c>
      <c r="W55" s="57"/>
      <c r="X55" s="60"/>
      <c r="Y55" s="45"/>
      <c r="Z55" s="48"/>
      <c r="AA55" s="35"/>
      <c r="AB55" s="36">
        <f t="shared" si="17"/>
        <v>0</v>
      </c>
      <c r="AC55" s="68">
        <f t="shared" si="18"/>
        <v>0</v>
      </c>
      <c r="AD55" s="63">
        <v>2</v>
      </c>
      <c r="AE55" s="32">
        <f t="shared" si="19"/>
        <v>2</v>
      </c>
      <c r="AF55" s="56"/>
      <c r="AG55" s="56"/>
      <c r="AH55" s="37">
        <f t="shared" si="20"/>
        <v>17</v>
      </c>
      <c r="AI55" s="38">
        <v>65</v>
      </c>
      <c r="AJ55" s="30">
        <f t="shared" si="21"/>
        <v>82</v>
      </c>
      <c r="AK55" s="37">
        <f t="shared" si="22"/>
        <v>82</v>
      </c>
      <c r="AL55" s="39">
        <f t="shared" si="23"/>
        <v>1.02</v>
      </c>
      <c r="AM55" s="40"/>
      <c r="AN55" s="41">
        <f t="shared" si="26"/>
        <v>1</v>
      </c>
      <c r="AO55" s="41">
        <f t="shared" si="26"/>
        <v>2</v>
      </c>
      <c r="AP55" s="43"/>
      <c r="AQ55" s="70"/>
      <c r="AR55" s="58"/>
      <c r="AS55" s="58"/>
      <c r="AT55" s="58"/>
      <c r="AU55" s="58"/>
      <c r="AV55" s="59"/>
      <c r="AW55" s="71">
        <f t="shared" si="24"/>
        <v>0</v>
      </c>
      <c r="AX55" s="71">
        <f t="shared" si="25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5"/>
        <v>15</v>
      </c>
      <c r="V56" s="68">
        <f t="shared" si="16"/>
        <v>15</v>
      </c>
      <c r="W56" s="57"/>
      <c r="X56" s="60"/>
      <c r="Y56" s="45"/>
      <c r="Z56" s="48"/>
      <c r="AA56" s="35"/>
      <c r="AB56" s="36">
        <f t="shared" si="17"/>
        <v>0</v>
      </c>
      <c r="AC56" s="68">
        <f t="shared" si="18"/>
        <v>0</v>
      </c>
      <c r="AD56" s="63">
        <v>2</v>
      </c>
      <c r="AE56" s="32">
        <f t="shared" si="19"/>
        <v>2</v>
      </c>
      <c r="AF56" s="56"/>
      <c r="AG56" s="56"/>
      <c r="AH56" s="37">
        <f t="shared" si="20"/>
        <v>17</v>
      </c>
      <c r="AI56" s="38">
        <v>65</v>
      </c>
      <c r="AJ56" s="30">
        <f t="shared" si="21"/>
        <v>82</v>
      </c>
      <c r="AK56" s="37">
        <f t="shared" si="22"/>
        <v>82</v>
      </c>
      <c r="AL56" s="39">
        <f t="shared" si="23"/>
        <v>1.02</v>
      </c>
      <c r="AM56" s="40"/>
      <c r="AN56" s="41">
        <f t="shared" si="26"/>
        <v>1</v>
      </c>
      <c r="AO56" s="41">
        <f t="shared" si="26"/>
        <v>2</v>
      </c>
      <c r="AP56" s="43"/>
      <c r="AQ56" s="70"/>
      <c r="AR56" s="58"/>
      <c r="AS56" s="58"/>
      <c r="AT56" s="58"/>
      <c r="AU56" s="58"/>
      <c r="AV56" s="59"/>
      <c r="AW56" s="71">
        <f t="shared" si="24"/>
        <v>0</v>
      </c>
      <c r="AX56" s="71">
        <f t="shared" si="25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5"/>
        <v>15</v>
      </c>
      <c r="V57" s="68">
        <f t="shared" si="16"/>
        <v>15</v>
      </c>
      <c r="W57" s="57"/>
      <c r="X57" s="60"/>
      <c r="Y57" s="45"/>
      <c r="Z57" s="48"/>
      <c r="AA57" s="35"/>
      <c r="AB57" s="36">
        <f t="shared" si="17"/>
        <v>0</v>
      </c>
      <c r="AC57" s="68">
        <f t="shared" si="18"/>
        <v>0</v>
      </c>
      <c r="AD57" s="63">
        <v>2</v>
      </c>
      <c r="AE57" s="32">
        <f t="shared" si="19"/>
        <v>2</v>
      </c>
      <c r="AF57" s="56"/>
      <c r="AG57" s="56"/>
      <c r="AH57" s="37">
        <f t="shared" si="20"/>
        <v>17</v>
      </c>
      <c r="AI57" s="38">
        <v>65</v>
      </c>
      <c r="AJ57" s="30">
        <f t="shared" si="21"/>
        <v>82</v>
      </c>
      <c r="AK57" s="37">
        <f t="shared" si="22"/>
        <v>82</v>
      </c>
      <c r="AL57" s="39">
        <f t="shared" si="23"/>
        <v>1.02</v>
      </c>
      <c r="AM57" s="40"/>
      <c r="AN57" s="41">
        <f t="shared" si="26"/>
        <v>1</v>
      </c>
      <c r="AO57" s="41">
        <f t="shared" si="26"/>
        <v>2</v>
      </c>
      <c r="AP57" s="43"/>
      <c r="AQ57" s="70"/>
      <c r="AR57" s="58"/>
      <c r="AS57" s="58"/>
      <c r="AT57" s="58"/>
      <c r="AU57" s="58"/>
      <c r="AV57" s="59"/>
      <c r="AW57" s="71">
        <f t="shared" si="24"/>
        <v>0</v>
      </c>
      <c r="AX57" s="71">
        <f t="shared" si="25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5"/>
        <v>15</v>
      </c>
      <c r="V58" s="68">
        <f t="shared" si="16"/>
        <v>15</v>
      </c>
      <c r="W58" s="57"/>
      <c r="X58" s="60"/>
      <c r="Y58" s="45"/>
      <c r="Z58" s="48"/>
      <c r="AA58" s="35"/>
      <c r="AB58" s="36">
        <f t="shared" si="17"/>
        <v>0</v>
      </c>
      <c r="AC58" s="68">
        <f t="shared" si="18"/>
        <v>0</v>
      </c>
      <c r="AD58" s="63">
        <v>2</v>
      </c>
      <c r="AE58" s="32">
        <f t="shared" si="19"/>
        <v>2</v>
      </c>
      <c r="AF58" s="56"/>
      <c r="AG58" s="56"/>
      <c r="AH58" s="37">
        <f t="shared" si="20"/>
        <v>17</v>
      </c>
      <c r="AI58" s="38">
        <v>65</v>
      </c>
      <c r="AJ58" s="30">
        <f t="shared" si="21"/>
        <v>82</v>
      </c>
      <c r="AK58" s="37">
        <f t="shared" si="22"/>
        <v>82</v>
      </c>
      <c r="AL58" s="39">
        <f t="shared" si="23"/>
        <v>1.02</v>
      </c>
      <c r="AM58" s="40"/>
      <c r="AN58" s="41">
        <f t="shared" si="26"/>
        <v>1</v>
      </c>
      <c r="AO58" s="41">
        <f t="shared" si="26"/>
        <v>2</v>
      </c>
      <c r="AP58" s="43"/>
      <c r="AQ58" s="70"/>
      <c r="AR58" s="58"/>
      <c r="AS58" s="58"/>
      <c r="AT58" s="58"/>
      <c r="AU58" s="58"/>
      <c r="AV58" s="59"/>
      <c r="AW58" s="71">
        <f t="shared" si="24"/>
        <v>0</v>
      </c>
      <c r="AX58" s="71">
        <f t="shared" si="25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5"/>
        <v>15</v>
      </c>
      <c r="V59" s="68">
        <f t="shared" si="16"/>
        <v>15</v>
      </c>
      <c r="W59" s="57"/>
      <c r="X59" s="60"/>
      <c r="Y59" s="45"/>
      <c r="Z59" s="48"/>
      <c r="AA59" s="35"/>
      <c r="AB59" s="36">
        <f t="shared" si="17"/>
        <v>0</v>
      </c>
      <c r="AC59" s="68">
        <f t="shared" si="18"/>
        <v>0</v>
      </c>
      <c r="AD59" s="63">
        <v>2</v>
      </c>
      <c r="AE59" s="32">
        <f t="shared" si="19"/>
        <v>2</v>
      </c>
      <c r="AF59" s="56"/>
      <c r="AG59" s="56"/>
      <c r="AH59" s="37">
        <f t="shared" si="20"/>
        <v>17</v>
      </c>
      <c r="AI59" s="38">
        <v>65</v>
      </c>
      <c r="AJ59" s="30">
        <f t="shared" si="21"/>
        <v>82</v>
      </c>
      <c r="AK59" s="37">
        <f t="shared" si="22"/>
        <v>82</v>
      </c>
      <c r="AL59" s="39">
        <f t="shared" si="23"/>
        <v>1.02</v>
      </c>
      <c r="AM59" s="40"/>
      <c r="AN59" s="41">
        <f t="shared" si="26"/>
        <v>1</v>
      </c>
      <c r="AO59" s="41">
        <f t="shared" si="26"/>
        <v>2</v>
      </c>
      <c r="AP59" s="43"/>
      <c r="AQ59" s="70"/>
      <c r="AR59" s="58"/>
      <c r="AS59" s="58"/>
      <c r="AT59" s="58"/>
      <c r="AU59" s="58"/>
      <c r="AV59" s="59"/>
      <c r="AW59" s="71">
        <f t="shared" si="24"/>
        <v>0</v>
      </c>
      <c r="AX59" s="71">
        <f t="shared" si="25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5"/>
        <v>15</v>
      </c>
      <c r="V60" s="68">
        <f t="shared" si="16"/>
        <v>15</v>
      </c>
      <c r="W60" s="57"/>
      <c r="X60" s="60"/>
      <c r="Y60" s="45"/>
      <c r="Z60" s="48"/>
      <c r="AA60" s="35"/>
      <c r="AB60" s="36">
        <f t="shared" si="17"/>
        <v>0</v>
      </c>
      <c r="AC60" s="68">
        <f t="shared" si="18"/>
        <v>0</v>
      </c>
      <c r="AD60" s="63">
        <v>2</v>
      </c>
      <c r="AE60" s="32">
        <f t="shared" si="19"/>
        <v>2</v>
      </c>
      <c r="AF60" s="56"/>
      <c r="AG60" s="56"/>
      <c r="AH60" s="37">
        <f t="shared" si="20"/>
        <v>17</v>
      </c>
      <c r="AI60" s="38">
        <v>65</v>
      </c>
      <c r="AJ60" s="30">
        <f t="shared" si="21"/>
        <v>82</v>
      </c>
      <c r="AK60" s="37">
        <f t="shared" si="22"/>
        <v>82</v>
      </c>
      <c r="AL60" s="39">
        <f t="shared" si="23"/>
        <v>1.02</v>
      </c>
      <c r="AM60" s="40"/>
      <c r="AN60" s="41">
        <f t="shared" si="26"/>
        <v>1</v>
      </c>
      <c r="AO60" s="41">
        <f t="shared" si="26"/>
        <v>2</v>
      </c>
      <c r="AP60" s="43"/>
      <c r="AQ60" s="70"/>
      <c r="AR60" s="58"/>
      <c r="AS60" s="58"/>
      <c r="AT60" s="58"/>
      <c r="AU60" s="58"/>
      <c r="AV60" s="59"/>
      <c r="AW60" s="71">
        <f t="shared" si="24"/>
        <v>0</v>
      </c>
      <c r="AX60" s="71">
        <f t="shared" si="25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5"/>
        <v>15</v>
      </c>
      <c r="V61" s="68">
        <f t="shared" si="16"/>
        <v>15</v>
      </c>
      <c r="W61" s="57"/>
      <c r="X61" s="60"/>
      <c r="Y61" s="45"/>
      <c r="Z61" s="48"/>
      <c r="AA61" s="35"/>
      <c r="AB61" s="36">
        <f t="shared" si="17"/>
        <v>0</v>
      </c>
      <c r="AC61" s="68">
        <f t="shared" si="18"/>
        <v>0</v>
      </c>
      <c r="AD61" s="63">
        <v>2</v>
      </c>
      <c r="AE61" s="32">
        <f t="shared" si="19"/>
        <v>2</v>
      </c>
      <c r="AF61" s="56"/>
      <c r="AG61" s="56"/>
      <c r="AH61" s="37">
        <f t="shared" si="20"/>
        <v>17</v>
      </c>
      <c r="AI61" s="38">
        <v>65</v>
      </c>
      <c r="AJ61" s="30">
        <f t="shared" si="21"/>
        <v>82</v>
      </c>
      <c r="AK61" s="37">
        <f t="shared" si="22"/>
        <v>82</v>
      </c>
      <c r="AL61" s="39">
        <f t="shared" si="23"/>
        <v>1.02</v>
      </c>
      <c r="AM61" s="40"/>
      <c r="AN61" s="41">
        <f t="shared" si="26"/>
        <v>1</v>
      </c>
      <c r="AO61" s="41">
        <f t="shared" si="26"/>
        <v>2</v>
      </c>
      <c r="AP61" s="43"/>
      <c r="AQ61" s="70"/>
      <c r="AR61" s="58"/>
      <c r="AS61" s="58"/>
      <c r="AT61" s="58"/>
      <c r="AU61" s="58"/>
      <c r="AV61" s="59"/>
      <c r="AW61" s="71">
        <f t="shared" si="24"/>
        <v>0</v>
      </c>
      <c r="AX61" s="71">
        <f t="shared" si="25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5"/>
        <v>15</v>
      </c>
      <c r="V62" s="68">
        <f t="shared" si="16"/>
        <v>15</v>
      </c>
      <c r="W62" s="57"/>
      <c r="X62" s="60"/>
      <c r="Y62" s="45"/>
      <c r="Z62" s="48"/>
      <c r="AA62" s="35"/>
      <c r="AB62" s="36">
        <f t="shared" si="17"/>
        <v>0</v>
      </c>
      <c r="AC62" s="68">
        <f t="shared" si="18"/>
        <v>0</v>
      </c>
      <c r="AD62" s="63">
        <v>2</v>
      </c>
      <c r="AE62" s="32">
        <f t="shared" si="19"/>
        <v>2</v>
      </c>
      <c r="AF62" s="56"/>
      <c r="AG62" s="56"/>
      <c r="AH62" s="37">
        <f t="shared" si="20"/>
        <v>17</v>
      </c>
      <c r="AI62" s="38">
        <v>65</v>
      </c>
      <c r="AJ62" s="30">
        <f t="shared" si="21"/>
        <v>82</v>
      </c>
      <c r="AK62" s="37">
        <f t="shared" si="22"/>
        <v>82</v>
      </c>
      <c r="AL62" s="39">
        <f t="shared" si="23"/>
        <v>1.02</v>
      </c>
      <c r="AM62" s="40"/>
      <c r="AN62" s="41">
        <f t="shared" si="26"/>
        <v>1</v>
      </c>
      <c r="AO62" s="41">
        <f t="shared" si="26"/>
        <v>2</v>
      </c>
      <c r="AP62" s="43"/>
      <c r="AQ62" s="70"/>
      <c r="AR62" s="58"/>
      <c r="AS62" s="58"/>
      <c r="AT62" s="58"/>
      <c r="AU62" s="58"/>
      <c r="AV62" s="59"/>
      <c r="AW62" s="71">
        <f t="shared" si="24"/>
        <v>0</v>
      </c>
      <c r="AX62" s="71">
        <f t="shared" si="25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5"/>
        <v>15</v>
      </c>
      <c r="V63" s="68">
        <f t="shared" si="16"/>
        <v>15</v>
      </c>
      <c r="W63" s="57"/>
      <c r="X63" s="60"/>
      <c r="Y63" s="45"/>
      <c r="Z63" s="48"/>
      <c r="AA63" s="35"/>
      <c r="AB63" s="36">
        <f t="shared" si="17"/>
        <v>0</v>
      </c>
      <c r="AC63" s="68">
        <f t="shared" si="18"/>
        <v>0</v>
      </c>
      <c r="AD63" s="63">
        <v>2</v>
      </c>
      <c r="AE63" s="32">
        <f t="shared" si="19"/>
        <v>2</v>
      </c>
      <c r="AF63" s="56"/>
      <c r="AG63" s="56"/>
      <c r="AH63" s="37">
        <f t="shared" si="20"/>
        <v>17</v>
      </c>
      <c r="AI63" s="38">
        <v>65</v>
      </c>
      <c r="AJ63" s="30">
        <f t="shared" si="21"/>
        <v>82</v>
      </c>
      <c r="AK63" s="37">
        <f t="shared" si="22"/>
        <v>82</v>
      </c>
      <c r="AL63" s="39">
        <f t="shared" si="23"/>
        <v>1.02</v>
      </c>
      <c r="AM63" s="40"/>
      <c r="AN63" s="41">
        <f t="shared" si="26"/>
        <v>1</v>
      </c>
      <c r="AO63" s="41">
        <f t="shared" si="26"/>
        <v>2</v>
      </c>
      <c r="AP63" s="43"/>
      <c r="AQ63" s="70"/>
      <c r="AR63" s="58"/>
      <c r="AS63" s="58"/>
      <c r="AT63" s="58"/>
      <c r="AU63" s="58"/>
      <c r="AV63" s="59"/>
      <c r="AW63" s="71">
        <f t="shared" si="24"/>
        <v>0</v>
      </c>
      <c r="AX63" s="71">
        <f t="shared" si="25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5"/>
        <v>15</v>
      </c>
      <c r="V64" s="68">
        <f t="shared" si="16"/>
        <v>15</v>
      </c>
      <c r="W64" s="57"/>
      <c r="X64" s="60"/>
      <c r="Y64" s="45"/>
      <c r="Z64" s="48"/>
      <c r="AA64" s="35"/>
      <c r="AB64" s="36">
        <f t="shared" si="17"/>
        <v>0</v>
      </c>
      <c r="AC64" s="68">
        <f t="shared" si="18"/>
        <v>0</v>
      </c>
      <c r="AD64" s="63">
        <v>2</v>
      </c>
      <c r="AE64" s="32">
        <f t="shared" si="19"/>
        <v>2</v>
      </c>
      <c r="AF64" s="56"/>
      <c r="AG64" s="56"/>
      <c r="AH64" s="37">
        <f t="shared" si="20"/>
        <v>17</v>
      </c>
      <c r="AI64" s="38">
        <v>65</v>
      </c>
      <c r="AJ64" s="30">
        <f t="shared" si="21"/>
        <v>82</v>
      </c>
      <c r="AK64" s="37">
        <f t="shared" si="22"/>
        <v>82</v>
      </c>
      <c r="AL64" s="39">
        <f t="shared" si="23"/>
        <v>1.02</v>
      </c>
      <c r="AM64" s="40"/>
      <c r="AN64" s="41">
        <f t="shared" si="26"/>
        <v>1</v>
      </c>
      <c r="AO64" s="41">
        <f t="shared" si="26"/>
        <v>2</v>
      </c>
      <c r="AP64" s="43"/>
      <c r="AQ64" s="70"/>
      <c r="AR64" s="58"/>
      <c r="AS64" s="58"/>
      <c r="AT64" s="58"/>
      <c r="AU64" s="58"/>
      <c r="AV64" s="59"/>
      <c r="AW64" s="71">
        <f t="shared" si="24"/>
        <v>0</v>
      </c>
      <c r="AX64" s="71">
        <f t="shared" si="25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5"/>
        <v>15</v>
      </c>
      <c r="V65" s="68">
        <f t="shared" si="16"/>
        <v>15</v>
      </c>
      <c r="W65" s="57"/>
      <c r="X65" s="60"/>
      <c r="Y65" s="45"/>
      <c r="Z65" s="48"/>
      <c r="AA65" s="35"/>
      <c r="AB65" s="36">
        <f t="shared" si="17"/>
        <v>0</v>
      </c>
      <c r="AC65" s="68">
        <f t="shared" si="18"/>
        <v>0</v>
      </c>
      <c r="AD65" s="63">
        <v>2</v>
      </c>
      <c r="AE65" s="32">
        <f t="shared" si="19"/>
        <v>2</v>
      </c>
      <c r="AF65" s="56"/>
      <c r="AG65" s="56"/>
      <c r="AH65" s="37">
        <f t="shared" si="20"/>
        <v>17</v>
      </c>
      <c r="AI65" s="38">
        <v>65</v>
      </c>
      <c r="AJ65" s="30">
        <f t="shared" si="21"/>
        <v>82</v>
      </c>
      <c r="AK65" s="37">
        <f t="shared" si="22"/>
        <v>82</v>
      </c>
      <c r="AL65" s="39">
        <f t="shared" si="23"/>
        <v>1.02</v>
      </c>
      <c r="AM65" s="40"/>
      <c r="AN65" s="41">
        <f t="shared" si="26"/>
        <v>1</v>
      </c>
      <c r="AO65" s="41">
        <f t="shared" si="26"/>
        <v>2</v>
      </c>
      <c r="AP65" s="43"/>
      <c r="AQ65" s="70"/>
      <c r="AR65" s="58"/>
      <c r="AS65" s="58"/>
      <c r="AT65" s="58"/>
      <c r="AU65" s="58"/>
      <c r="AV65" s="59"/>
      <c r="AW65" s="71">
        <f t="shared" si="24"/>
        <v>0</v>
      </c>
      <c r="AX65" s="71">
        <f t="shared" si="25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5"/>
        <v>15</v>
      </c>
      <c r="V66" s="68">
        <f t="shared" si="16"/>
        <v>15</v>
      </c>
      <c r="W66" s="57"/>
      <c r="X66" s="60"/>
      <c r="Y66" s="45"/>
      <c r="Z66" s="48"/>
      <c r="AA66" s="35"/>
      <c r="AB66" s="36">
        <f t="shared" si="17"/>
        <v>0</v>
      </c>
      <c r="AC66" s="68">
        <f t="shared" si="18"/>
        <v>0</v>
      </c>
      <c r="AD66" s="63">
        <v>2</v>
      </c>
      <c r="AE66" s="32">
        <f t="shared" si="19"/>
        <v>2</v>
      </c>
      <c r="AF66" s="56"/>
      <c r="AG66" s="56"/>
      <c r="AH66" s="37">
        <f t="shared" si="20"/>
        <v>17</v>
      </c>
      <c r="AI66" s="38">
        <v>65</v>
      </c>
      <c r="AJ66" s="30">
        <f t="shared" si="21"/>
        <v>82</v>
      </c>
      <c r="AK66" s="37">
        <f t="shared" si="22"/>
        <v>82</v>
      </c>
      <c r="AL66" s="39">
        <f t="shared" si="23"/>
        <v>1.02</v>
      </c>
      <c r="AM66" s="40"/>
      <c r="AN66" s="41">
        <f t="shared" si="26"/>
        <v>1</v>
      </c>
      <c r="AO66" s="41">
        <f t="shared" si="26"/>
        <v>2</v>
      </c>
      <c r="AP66" s="43"/>
      <c r="AQ66" s="70"/>
      <c r="AR66" s="58"/>
      <c r="AS66" s="58"/>
      <c r="AT66" s="58"/>
      <c r="AU66" s="58"/>
      <c r="AV66" s="59"/>
      <c r="AW66" s="71">
        <f t="shared" si="24"/>
        <v>0</v>
      </c>
      <c r="AX66" s="71">
        <f t="shared" si="25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5"/>
        <v>15</v>
      </c>
      <c r="V67" s="68">
        <f t="shared" si="16"/>
        <v>15</v>
      </c>
      <c r="W67" s="57"/>
      <c r="X67" s="60"/>
      <c r="Y67" s="45"/>
      <c r="Z67" s="48"/>
      <c r="AA67" s="35"/>
      <c r="AB67" s="36">
        <f t="shared" si="17"/>
        <v>0</v>
      </c>
      <c r="AC67" s="68">
        <f t="shared" si="18"/>
        <v>0</v>
      </c>
      <c r="AD67" s="63">
        <v>2</v>
      </c>
      <c r="AE67" s="32">
        <f t="shared" si="19"/>
        <v>2</v>
      </c>
      <c r="AF67" s="56"/>
      <c r="AG67" s="56"/>
      <c r="AH67" s="37">
        <f t="shared" si="20"/>
        <v>17</v>
      </c>
      <c r="AI67" s="38">
        <v>65</v>
      </c>
      <c r="AJ67" s="30">
        <f t="shared" si="21"/>
        <v>82</v>
      </c>
      <c r="AK67" s="37">
        <f t="shared" si="22"/>
        <v>82</v>
      </c>
      <c r="AL67" s="39">
        <f t="shared" si="23"/>
        <v>1.02</v>
      </c>
      <c r="AM67" s="40"/>
      <c r="AN67" s="41">
        <f t="shared" si="26"/>
        <v>1</v>
      </c>
      <c r="AO67" s="41">
        <f t="shared" si="26"/>
        <v>2</v>
      </c>
      <c r="AP67" s="43"/>
      <c r="AQ67" s="70"/>
      <c r="AR67" s="58"/>
      <c r="AS67" s="58"/>
      <c r="AT67" s="58"/>
      <c r="AU67" s="58"/>
      <c r="AV67" s="59"/>
      <c r="AW67" s="71">
        <f t="shared" si="24"/>
        <v>0</v>
      </c>
      <c r="AX67" s="71">
        <f t="shared" si="25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5"/>
        <v>15</v>
      </c>
      <c r="V68" s="68">
        <f t="shared" si="16"/>
        <v>15</v>
      </c>
      <c r="W68" s="57"/>
      <c r="X68" s="60"/>
      <c r="Y68" s="45"/>
      <c r="Z68" s="48"/>
      <c r="AA68" s="35"/>
      <c r="AB68" s="36">
        <f t="shared" si="17"/>
        <v>0</v>
      </c>
      <c r="AC68" s="68">
        <f t="shared" si="18"/>
        <v>0</v>
      </c>
      <c r="AD68" s="63">
        <v>2</v>
      </c>
      <c r="AE68" s="32">
        <f t="shared" si="19"/>
        <v>2</v>
      </c>
      <c r="AF68" s="56"/>
      <c r="AG68" s="56"/>
      <c r="AH68" s="37">
        <f t="shared" si="20"/>
        <v>17</v>
      </c>
      <c r="AI68" s="38">
        <v>65</v>
      </c>
      <c r="AJ68" s="30">
        <f t="shared" si="21"/>
        <v>82</v>
      </c>
      <c r="AK68" s="37">
        <f t="shared" si="22"/>
        <v>82</v>
      </c>
      <c r="AL68" s="39">
        <f t="shared" si="23"/>
        <v>1.02</v>
      </c>
      <c r="AM68" s="40"/>
      <c r="AN68" s="41">
        <f t="shared" si="26"/>
        <v>1</v>
      </c>
      <c r="AO68" s="41">
        <f t="shared" si="26"/>
        <v>2</v>
      </c>
      <c r="AP68" s="43"/>
      <c r="AQ68" s="70"/>
      <c r="AR68" s="58"/>
      <c r="AS68" s="58"/>
      <c r="AT68" s="58"/>
      <c r="AU68" s="58"/>
      <c r="AV68" s="59"/>
      <c r="AW68" s="71">
        <f t="shared" si="24"/>
        <v>0</v>
      </c>
      <c r="AX68" s="71">
        <f t="shared" si="25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5"/>
        <v>15</v>
      </c>
      <c r="V69" s="68">
        <f t="shared" si="16"/>
        <v>15</v>
      </c>
      <c r="W69" s="57"/>
      <c r="X69" s="60"/>
      <c r="Y69" s="45"/>
      <c r="Z69" s="48"/>
      <c r="AA69" s="35"/>
      <c r="AB69" s="36">
        <f t="shared" si="17"/>
        <v>0</v>
      </c>
      <c r="AC69" s="68">
        <f t="shared" si="18"/>
        <v>0</v>
      </c>
      <c r="AD69" s="63">
        <v>2</v>
      </c>
      <c r="AE69" s="32">
        <f t="shared" si="19"/>
        <v>2</v>
      </c>
      <c r="AF69" s="56"/>
      <c r="AG69" s="56"/>
      <c r="AH69" s="37">
        <f t="shared" si="20"/>
        <v>17</v>
      </c>
      <c r="AI69" s="38">
        <v>65</v>
      </c>
      <c r="AJ69" s="30">
        <f t="shared" si="21"/>
        <v>82</v>
      </c>
      <c r="AK69" s="37">
        <f t="shared" si="22"/>
        <v>82</v>
      </c>
      <c r="AL69" s="39">
        <f t="shared" si="23"/>
        <v>1.02</v>
      </c>
      <c r="AM69" s="40"/>
      <c r="AN69" s="41">
        <f t="shared" si="26"/>
        <v>1</v>
      </c>
      <c r="AO69" s="41">
        <f t="shared" si="26"/>
        <v>2</v>
      </c>
      <c r="AP69" s="43"/>
      <c r="AQ69" s="70"/>
      <c r="AR69" s="58"/>
      <c r="AS69" s="58"/>
      <c r="AT69" s="58"/>
      <c r="AU69" s="58"/>
      <c r="AV69" s="59"/>
      <c r="AW69" s="71">
        <f t="shared" si="24"/>
        <v>0</v>
      </c>
      <c r="AX69" s="71">
        <f t="shared" si="25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5"/>
        <v>15</v>
      </c>
      <c r="V70" s="68">
        <f t="shared" si="16"/>
        <v>15</v>
      </c>
      <c r="W70" s="57"/>
      <c r="X70" s="60"/>
      <c r="Y70" s="45"/>
      <c r="Z70" s="48"/>
      <c r="AA70" s="35"/>
      <c r="AB70" s="36">
        <f t="shared" si="17"/>
        <v>0</v>
      </c>
      <c r="AC70" s="68">
        <f t="shared" si="18"/>
        <v>0</v>
      </c>
      <c r="AD70" s="63">
        <v>2</v>
      </c>
      <c r="AE70" s="32">
        <f t="shared" si="19"/>
        <v>2</v>
      </c>
      <c r="AF70" s="56"/>
      <c r="AG70" s="56"/>
      <c r="AH70" s="37">
        <f t="shared" si="20"/>
        <v>17</v>
      </c>
      <c r="AI70" s="38">
        <v>65</v>
      </c>
      <c r="AJ70" s="30">
        <f t="shared" si="21"/>
        <v>82</v>
      </c>
      <c r="AK70" s="37">
        <f t="shared" si="22"/>
        <v>82</v>
      </c>
      <c r="AL70" s="39">
        <f t="shared" si="23"/>
        <v>1.02</v>
      </c>
      <c r="AM70" s="40"/>
      <c r="AN70" s="41">
        <f t="shared" si="26"/>
        <v>1</v>
      </c>
      <c r="AO70" s="41">
        <f t="shared" si="26"/>
        <v>2</v>
      </c>
      <c r="AP70" s="43"/>
      <c r="AQ70" s="70"/>
      <c r="AR70" s="58"/>
      <c r="AS70" s="58"/>
      <c r="AT70" s="58"/>
      <c r="AU70" s="58"/>
      <c r="AV70" s="59"/>
      <c r="AW70" s="71">
        <f t="shared" si="24"/>
        <v>0</v>
      </c>
      <c r="AX70" s="71">
        <f t="shared" si="25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5"/>
        <v>15</v>
      </c>
      <c r="V71" s="68">
        <f t="shared" si="16"/>
        <v>15</v>
      </c>
      <c r="W71" s="57"/>
      <c r="X71" s="60"/>
      <c r="Y71" s="45"/>
      <c r="Z71" s="48"/>
      <c r="AA71" s="35"/>
      <c r="AB71" s="36">
        <f t="shared" si="17"/>
        <v>0</v>
      </c>
      <c r="AC71" s="68">
        <f t="shared" si="18"/>
        <v>0</v>
      </c>
      <c r="AD71" s="63">
        <v>2</v>
      </c>
      <c r="AE71" s="32">
        <f t="shared" si="19"/>
        <v>2</v>
      </c>
      <c r="AF71" s="56"/>
      <c r="AG71" s="56"/>
      <c r="AH71" s="37">
        <f t="shared" si="20"/>
        <v>17</v>
      </c>
      <c r="AI71" s="38">
        <v>65</v>
      </c>
      <c r="AJ71" s="30">
        <f t="shared" si="21"/>
        <v>82</v>
      </c>
      <c r="AK71" s="37">
        <f t="shared" si="22"/>
        <v>82</v>
      </c>
      <c r="AL71" s="39">
        <f t="shared" si="23"/>
        <v>1.02</v>
      </c>
      <c r="AM71" s="40"/>
      <c r="AN71" s="41">
        <f t="shared" ref="AN71:AO90" si="27">100%+AM71</f>
        <v>1</v>
      </c>
      <c r="AO71" s="41">
        <f t="shared" si="27"/>
        <v>2</v>
      </c>
      <c r="AP71" s="43"/>
      <c r="AQ71" s="70"/>
      <c r="AR71" s="58"/>
      <c r="AS71" s="58"/>
      <c r="AT71" s="58"/>
      <c r="AU71" s="58"/>
      <c r="AV71" s="59"/>
      <c r="AW71" s="71">
        <f t="shared" si="24"/>
        <v>0</v>
      </c>
      <c r="AX71" s="71">
        <f t="shared" si="25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5"/>
        <v>15</v>
      </c>
      <c r="V72" s="68">
        <f t="shared" si="16"/>
        <v>15</v>
      </c>
      <c r="W72" s="57"/>
      <c r="X72" s="60"/>
      <c r="Y72" s="45"/>
      <c r="Z72" s="48"/>
      <c r="AA72" s="35"/>
      <c r="AB72" s="36">
        <f t="shared" si="17"/>
        <v>0</v>
      </c>
      <c r="AC72" s="68">
        <f t="shared" si="18"/>
        <v>0</v>
      </c>
      <c r="AD72" s="63">
        <v>2</v>
      </c>
      <c r="AE72" s="32">
        <f t="shared" si="19"/>
        <v>2</v>
      </c>
      <c r="AF72" s="56"/>
      <c r="AG72" s="56"/>
      <c r="AH72" s="37">
        <f t="shared" si="20"/>
        <v>17</v>
      </c>
      <c r="AI72" s="38">
        <v>65</v>
      </c>
      <c r="AJ72" s="30">
        <f t="shared" si="21"/>
        <v>82</v>
      </c>
      <c r="AK72" s="37">
        <f t="shared" si="22"/>
        <v>82</v>
      </c>
      <c r="AL72" s="39">
        <f t="shared" si="23"/>
        <v>1.02</v>
      </c>
      <c r="AM72" s="40"/>
      <c r="AN72" s="41">
        <f t="shared" si="27"/>
        <v>1</v>
      </c>
      <c r="AO72" s="41">
        <f t="shared" si="27"/>
        <v>2</v>
      </c>
      <c r="AP72" s="43"/>
      <c r="AQ72" s="70"/>
      <c r="AR72" s="58"/>
      <c r="AS72" s="58"/>
      <c r="AT72" s="58"/>
      <c r="AU72" s="58"/>
      <c r="AV72" s="59"/>
      <c r="AW72" s="71">
        <f t="shared" si="24"/>
        <v>0</v>
      </c>
      <c r="AX72" s="71">
        <f t="shared" si="25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5"/>
        <v>15</v>
      </c>
      <c r="V73" s="68">
        <f t="shared" si="16"/>
        <v>15</v>
      </c>
      <c r="W73" s="57"/>
      <c r="X73" s="60"/>
      <c r="Y73" s="45"/>
      <c r="Z73" s="48"/>
      <c r="AA73" s="35"/>
      <c r="AB73" s="36">
        <f t="shared" si="17"/>
        <v>0</v>
      </c>
      <c r="AC73" s="68">
        <f t="shared" si="18"/>
        <v>0</v>
      </c>
      <c r="AD73" s="63">
        <v>2</v>
      </c>
      <c r="AE73" s="32">
        <f t="shared" si="19"/>
        <v>2</v>
      </c>
      <c r="AF73" s="56"/>
      <c r="AG73" s="56"/>
      <c r="AH73" s="37">
        <f t="shared" si="20"/>
        <v>17</v>
      </c>
      <c r="AI73" s="38">
        <v>65</v>
      </c>
      <c r="AJ73" s="30">
        <f t="shared" si="21"/>
        <v>82</v>
      </c>
      <c r="AK73" s="37">
        <f t="shared" si="22"/>
        <v>82</v>
      </c>
      <c r="AL73" s="39">
        <f t="shared" si="23"/>
        <v>1.02</v>
      </c>
      <c r="AM73" s="40"/>
      <c r="AN73" s="41">
        <f t="shared" si="27"/>
        <v>1</v>
      </c>
      <c r="AO73" s="41">
        <f t="shared" si="27"/>
        <v>2</v>
      </c>
      <c r="AP73" s="43"/>
      <c r="AQ73" s="70"/>
      <c r="AR73" s="58"/>
      <c r="AS73" s="58"/>
      <c r="AT73" s="58"/>
      <c r="AU73" s="58"/>
      <c r="AV73" s="59"/>
      <c r="AW73" s="71">
        <f t="shared" si="24"/>
        <v>0</v>
      </c>
      <c r="AX73" s="71">
        <f t="shared" si="25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5"/>
        <v>15</v>
      </c>
      <c r="V74" s="68">
        <f t="shared" si="16"/>
        <v>15</v>
      </c>
      <c r="W74" s="57"/>
      <c r="X74" s="60"/>
      <c r="Y74" s="45"/>
      <c r="Z74" s="48"/>
      <c r="AA74" s="35"/>
      <c r="AB74" s="36">
        <f t="shared" si="17"/>
        <v>0</v>
      </c>
      <c r="AC74" s="68">
        <f t="shared" si="18"/>
        <v>0</v>
      </c>
      <c r="AD74" s="63">
        <v>2</v>
      </c>
      <c r="AE74" s="32">
        <f t="shared" si="19"/>
        <v>2</v>
      </c>
      <c r="AF74" s="56"/>
      <c r="AG74" s="56"/>
      <c r="AH74" s="37">
        <f t="shared" si="20"/>
        <v>17</v>
      </c>
      <c r="AI74" s="38">
        <v>65</v>
      </c>
      <c r="AJ74" s="30">
        <f t="shared" si="21"/>
        <v>82</v>
      </c>
      <c r="AK74" s="37">
        <f t="shared" si="22"/>
        <v>82</v>
      </c>
      <c r="AL74" s="39">
        <f t="shared" si="23"/>
        <v>1.02</v>
      </c>
      <c r="AM74" s="40"/>
      <c r="AN74" s="41">
        <f t="shared" si="27"/>
        <v>1</v>
      </c>
      <c r="AO74" s="41">
        <f t="shared" si="27"/>
        <v>2</v>
      </c>
      <c r="AP74" s="43"/>
      <c r="AQ74" s="70"/>
      <c r="AR74" s="58"/>
      <c r="AS74" s="58"/>
      <c r="AT74" s="58"/>
      <c r="AU74" s="58"/>
      <c r="AV74" s="59"/>
      <c r="AW74" s="71">
        <f t="shared" si="24"/>
        <v>0</v>
      </c>
      <c r="AX74" s="71">
        <f t="shared" si="25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ref="N75:N106" si="28">SUM(I75:M75)</f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06" si="29">ROUND(((P75*I75)+(Q75*J75)+(R75*K75)+(S75*L75)+(T75*M75))*O75,2)</f>
        <v>15</v>
      </c>
      <c r="V75" s="68">
        <f t="shared" ref="V75:V106" si="30">IF(U75&gt;=15,15,U75)</f>
        <v>15</v>
      </c>
      <c r="W75" s="57"/>
      <c r="X75" s="60"/>
      <c r="Y75" s="45"/>
      <c r="Z75" s="48"/>
      <c r="AA75" s="35"/>
      <c r="AB75" s="36">
        <f t="shared" ref="AB75:AB106" si="31">ROUND((((W75*I75)+(X75*J75)+(Y75*K75)+(Z75*L75)+(AA75*M75))/$I$2),2)*13</f>
        <v>0</v>
      </c>
      <c r="AC75" s="68">
        <f t="shared" ref="AC75:AC106" si="32">IF(AB75&gt;=13,13,AB75)</f>
        <v>0</v>
      </c>
      <c r="AD75" s="63">
        <v>2</v>
      </c>
      <c r="AE75" s="32">
        <f t="shared" ref="AE75:AE106" si="33">IF((AC75+AD75)&gt;=15,15,(AC75+AD75))</f>
        <v>2</v>
      </c>
      <c r="AF75" s="56"/>
      <c r="AG75" s="56"/>
      <c r="AH75" s="37">
        <f t="shared" ref="AH75:AH106" si="34">IF((V75+AE75+AF75)&gt;=30,30,(V75+AE75+AF75))</f>
        <v>17</v>
      </c>
      <c r="AI75" s="38">
        <v>65</v>
      </c>
      <c r="AJ75" s="30">
        <f t="shared" ref="AJ75:AJ106" si="35">V75+AE75+AF75+AI75+AG75</f>
        <v>82</v>
      </c>
      <c r="AK75" s="37">
        <f t="shared" ref="AK75:AK106" si="36">IF(AH75+AI75+AG75&gt;=95,95,AH75+AI75+AG75)</f>
        <v>82</v>
      </c>
      <c r="AL75" s="39">
        <f t="shared" ref="AL75:AL106" si="37">-((50-((176+(45+(50-AH75)))))/200)</f>
        <v>1.02</v>
      </c>
      <c r="AM75" s="40"/>
      <c r="AN75" s="41">
        <f t="shared" si="27"/>
        <v>1</v>
      </c>
      <c r="AO75" s="41">
        <f t="shared" si="27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06" si="38">AR75+AS75+AT75+AU75+AV75</f>
        <v>0</v>
      </c>
      <c r="AX75" s="71">
        <f t="shared" ref="AX75:AX106" si="39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28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29"/>
        <v>15</v>
      </c>
      <c r="V76" s="68">
        <f t="shared" si="30"/>
        <v>15</v>
      </c>
      <c r="W76" s="57"/>
      <c r="X76" s="60"/>
      <c r="Y76" s="45"/>
      <c r="Z76" s="48"/>
      <c r="AA76" s="35"/>
      <c r="AB76" s="36">
        <f t="shared" si="31"/>
        <v>0</v>
      </c>
      <c r="AC76" s="68">
        <f t="shared" si="32"/>
        <v>0</v>
      </c>
      <c r="AD76" s="63">
        <v>2</v>
      </c>
      <c r="AE76" s="32">
        <f t="shared" si="33"/>
        <v>2</v>
      </c>
      <c r="AF76" s="56"/>
      <c r="AG76" s="56"/>
      <c r="AH76" s="37">
        <f t="shared" si="34"/>
        <v>17</v>
      </c>
      <c r="AI76" s="38">
        <v>65</v>
      </c>
      <c r="AJ76" s="30">
        <f t="shared" si="35"/>
        <v>82</v>
      </c>
      <c r="AK76" s="37">
        <f t="shared" si="36"/>
        <v>82</v>
      </c>
      <c r="AL76" s="39">
        <f t="shared" si="37"/>
        <v>1.02</v>
      </c>
      <c r="AM76" s="40"/>
      <c r="AN76" s="41">
        <f t="shared" si="27"/>
        <v>1</v>
      </c>
      <c r="AO76" s="41">
        <f t="shared" si="27"/>
        <v>2</v>
      </c>
      <c r="AP76" s="43"/>
      <c r="AQ76" s="70"/>
      <c r="AR76" s="58"/>
      <c r="AS76" s="58"/>
      <c r="AT76" s="58"/>
      <c r="AU76" s="58"/>
      <c r="AV76" s="59"/>
      <c r="AW76" s="71">
        <f t="shared" si="38"/>
        <v>0</v>
      </c>
      <c r="AX76" s="71">
        <f t="shared" si="39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28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29"/>
        <v>15</v>
      </c>
      <c r="V77" s="68">
        <f t="shared" si="30"/>
        <v>15</v>
      </c>
      <c r="W77" s="57"/>
      <c r="X77" s="60"/>
      <c r="Y77" s="45"/>
      <c r="Z77" s="48"/>
      <c r="AA77" s="35"/>
      <c r="AB77" s="36">
        <f t="shared" si="31"/>
        <v>0</v>
      </c>
      <c r="AC77" s="68">
        <f t="shared" si="32"/>
        <v>0</v>
      </c>
      <c r="AD77" s="63">
        <v>2</v>
      </c>
      <c r="AE77" s="32">
        <f t="shared" si="33"/>
        <v>2</v>
      </c>
      <c r="AF77" s="56"/>
      <c r="AG77" s="56"/>
      <c r="AH77" s="37">
        <f t="shared" si="34"/>
        <v>17</v>
      </c>
      <c r="AI77" s="38">
        <v>65</v>
      </c>
      <c r="AJ77" s="30">
        <f t="shared" si="35"/>
        <v>82</v>
      </c>
      <c r="AK77" s="37">
        <f t="shared" si="36"/>
        <v>82</v>
      </c>
      <c r="AL77" s="39">
        <f t="shared" si="37"/>
        <v>1.02</v>
      </c>
      <c r="AM77" s="40"/>
      <c r="AN77" s="41">
        <f t="shared" si="27"/>
        <v>1</v>
      </c>
      <c r="AO77" s="41">
        <f t="shared" si="27"/>
        <v>2</v>
      </c>
      <c r="AP77" s="43"/>
      <c r="AQ77" s="70"/>
      <c r="AR77" s="58"/>
      <c r="AS77" s="58"/>
      <c r="AT77" s="58"/>
      <c r="AU77" s="58"/>
      <c r="AV77" s="59"/>
      <c r="AW77" s="71">
        <f t="shared" si="38"/>
        <v>0</v>
      </c>
      <c r="AX77" s="71">
        <f t="shared" si="39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28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29"/>
        <v>15</v>
      </c>
      <c r="V78" s="68">
        <f t="shared" si="30"/>
        <v>15</v>
      </c>
      <c r="W78" s="57"/>
      <c r="X78" s="60"/>
      <c r="Y78" s="45"/>
      <c r="Z78" s="48"/>
      <c r="AA78" s="35"/>
      <c r="AB78" s="36">
        <f t="shared" si="31"/>
        <v>0</v>
      </c>
      <c r="AC78" s="68">
        <f t="shared" si="32"/>
        <v>0</v>
      </c>
      <c r="AD78" s="63">
        <v>2</v>
      </c>
      <c r="AE78" s="32">
        <f t="shared" si="33"/>
        <v>2</v>
      </c>
      <c r="AF78" s="56"/>
      <c r="AG78" s="56"/>
      <c r="AH78" s="37">
        <f t="shared" si="34"/>
        <v>17</v>
      </c>
      <c r="AI78" s="38">
        <v>65</v>
      </c>
      <c r="AJ78" s="30">
        <f t="shared" si="35"/>
        <v>82</v>
      </c>
      <c r="AK78" s="37">
        <f t="shared" si="36"/>
        <v>82</v>
      </c>
      <c r="AL78" s="39">
        <f t="shared" si="37"/>
        <v>1.02</v>
      </c>
      <c r="AM78" s="40"/>
      <c r="AN78" s="41">
        <f t="shared" si="27"/>
        <v>1</v>
      </c>
      <c r="AO78" s="41">
        <f t="shared" si="27"/>
        <v>2</v>
      </c>
      <c r="AP78" s="43"/>
      <c r="AQ78" s="70"/>
      <c r="AR78" s="58"/>
      <c r="AS78" s="58"/>
      <c r="AT78" s="58"/>
      <c r="AU78" s="58"/>
      <c r="AV78" s="59"/>
      <c r="AW78" s="71">
        <f t="shared" si="38"/>
        <v>0</v>
      </c>
      <c r="AX78" s="71">
        <f t="shared" si="39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28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29"/>
        <v>15</v>
      </c>
      <c r="V79" s="68">
        <f t="shared" si="30"/>
        <v>15</v>
      </c>
      <c r="W79" s="57"/>
      <c r="X79" s="60"/>
      <c r="Y79" s="45"/>
      <c r="Z79" s="48"/>
      <c r="AA79" s="35"/>
      <c r="AB79" s="36">
        <f t="shared" si="31"/>
        <v>0</v>
      </c>
      <c r="AC79" s="68">
        <f t="shared" si="32"/>
        <v>0</v>
      </c>
      <c r="AD79" s="63">
        <v>2</v>
      </c>
      <c r="AE79" s="32">
        <f t="shared" si="33"/>
        <v>2</v>
      </c>
      <c r="AF79" s="56"/>
      <c r="AG79" s="56"/>
      <c r="AH79" s="37">
        <f t="shared" si="34"/>
        <v>17</v>
      </c>
      <c r="AI79" s="38">
        <v>65</v>
      </c>
      <c r="AJ79" s="30">
        <f t="shared" si="35"/>
        <v>82</v>
      </c>
      <c r="AK79" s="37">
        <f t="shared" si="36"/>
        <v>82</v>
      </c>
      <c r="AL79" s="39">
        <f t="shared" si="37"/>
        <v>1.02</v>
      </c>
      <c r="AM79" s="40"/>
      <c r="AN79" s="41">
        <f t="shared" si="27"/>
        <v>1</v>
      </c>
      <c r="AO79" s="41">
        <f t="shared" si="27"/>
        <v>2</v>
      </c>
      <c r="AP79" s="43"/>
      <c r="AQ79" s="70"/>
      <c r="AR79" s="58"/>
      <c r="AS79" s="58"/>
      <c r="AT79" s="58"/>
      <c r="AU79" s="58"/>
      <c r="AV79" s="59"/>
      <c r="AW79" s="71">
        <f t="shared" si="38"/>
        <v>0</v>
      </c>
      <c r="AX79" s="71">
        <f t="shared" si="39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28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29"/>
        <v>15</v>
      </c>
      <c r="V80" s="68">
        <f t="shared" si="30"/>
        <v>15</v>
      </c>
      <c r="W80" s="57"/>
      <c r="X80" s="60"/>
      <c r="Y80" s="45"/>
      <c r="Z80" s="48"/>
      <c r="AA80" s="35"/>
      <c r="AB80" s="36">
        <f t="shared" si="31"/>
        <v>0</v>
      </c>
      <c r="AC80" s="68">
        <f t="shared" si="32"/>
        <v>0</v>
      </c>
      <c r="AD80" s="63">
        <v>2</v>
      </c>
      <c r="AE80" s="32">
        <f t="shared" si="33"/>
        <v>2</v>
      </c>
      <c r="AF80" s="56"/>
      <c r="AG80" s="56"/>
      <c r="AH80" s="37">
        <f t="shared" si="34"/>
        <v>17</v>
      </c>
      <c r="AI80" s="38">
        <v>65</v>
      </c>
      <c r="AJ80" s="30">
        <f t="shared" si="35"/>
        <v>82</v>
      </c>
      <c r="AK80" s="37">
        <f t="shared" si="36"/>
        <v>82</v>
      </c>
      <c r="AL80" s="39">
        <f t="shared" si="37"/>
        <v>1.02</v>
      </c>
      <c r="AM80" s="40"/>
      <c r="AN80" s="41">
        <f t="shared" si="27"/>
        <v>1</v>
      </c>
      <c r="AO80" s="41">
        <f t="shared" si="27"/>
        <v>2</v>
      </c>
      <c r="AP80" s="43"/>
      <c r="AQ80" s="70"/>
      <c r="AR80" s="58"/>
      <c r="AS80" s="58"/>
      <c r="AT80" s="58"/>
      <c r="AU80" s="58"/>
      <c r="AV80" s="59"/>
      <c r="AW80" s="71">
        <f t="shared" si="38"/>
        <v>0</v>
      </c>
      <c r="AX80" s="71">
        <f t="shared" si="39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28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29"/>
        <v>15</v>
      </c>
      <c r="V81" s="68">
        <f t="shared" si="30"/>
        <v>15</v>
      </c>
      <c r="W81" s="57"/>
      <c r="X81" s="60"/>
      <c r="Y81" s="45"/>
      <c r="Z81" s="48"/>
      <c r="AA81" s="35"/>
      <c r="AB81" s="36">
        <f t="shared" si="31"/>
        <v>0</v>
      </c>
      <c r="AC81" s="68">
        <f t="shared" si="32"/>
        <v>0</v>
      </c>
      <c r="AD81" s="63">
        <v>2</v>
      </c>
      <c r="AE81" s="32">
        <f t="shared" si="33"/>
        <v>2</v>
      </c>
      <c r="AF81" s="56"/>
      <c r="AG81" s="56"/>
      <c r="AH81" s="37">
        <f t="shared" si="34"/>
        <v>17</v>
      </c>
      <c r="AI81" s="38">
        <v>65</v>
      </c>
      <c r="AJ81" s="30">
        <f t="shared" si="35"/>
        <v>82</v>
      </c>
      <c r="AK81" s="37">
        <f t="shared" si="36"/>
        <v>82</v>
      </c>
      <c r="AL81" s="39">
        <f t="shared" si="37"/>
        <v>1.02</v>
      </c>
      <c r="AM81" s="40"/>
      <c r="AN81" s="41">
        <f t="shared" si="27"/>
        <v>1</v>
      </c>
      <c r="AO81" s="41">
        <f t="shared" si="27"/>
        <v>2</v>
      </c>
      <c r="AP81" s="43"/>
      <c r="AQ81" s="70"/>
      <c r="AR81" s="58"/>
      <c r="AS81" s="58"/>
      <c r="AT81" s="58"/>
      <c r="AU81" s="58"/>
      <c r="AV81" s="59"/>
      <c r="AW81" s="71">
        <f t="shared" si="38"/>
        <v>0</v>
      </c>
      <c r="AX81" s="71">
        <f t="shared" si="39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28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29"/>
        <v>15</v>
      </c>
      <c r="V82" s="68">
        <f t="shared" si="30"/>
        <v>15</v>
      </c>
      <c r="W82" s="57"/>
      <c r="X82" s="60"/>
      <c r="Y82" s="45"/>
      <c r="Z82" s="48"/>
      <c r="AA82" s="35"/>
      <c r="AB82" s="36">
        <f t="shared" si="31"/>
        <v>0</v>
      </c>
      <c r="AC82" s="68">
        <f t="shared" si="32"/>
        <v>0</v>
      </c>
      <c r="AD82" s="63">
        <v>2</v>
      </c>
      <c r="AE82" s="32">
        <f t="shared" si="33"/>
        <v>2</v>
      </c>
      <c r="AF82" s="56"/>
      <c r="AG82" s="56"/>
      <c r="AH82" s="37">
        <f t="shared" si="34"/>
        <v>17</v>
      </c>
      <c r="AI82" s="38">
        <v>65</v>
      </c>
      <c r="AJ82" s="30">
        <f t="shared" si="35"/>
        <v>82</v>
      </c>
      <c r="AK82" s="37">
        <f t="shared" si="36"/>
        <v>82</v>
      </c>
      <c r="AL82" s="39">
        <f t="shared" si="37"/>
        <v>1.02</v>
      </c>
      <c r="AM82" s="40"/>
      <c r="AN82" s="41">
        <f t="shared" si="27"/>
        <v>1</v>
      </c>
      <c r="AO82" s="41">
        <f t="shared" si="27"/>
        <v>2</v>
      </c>
      <c r="AP82" s="43"/>
      <c r="AQ82" s="70"/>
      <c r="AR82" s="58"/>
      <c r="AS82" s="58"/>
      <c r="AT82" s="58"/>
      <c r="AU82" s="58"/>
      <c r="AV82" s="59"/>
      <c r="AW82" s="71">
        <f t="shared" si="38"/>
        <v>0</v>
      </c>
      <c r="AX82" s="71">
        <f t="shared" si="39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28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29"/>
        <v>15</v>
      </c>
      <c r="V83" s="68">
        <f t="shared" si="30"/>
        <v>15</v>
      </c>
      <c r="W83" s="57"/>
      <c r="X83" s="60"/>
      <c r="Y83" s="45"/>
      <c r="Z83" s="48"/>
      <c r="AA83" s="35"/>
      <c r="AB83" s="36">
        <f t="shared" si="31"/>
        <v>0</v>
      </c>
      <c r="AC83" s="68">
        <f t="shared" si="32"/>
        <v>0</v>
      </c>
      <c r="AD83" s="63">
        <v>2</v>
      </c>
      <c r="AE83" s="32">
        <f t="shared" si="33"/>
        <v>2</v>
      </c>
      <c r="AF83" s="56"/>
      <c r="AG83" s="56"/>
      <c r="AH83" s="37">
        <f t="shared" si="34"/>
        <v>17</v>
      </c>
      <c r="AI83" s="38">
        <v>65</v>
      </c>
      <c r="AJ83" s="30">
        <f t="shared" si="35"/>
        <v>82</v>
      </c>
      <c r="AK83" s="37">
        <f t="shared" si="36"/>
        <v>82</v>
      </c>
      <c r="AL83" s="39">
        <f t="shared" si="37"/>
        <v>1.02</v>
      </c>
      <c r="AM83" s="40"/>
      <c r="AN83" s="41">
        <f t="shared" si="27"/>
        <v>1</v>
      </c>
      <c r="AO83" s="41">
        <f t="shared" si="27"/>
        <v>2</v>
      </c>
      <c r="AP83" s="43"/>
      <c r="AQ83" s="70"/>
      <c r="AR83" s="58"/>
      <c r="AS83" s="58"/>
      <c r="AT83" s="58"/>
      <c r="AU83" s="58"/>
      <c r="AV83" s="59"/>
      <c r="AW83" s="71">
        <f t="shared" si="38"/>
        <v>0</v>
      </c>
      <c r="AX83" s="71">
        <f t="shared" si="39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28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29"/>
        <v>15</v>
      </c>
      <c r="V84" s="68">
        <f t="shared" si="30"/>
        <v>15</v>
      </c>
      <c r="W84" s="57"/>
      <c r="X84" s="60"/>
      <c r="Y84" s="45"/>
      <c r="Z84" s="48"/>
      <c r="AA84" s="35"/>
      <c r="AB84" s="36">
        <f t="shared" si="31"/>
        <v>0</v>
      </c>
      <c r="AC84" s="68">
        <f t="shared" si="32"/>
        <v>0</v>
      </c>
      <c r="AD84" s="63">
        <v>2</v>
      </c>
      <c r="AE84" s="32">
        <f t="shared" si="33"/>
        <v>2</v>
      </c>
      <c r="AF84" s="56"/>
      <c r="AG84" s="56"/>
      <c r="AH84" s="37">
        <f t="shared" si="34"/>
        <v>17</v>
      </c>
      <c r="AI84" s="38">
        <v>65</v>
      </c>
      <c r="AJ84" s="30">
        <f t="shared" si="35"/>
        <v>82</v>
      </c>
      <c r="AK84" s="37">
        <f t="shared" si="36"/>
        <v>82</v>
      </c>
      <c r="AL84" s="39">
        <f t="shared" si="37"/>
        <v>1.02</v>
      </c>
      <c r="AM84" s="40"/>
      <c r="AN84" s="41">
        <f t="shared" si="27"/>
        <v>1</v>
      </c>
      <c r="AO84" s="41">
        <f t="shared" si="27"/>
        <v>2</v>
      </c>
      <c r="AP84" s="43"/>
      <c r="AQ84" s="70"/>
      <c r="AR84" s="58"/>
      <c r="AS84" s="58"/>
      <c r="AT84" s="58"/>
      <c r="AU84" s="58"/>
      <c r="AV84" s="59"/>
      <c r="AW84" s="71">
        <f t="shared" si="38"/>
        <v>0</v>
      </c>
      <c r="AX84" s="71">
        <f t="shared" si="39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28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29"/>
        <v>15</v>
      </c>
      <c r="V85" s="68">
        <f t="shared" si="30"/>
        <v>15</v>
      </c>
      <c r="W85" s="57"/>
      <c r="X85" s="60"/>
      <c r="Y85" s="45"/>
      <c r="Z85" s="48"/>
      <c r="AA85" s="35"/>
      <c r="AB85" s="36">
        <f t="shared" si="31"/>
        <v>0</v>
      </c>
      <c r="AC85" s="68">
        <f t="shared" si="32"/>
        <v>0</v>
      </c>
      <c r="AD85" s="63">
        <v>2</v>
      </c>
      <c r="AE85" s="32">
        <f t="shared" si="33"/>
        <v>2</v>
      </c>
      <c r="AF85" s="56"/>
      <c r="AG85" s="56"/>
      <c r="AH85" s="37">
        <f t="shared" si="34"/>
        <v>17</v>
      </c>
      <c r="AI85" s="38">
        <v>65</v>
      </c>
      <c r="AJ85" s="30">
        <f t="shared" si="35"/>
        <v>82</v>
      </c>
      <c r="AK85" s="37">
        <f t="shared" si="36"/>
        <v>82</v>
      </c>
      <c r="AL85" s="39">
        <f t="shared" si="37"/>
        <v>1.02</v>
      </c>
      <c r="AM85" s="40"/>
      <c r="AN85" s="41">
        <f t="shared" si="27"/>
        <v>1</v>
      </c>
      <c r="AO85" s="41">
        <f t="shared" si="27"/>
        <v>2</v>
      </c>
      <c r="AP85" s="43"/>
      <c r="AQ85" s="70"/>
      <c r="AR85" s="58"/>
      <c r="AS85" s="58"/>
      <c r="AT85" s="58"/>
      <c r="AU85" s="58"/>
      <c r="AV85" s="59"/>
      <c r="AW85" s="71">
        <f t="shared" si="38"/>
        <v>0</v>
      </c>
      <c r="AX85" s="71">
        <f t="shared" si="39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28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29"/>
        <v>15</v>
      </c>
      <c r="V86" s="68">
        <f t="shared" si="30"/>
        <v>15</v>
      </c>
      <c r="W86" s="57"/>
      <c r="X86" s="60"/>
      <c r="Y86" s="45"/>
      <c r="Z86" s="48"/>
      <c r="AA86" s="35"/>
      <c r="AB86" s="36">
        <f t="shared" si="31"/>
        <v>0</v>
      </c>
      <c r="AC86" s="68">
        <f t="shared" si="32"/>
        <v>0</v>
      </c>
      <c r="AD86" s="63">
        <v>2</v>
      </c>
      <c r="AE86" s="32">
        <f t="shared" si="33"/>
        <v>2</v>
      </c>
      <c r="AF86" s="56"/>
      <c r="AG86" s="56"/>
      <c r="AH86" s="37">
        <f t="shared" si="34"/>
        <v>17</v>
      </c>
      <c r="AI86" s="38">
        <v>65</v>
      </c>
      <c r="AJ86" s="30">
        <f t="shared" si="35"/>
        <v>82</v>
      </c>
      <c r="AK86" s="37">
        <f t="shared" si="36"/>
        <v>82</v>
      </c>
      <c r="AL86" s="39">
        <f t="shared" si="37"/>
        <v>1.02</v>
      </c>
      <c r="AM86" s="40"/>
      <c r="AN86" s="41">
        <f t="shared" si="27"/>
        <v>1</v>
      </c>
      <c r="AO86" s="41">
        <f t="shared" si="27"/>
        <v>2</v>
      </c>
      <c r="AP86" s="43"/>
      <c r="AQ86" s="70"/>
      <c r="AR86" s="58"/>
      <c r="AS86" s="58"/>
      <c r="AT86" s="58"/>
      <c r="AU86" s="58"/>
      <c r="AV86" s="59"/>
      <c r="AW86" s="71">
        <f t="shared" si="38"/>
        <v>0</v>
      </c>
      <c r="AX86" s="71">
        <f t="shared" si="39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28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29"/>
        <v>15</v>
      </c>
      <c r="V87" s="68">
        <f t="shared" si="30"/>
        <v>15</v>
      </c>
      <c r="W87" s="57"/>
      <c r="X87" s="60"/>
      <c r="Y87" s="45"/>
      <c r="Z87" s="48"/>
      <c r="AA87" s="35"/>
      <c r="AB87" s="36">
        <f t="shared" si="31"/>
        <v>0</v>
      </c>
      <c r="AC87" s="68">
        <f t="shared" si="32"/>
        <v>0</v>
      </c>
      <c r="AD87" s="63">
        <v>2</v>
      </c>
      <c r="AE87" s="32">
        <f t="shared" si="33"/>
        <v>2</v>
      </c>
      <c r="AF87" s="56"/>
      <c r="AG87" s="56"/>
      <c r="AH87" s="37">
        <f t="shared" si="34"/>
        <v>17</v>
      </c>
      <c r="AI87" s="38">
        <v>65</v>
      </c>
      <c r="AJ87" s="30">
        <f t="shared" si="35"/>
        <v>82</v>
      </c>
      <c r="AK87" s="37">
        <f t="shared" si="36"/>
        <v>82</v>
      </c>
      <c r="AL87" s="39">
        <f t="shared" si="37"/>
        <v>1.02</v>
      </c>
      <c r="AM87" s="40"/>
      <c r="AN87" s="41">
        <f t="shared" si="27"/>
        <v>1</v>
      </c>
      <c r="AO87" s="41">
        <f t="shared" si="27"/>
        <v>2</v>
      </c>
      <c r="AP87" s="43"/>
      <c r="AQ87" s="70"/>
      <c r="AR87" s="58"/>
      <c r="AS87" s="58"/>
      <c r="AT87" s="58"/>
      <c r="AU87" s="58"/>
      <c r="AV87" s="59"/>
      <c r="AW87" s="71">
        <f t="shared" si="38"/>
        <v>0</v>
      </c>
      <c r="AX87" s="71">
        <f t="shared" si="39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28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29"/>
        <v>15</v>
      </c>
      <c r="V88" s="68">
        <f t="shared" si="30"/>
        <v>15</v>
      </c>
      <c r="W88" s="57"/>
      <c r="X88" s="60"/>
      <c r="Y88" s="45"/>
      <c r="Z88" s="48"/>
      <c r="AA88" s="35"/>
      <c r="AB88" s="36">
        <f t="shared" si="31"/>
        <v>0</v>
      </c>
      <c r="AC88" s="68">
        <f t="shared" si="32"/>
        <v>0</v>
      </c>
      <c r="AD88" s="63">
        <v>2</v>
      </c>
      <c r="AE88" s="32">
        <f t="shared" si="33"/>
        <v>2</v>
      </c>
      <c r="AF88" s="56"/>
      <c r="AG88" s="56"/>
      <c r="AH88" s="37">
        <f t="shared" si="34"/>
        <v>17</v>
      </c>
      <c r="AI88" s="38">
        <v>65</v>
      </c>
      <c r="AJ88" s="30">
        <f t="shared" si="35"/>
        <v>82</v>
      </c>
      <c r="AK88" s="37">
        <f t="shared" si="36"/>
        <v>82</v>
      </c>
      <c r="AL88" s="39">
        <f t="shared" si="37"/>
        <v>1.02</v>
      </c>
      <c r="AM88" s="40"/>
      <c r="AN88" s="41">
        <f t="shared" si="27"/>
        <v>1</v>
      </c>
      <c r="AO88" s="41">
        <f t="shared" si="27"/>
        <v>2</v>
      </c>
      <c r="AP88" s="43"/>
      <c r="AQ88" s="70"/>
      <c r="AR88" s="58"/>
      <c r="AS88" s="58"/>
      <c r="AT88" s="58"/>
      <c r="AU88" s="58"/>
      <c r="AV88" s="59"/>
      <c r="AW88" s="71">
        <f t="shared" si="38"/>
        <v>0</v>
      </c>
      <c r="AX88" s="71">
        <f t="shared" si="39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28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29"/>
        <v>15</v>
      </c>
      <c r="V89" s="68">
        <f t="shared" si="30"/>
        <v>15</v>
      </c>
      <c r="W89" s="57"/>
      <c r="X89" s="60"/>
      <c r="Y89" s="45"/>
      <c r="Z89" s="48"/>
      <c r="AA89" s="35"/>
      <c r="AB89" s="36">
        <f t="shared" si="31"/>
        <v>0</v>
      </c>
      <c r="AC89" s="68">
        <f t="shared" si="32"/>
        <v>0</v>
      </c>
      <c r="AD89" s="63">
        <v>2</v>
      </c>
      <c r="AE89" s="32">
        <f t="shared" si="33"/>
        <v>2</v>
      </c>
      <c r="AF89" s="56"/>
      <c r="AG89" s="56"/>
      <c r="AH89" s="37">
        <f t="shared" si="34"/>
        <v>17</v>
      </c>
      <c r="AI89" s="38">
        <v>65</v>
      </c>
      <c r="AJ89" s="30">
        <f t="shared" si="35"/>
        <v>82</v>
      </c>
      <c r="AK89" s="37">
        <f t="shared" si="36"/>
        <v>82</v>
      </c>
      <c r="AL89" s="39">
        <f t="shared" si="37"/>
        <v>1.02</v>
      </c>
      <c r="AM89" s="40"/>
      <c r="AN89" s="41">
        <f t="shared" si="27"/>
        <v>1</v>
      </c>
      <c r="AO89" s="41">
        <f t="shared" si="27"/>
        <v>2</v>
      </c>
      <c r="AP89" s="43"/>
      <c r="AQ89" s="70"/>
      <c r="AR89" s="58"/>
      <c r="AS89" s="58"/>
      <c r="AT89" s="58"/>
      <c r="AU89" s="58"/>
      <c r="AV89" s="59"/>
      <c r="AW89" s="71">
        <f t="shared" si="38"/>
        <v>0</v>
      </c>
      <c r="AX89" s="71">
        <f t="shared" si="39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28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29"/>
        <v>15</v>
      </c>
      <c r="V90" s="68">
        <f t="shared" si="30"/>
        <v>15</v>
      </c>
      <c r="W90" s="57"/>
      <c r="X90" s="60"/>
      <c r="Y90" s="45"/>
      <c r="Z90" s="48"/>
      <c r="AA90" s="35"/>
      <c r="AB90" s="36">
        <f t="shared" si="31"/>
        <v>0</v>
      </c>
      <c r="AC90" s="68">
        <f t="shared" si="32"/>
        <v>0</v>
      </c>
      <c r="AD90" s="63">
        <v>2</v>
      </c>
      <c r="AE90" s="32">
        <f t="shared" si="33"/>
        <v>2</v>
      </c>
      <c r="AF90" s="56"/>
      <c r="AG90" s="56"/>
      <c r="AH90" s="37">
        <f t="shared" si="34"/>
        <v>17</v>
      </c>
      <c r="AI90" s="38">
        <v>65</v>
      </c>
      <c r="AJ90" s="30">
        <f t="shared" si="35"/>
        <v>82</v>
      </c>
      <c r="AK90" s="37">
        <f t="shared" si="36"/>
        <v>82</v>
      </c>
      <c r="AL90" s="39">
        <f t="shared" si="37"/>
        <v>1.02</v>
      </c>
      <c r="AM90" s="40"/>
      <c r="AN90" s="41">
        <f t="shared" si="27"/>
        <v>1</v>
      </c>
      <c r="AO90" s="41">
        <f t="shared" si="27"/>
        <v>2</v>
      </c>
      <c r="AP90" s="43"/>
      <c r="AQ90" s="70"/>
      <c r="AR90" s="58"/>
      <c r="AS90" s="58"/>
      <c r="AT90" s="58"/>
      <c r="AU90" s="58"/>
      <c r="AV90" s="59"/>
      <c r="AW90" s="71">
        <f t="shared" si="38"/>
        <v>0</v>
      </c>
      <c r="AX90" s="71">
        <f t="shared" si="39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28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29"/>
        <v>15</v>
      </c>
      <c r="V91" s="68">
        <f t="shared" si="30"/>
        <v>15</v>
      </c>
      <c r="W91" s="57"/>
      <c r="X91" s="60"/>
      <c r="Y91" s="45"/>
      <c r="Z91" s="48"/>
      <c r="AA91" s="35"/>
      <c r="AB91" s="36">
        <f t="shared" si="31"/>
        <v>0</v>
      </c>
      <c r="AC91" s="68">
        <f t="shared" si="32"/>
        <v>0</v>
      </c>
      <c r="AD91" s="63">
        <v>2</v>
      </c>
      <c r="AE91" s="32">
        <f t="shared" si="33"/>
        <v>2</v>
      </c>
      <c r="AF91" s="56"/>
      <c r="AG91" s="56"/>
      <c r="AH91" s="37">
        <f t="shared" si="34"/>
        <v>17</v>
      </c>
      <c r="AI91" s="38">
        <v>65</v>
      </c>
      <c r="AJ91" s="30">
        <f t="shared" si="35"/>
        <v>82</v>
      </c>
      <c r="AK91" s="37">
        <f t="shared" si="36"/>
        <v>82</v>
      </c>
      <c r="AL91" s="39">
        <f t="shared" si="37"/>
        <v>1.02</v>
      </c>
      <c r="AM91" s="40"/>
      <c r="AN91" s="41">
        <f t="shared" ref="AN91:AO110" si="40">100%+AM91</f>
        <v>1</v>
      </c>
      <c r="AO91" s="41">
        <f t="shared" si="40"/>
        <v>2</v>
      </c>
      <c r="AP91" s="43"/>
      <c r="AQ91" s="70"/>
      <c r="AR91" s="58"/>
      <c r="AS91" s="58"/>
      <c r="AT91" s="58"/>
      <c r="AU91" s="58"/>
      <c r="AV91" s="59"/>
      <c r="AW91" s="71">
        <f t="shared" si="38"/>
        <v>0</v>
      </c>
      <c r="AX91" s="71">
        <f t="shared" si="39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28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29"/>
        <v>15</v>
      </c>
      <c r="V92" s="68">
        <f t="shared" si="30"/>
        <v>15</v>
      </c>
      <c r="W92" s="57"/>
      <c r="X92" s="60"/>
      <c r="Y92" s="45"/>
      <c r="Z92" s="48"/>
      <c r="AA92" s="35"/>
      <c r="AB92" s="36">
        <f t="shared" si="31"/>
        <v>0</v>
      </c>
      <c r="AC92" s="68">
        <f t="shared" si="32"/>
        <v>0</v>
      </c>
      <c r="AD92" s="63">
        <v>2</v>
      </c>
      <c r="AE92" s="32">
        <f t="shared" si="33"/>
        <v>2</v>
      </c>
      <c r="AF92" s="56"/>
      <c r="AG92" s="56"/>
      <c r="AH92" s="37">
        <f t="shared" si="34"/>
        <v>17</v>
      </c>
      <c r="AI92" s="38">
        <v>65</v>
      </c>
      <c r="AJ92" s="30">
        <f t="shared" si="35"/>
        <v>82</v>
      </c>
      <c r="AK92" s="37">
        <f t="shared" si="36"/>
        <v>82</v>
      </c>
      <c r="AL92" s="39">
        <f t="shared" si="37"/>
        <v>1.02</v>
      </c>
      <c r="AM92" s="40"/>
      <c r="AN92" s="41">
        <f t="shared" si="40"/>
        <v>1</v>
      </c>
      <c r="AO92" s="41">
        <f t="shared" si="40"/>
        <v>2</v>
      </c>
      <c r="AP92" s="43"/>
      <c r="AQ92" s="70"/>
      <c r="AR92" s="58"/>
      <c r="AS92" s="58"/>
      <c r="AT92" s="58"/>
      <c r="AU92" s="58"/>
      <c r="AV92" s="59"/>
      <c r="AW92" s="71">
        <f t="shared" si="38"/>
        <v>0</v>
      </c>
      <c r="AX92" s="71">
        <f t="shared" si="39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28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29"/>
        <v>15</v>
      </c>
      <c r="V93" s="68">
        <f t="shared" si="30"/>
        <v>15</v>
      </c>
      <c r="W93" s="57"/>
      <c r="X93" s="60"/>
      <c r="Y93" s="45"/>
      <c r="Z93" s="48"/>
      <c r="AA93" s="35"/>
      <c r="AB93" s="36">
        <f t="shared" si="31"/>
        <v>0</v>
      </c>
      <c r="AC93" s="68">
        <f t="shared" si="32"/>
        <v>0</v>
      </c>
      <c r="AD93" s="63">
        <v>2</v>
      </c>
      <c r="AE93" s="32">
        <f t="shared" si="33"/>
        <v>2</v>
      </c>
      <c r="AF93" s="56"/>
      <c r="AG93" s="56"/>
      <c r="AH93" s="37">
        <f t="shared" si="34"/>
        <v>17</v>
      </c>
      <c r="AI93" s="38">
        <v>65</v>
      </c>
      <c r="AJ93" s="30">
        <f t="shared" si="35"/>
        <v>82</v>
      </c>
      <c r="AK93" s="37">
        <f t="shared" si="36"/>
        <v>82</v>
      </c>
      <c r="AL93" s="39">
        <f t="shared" si="37"/>
        <v>1.02</v>
      </c>
      <c r="AM93" s="40"/>
      <c r="AN93" s="41">
        <f t="shared" si="40"/>
        <v>1</v>
      </c>
      <c r="AO93" s="41">
        <f t="shared" si="40"/>
        <v>2</v>
      </c>
      <c r="AP93" s="43"/>
      <c r="AQ93" s="70"/>
      <c r="AR93" s="58"/>
      <c r="AS93" s="58"/>
      <c r="AT93" s="58"/>
      <c r="AU93" s="58"/>
      <c r="AV93" s="59"/>
      <c r="AW93" s="71">
        <f t="shared" si="38"/>
        <v>0</v>
      </c>
      <c r="AX93" s="71">
        <f t="shared" si="39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28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29"/>
        <v>15</v>
      </c>
      <c r="V94" s="68">
        <f t="shared" si="30"/>
        <v>15</v>
      </c>
      <c r="W94" s="57"/>
      <c r="X94" s="60"/>
      <c r="Y94" s="45"/>
      <c r="Z94" s="48"/>
      <c r="AA94" s="35"/>
      <c r="AB94" s="36">
        <f t="shared" si="31"/>
        <v>0</v>
      </c>
      <c r="AC94" s="68">
        <f t="shared" si="32"/>
        <v>0</v>
      </c>
      <c r="AD94" s="63">
        <v>2</v>
      </c>
      <c r="AE94" s="32">
        <f t="shared" si="33"/>
        <v>2</v>
      </c>
      <c r="AF94" s="56"/>
      <c r="AG94" s="56"/>
      <c r="AH94" s="37">
        <f t="shared" si="34"/>
        <v>17</v>
      </c>
      <c r="AI94" s="38">
        <v>65</v>
      </c>
      <c r="AJ94" s="30">
        <f t="shared" si="35"/>
        <v>82</v>
      </c>
      <c r="AK94" s="37">
        <f t="shared" si="36"/>
        <v>82</v>
      </c>
      <c r="AL94" s="39">
        <f t="shared" si="37"/>
        <v>1.02</v>
      </c>
      <c r="AM94" s="40"/>
      <c r="AN94" s="41">
        <f t="shared" si="40"/>
        <v>1</v>
      </c>
      <c r="AO94" s="41">
        <f t="shared" si="40"/>
        <v>2</v>
      </c>
      <c r="AP94" s="43"/>
      <c r="AQ94" s="70"/>
      <c r="AR94" s="58"/>
      <c r="AS94" s="58"/>
      <c r="AT94" s="58"/>
      <c r="AU94" s="58"/>
      <c r="AV94" s="59"/>
      <c r="AW94" s="71">
        <f t="shared" si="38"/>
        <v>0</v>
      </c>
      <c r="AX94" s="71">
        <f t="shared" si="39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28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29"/>
        <v>15</v>
      </c>
      <c r="V95" s="68">
        <f t="shared" si="30"/>
        <v>15</v>
      </c>
      <c r="W95" s="57"/>
      <c r="X95" s="60"/>
      <c r="Y95" s="45"/>
      <c r="Z95" s="48"/>
      <c r="AA95" s="35"/>
      <c r="AB95" s="36">
        <f t="shared" si="31"/>
        <v>0</v>
      </c>
      <c r="AC95" s="68">
        <f t="shared" si="32"/>
        <v>0</v>
      </c>
      <c r="AD95" s="63">
        <v>2</v>
      </c>
      <c r="AE95" s="32">
        <f t="shared" si="33"/>
        <v>2</v>
      </c>
      <c r="AF95" s="56"/>
      <c r="AG95" s="56"/>
      <c r="AH95" s="37">
        <f t="shared" si="34"/>
        <v>17</v>
      </c>
      <c r="AI95" s="38">
        <v>65</v>
      </c>
      <c r="AJ95" s="30">
        <f t="shared" si="35"/>
        <v>82</v>
      </c>
      <c r="AK95" s="37">
        <f t="shared" si="36"/>
        <v>82</v>
      </c>
      <c r="AL95" s="39">
        <f t="shared" si="37"/>
        <v>1.02</v>
      </c>
      <c r="AM95" s="40"/>
      <c r="AN95" s="41">
        <f t="shared" si="40"/>
        <v>1</v>
      </c>
      <c r="AO95" s="41">
        <f t="shared" si="40"/>
        <v>2</v>
      </c>
      <c r="AP95" s="43"/>
      <c r="AQ95" s="70"/>
      <c r="AR95" s="58"/>
      <c r="AS95" s="58"/>
      <c r="AT95" s="58"/>
      <c r="AU95" s="58"/>
      <c r="AV95" s="59"/>
      <c r="AW95" s="71">
        <f t="shared" si="38"/>
        <v>0</v>
      </c>
      <c r="AX95" s="71">
        <f t="shared" si="39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28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29"/>
        <v>15</v>
      </c>
      <c r="V96" s="68">
        <f t="shared" si="30"/>
        <v>15</v>
      </c>
      <c r="W96" s="57"/>
      <c r="X96" s="60"/>
      <c r="Y96" s="45"/>
      <c r="Z96" s="48"/>
      <c r="AA96" s="35"/>
      <c r="AB96" s="36">
        <f t="shared" si="31"/>
        <v>0</v>
      </c>
      <c r="AC96" s="68">
        <f t="shared" si="32"/>
        <v>0</v>
      </c>
      <c r="AD96" s="63">
        <v>2</v>
      </c>
      <c r="AE96" s="32">
        <f t="shared" si="33"/>
        <v>2</v>
      </c>
      <c r="AF96" s="56"/>
      <c r="AG96" s="56"/>
      <c r="AH96" s="37">
        <f t="shared" si="34"/>
        <v>17</v>
      </c>
      <c r="AI96" s="38">
        <v>65</v>
      </c>
      <c r="AJ96" s="30">
        <f t="shared" si="35"/>
        <v>82</v>
      </c>
      <c r="AK96" s="37">
        <f t="shared" si="36"/>
        <v>82</v>
      </c>
      <c r="AL96" s="39">
        <f t="shared" si="37"/>
        <v>1.02</v>
      </c>
      <c r="AM96" s="40"/>
      <c r="AN96" s="41">
        <f t="shared" si="40"/>
        <v>1</v>
      </c>
      <c r="AO96" s="41">
        <f t="shared" si="40"/>
        <v>2</v>
      </c>
      <c r="AP96" s="43"/>
      <c r="AQ96" s="70"/>
      <c r="AR96" s="58"/>
      <c r="AS96" s="58"/>
      <c r="AT96" s="58"/>
      <c r="AU96" s="58"/>
      <c r="AV96" s="59"/>
      <c r="AW96" s="71">
        <f t="shared" si="38"/>
        <v>0</v>
      </c>
      <c r="AX96" s="71">
        <f t="shared" si="39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28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29"/>
        <v>15</v>
      </c>
      <c r="V97" s="68">
        <f t="shared" si="30"/>
        <v>15</v>
      </c>
      <c r="W97" s="57"/>
      <c r="X97" s="60"/>
      <c r="Y97" s="45"/>
      <c r="Z97" s="48"/>
      <c r="AA97" s="35"/>
      <c r="AB97" s="36">
        <f t="shared" si="31"/>
        <v>0</v>
      </c>
      <c r="AC97" s="68">
        <f t="shared" si="32"/>
        <v>0</v>
      </c>
      <c r="AD97" s="63">
        <v>2</v>
      </c>
      <c r="AE97" s="32">
        <f t="shared" si="33"/>
        <v>2</v>
      </c>
      <c r="AF97" s="56"/>
      <c r="AG97" s="56"/>
      <c r="AH97" s="37">
        <f t="shared" si="34"/>
        <v>17</v>
      </c>
      <c r="AI97" s="38">
        <v>65</v>
      </c>
      <c r="AJ97" s="30">
        <f t="shared" si="35"/>
        <v>82</v>
      </c>
      <c r="AK97" s="37">
        <f t="shared" si="36"/>
        <v>82</v>
      </c>
      <c r="AL97" s="39">
        <f t="shared" si="37"/>
        <v>1.02</v>
      </c>
      <c r="AM97" s="40"/>
      <c r="AN97" s="41">
        <f t="shared" si="40"/>
        <v>1</v>
      </c>
      <c r="AO97" s="41">
        <f t="shared" si="40"/>
        <v>2</v>
      </c>
      <c r="AP97" s="43"/>
      <c r="AQ97" s="70"/>
      <c r="AR97" s="58"/>
      <c r="AS97" s="58"/>
      <c r="AT97" s="58"/>
      <c r="AU97" s="58"/>
      <c r="AV97" s="59"/>
      <c r="AW97" s="71">
        <f t="shared" si="38"/>
        <v>0</v>
      </c>
      <c r="AX97" s="71">
        <f t="shared" si="39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28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29"/>
        <v>15</v>
      </c>
      <c r="V98" s="68">
        <f t="shared" si="30"/>
        <v>15</v>
      </c>
      <c r="W98" s="57"/>
      <c r="X98" s="60"/>
      <c r="Y98" s="45"/>
      <c r="Z98" s="48"/>
      <c r="AA98" s="35"/>
      <c r="AB98" s="36">
        <f t="shared" si="31"/>
        <v>0</v>
      </c>
      <c r="AC98" s="68">
        <f t="shared" si="32"/>
        <v>0</v>
      </c>
      <c r="AD98" s="63">
        <v>2</v>
      </c>
      <c r="AE98" s="32">
        <f t="shared" si="33"/>
        <v>2</v>
      </c>
      <c r="AF98" s="56"/>
      <c r="AG98" s="56"/>
      <c r="AH98" s="37">
        <f t="shared" si="34"/>
        <v>17</v>
      </c>
      <c r="AI98" s="38">
        <v>65</v>
      </c>
      <c r="AJ98" s="30">
        <f t="shared" si="35"/>
        <v>82</v>
      </c>
      <c r="AK98" s="37">
        <f t="shared" si="36"/>
        <v>82</v>
      </c>
      <c r="AL98" s="39">
        <f t="shared" si="37"/>
        <v>1.02</v>
      </c>
      <c r="AM98" s="40"/>
      <c r="AN98" s="41">
        <f t="shared" si="40"/>
        <v>1</v>
      </c>
      <c r="AO98" s="41">
        <f t="shared" si="40"/>
        <v>2</v>
      </c>
      <c r="AP98" s="43"/>
      <c r="AQ98" s="70"/>
      <c r="AR98" s="58"/>
      <c r="AS98" s="58"/>
      <c r="AT98" s="58"/>
      <c r="AU98" s="58"/>
      <c r="AV98" s="59"/>
      <c r="AW98" s="71">
        <f t="shared" si="38"/>
        <v>0</v>
      </c>
      <c r="AX98" s="71">
        <f t="shared" si="39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28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29"/>
        <v>15</v>
      </c>
      <c r="V99" s="68">
        <f t="shared" si="30"/>
        <v>15</v>
      </c>
      <c r="W99" s="57"/>
      <c r="X99" s="60"/>
      <c r="Y99" s="45"/>
      <c r="Z99" s="48"/>
      <c r="AA99" s="35"/>
      <c r="AB99" s="36">
        <f t="shared" si="31"/>
        <v>0</v>
      </c>
      <c r="AC99" s="68">
        <f t="shared" si="32"/>
        <v>0</v>
      </c>
      <c r="AD99" s="63">
        <v>2</v>
      </c>
      <c r="AE99" s="32">
        <f t="shared" si="33"/>
        <v>2</v>
      </c>
      <c r="AF99" s="56"/>
      <c r="AG99" s="56"/>
      <c r="AH99" s="37">
        <f t="shared" si="34"/>
        <v>17</v>
      </c>
      <c r="AI99" s="38">
        <v>65</v>
      </c>
      <c r="AJ99" s="30">
        <f t="shared" si="35"/>
        <v>82</v>
      </c>
      <c r="AK99" s="37">
        <f t="shared" si="36"/>
        <v>82</v>
      </c>
      <c r="AL99" s="39">
        <f t="shared" si="37"/>
        <v>1.02</v>
      </c>
      <c r="AM99" s="40"/>
      <c r="AN99" s="41">
        <f t="shared" si="40"/>
        <v>1</v>
      </c>
      <c r="AO99" s="41">
        <f t="shared" si="40"/>
        <v>2</v>
      </c>
      <c r="AP99" s="43"/>
      <c r="AQ99" s="70"/>
      <c r="AR99" s="58"/>
      <c r="AS99" s="58"/>
      <c r="AT99" s="58"/>
      <c r="AU99" s="58"/>
      <c r="AV99" s="59"/>
      <c r="AW99" s="71">
        <f t="shared" si="38"/>
        <v>0</v>
      </c>
      <c r="AX99" s="71">
        <f t="shared" si="39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28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29"/>
        <v>15</v>
      </c>
      <c r="V100" s="68">
        <f t="shared" si="30"/>
        <v>15</v>
      </c>
      <c r="W100" s="57"/>
      <c r="X100" s="60"/>
      <c r="Y100" s="45"/>
      <c r="Z100" s="48"/>
      <c r="AA100" s="35"/>
      <c r="AB100" s="36">
        <f t="shared" si="31"/>
        <v>0</v>
      </c>
      <c r="AC100" s="68">
        <f t="shared" si="32"/>
        <v>0</v>
      </c>
      <c r="AD100" s="63">
        <v>2</v>
      </c>
      <c r="AE100" s="32">
        <f t="shared" si="33"/>
        <v>2</v>
      </c>
      <c r="AF100" s="56"/>
      <c r="AG100" s="56"/>
      <c r="AH100" s="37">
        <f t="shared" si="34"/>
        <v>17</v>
      </c>
      <c r="AI100" s="38">
        <v>65</v>
      </c>
      <c r="AJ100" s="30">
        <f t="shared" si="35"/>
        <v>82</v>
      </c>
      <c r="AK100" s="37">
        <f t="shared" si="36"/>
        <v>82</v>
      </c>
      <c r="AL100" s="39">
        <f t="shared" si="37"/>
        <v>1.02</v>
      </c>
      <c r="AM100" s="40"/>
      <c r="AN100" s="41">
        <f t="shared" si="40"/>
        <v>1</v>
      </c>
      <c r="AO100" s="41">
        <f t="shared" si="40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38"/>
        <v>0</v>
      </c>
      <c r="AX100" s="71">
        <f t="shared" si="39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28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29"/>
        <v>15</v>
      </c>
      <c r="V101" s="68">
        <f t="shared" si="30"/>
        <v>15</v>
      </c>
      <c r="W101" s="57"/>
      <c r="X101" s="60"/>
      <c r="Y101" s="45"/>
      <c r="Z101" s="48"/>
      <c r="AA101" s="35"/>
      <c r="AB101" s="36">
        <f t="shared" si="31"/>
        <v>0</v>
      </c>
      <c r="AC101" s="68">
        <f t="shared" si="32"/>
        <v>0</v>
      </c>
      <c r="AD101" s="63">
        <v>2</v>
      </c>
      <c r="AE101" s="32">
        <f t="shared" si="33"/>
        <v>2</v>
      </c>
      <c r="AF101" s="56"/>
      <c r="AG101" s="56"/>
      <c r="AH101" s="37">
        <f t="shared" si="34"/>
        <v>17</v>
      </c>
      <c r="AI101" s="38">
        <v>65</v>
      </c>
      <c r="AJ101" s="30">
        <f t="shared" si="35"/>
        <v>82</v>
      </c>
      <c r="AK101" s="37">
        <f t="shared" si="36"/>
        <v>82</v>
      </c>
      <c r="AL101" s="39">
        <f t="shared" si="37"/>
        <v>1.02</v>
      </c>
      <c r="AM101" s="40"/>
      <c r="AN101" s="41">
        <f t="shared" si="40"/>
        <v>1</v>
      </c>
      <c r="AO101" s="41">
        <f t="shared" si="40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38"/>
        <v>0</v>
      </c>
      <c r="AX101" s="71">
        <f t="shared" si="39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28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29"/>
        <v>15</v>
      </c>
      <c r="V102" s="68">
        <f t="shared" si="30"/>
        <v>15</v>
      </c>
      <c r="W102" s="57"/>
      <c r="X102" s="60"/>
      <c r="Y102" s="45"/>
      <c r="Z102" s="48"/>
      <c r="AA102" s="35"/>
      <c r="AB102" s="36">
        <f t="shared" si="31"/>
        <v>0</v>
      </c>
      <c r="AC102" s="68">
        <f t="shared" si="32"/>
        <v>0</v>
      </c>
      <c r="AD102" s="63">
        <v>2</v>
      </c>
      <c r="AE102" s="32">
        <f t="shared" si="33"/>
        <v>2</v>
      </c>
      <c r="AF102" s="56"/>
      <c r="AG102" s="56"/>
      <c r="AH102" s="37">
        <f t="shared" si="34"/>
        <v>17</v>
      </c>
      <c r="AI102" s="38">
        <v>65</v>
      </c>
      <c r="AJ102" s="30">
        <f t="shared" si="35"/>
        <v>82</v>
      </c>
      <c r="AK102" s="37">
        <f t="shared" si="36"/>
        <v>82</v>
      </c>
      <c r="AL102" s="39">
        <f t="shared" si="37"/>
        <v>1.02</v>
      </c>
      <c r="AM102" s="40"/>
      <c r="AN102" s="41">
        <f t="shared" si="40"/>
        <v>1</v>
      </c>
      <c r="AO102" s="41">
        <f t="shared" si="40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38"/>
        <v>0</v>
      </c>
      <c r="AX102" s="71">
        <f t="shared" si="39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28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29"/>
        <v>15</v>
      </c>
      <c r="V103" s="68">
        <f t="shared" si="30"/>
        <v>15</v>
      </c>
      <c r="W103" s="57"/>
      <c r="X103" s="60"/>
      <c r="Y103" s="45"/>
      <c r="Z103" s="48"/>
      <c r="AA103" s="35"/>
      <c r="AB103" s="36">
        <f t="shared" si="31"/>
        <v>0</v>
      </c>
      <c r="AC103" s="68">
        <f t="shared" si="32"/>
        <v>0</v>
      </c>
      <c r="AD103" s="63">
        <v>2</v>
      </c>
      <c r="AE103" s="32">
        <f t="shared" si="33"/>
        <v>2</v>
      </c>
      <c r="AF103" s="56"/>
      <c r="AG103" s="56"/>
      <c r="AH103" s="37">
        <f t="shared" si="34"/>
        <v>17</v>
      </c>
      <c r="AI103" s="38">
        <v>65</v>
      </c>
      <c r="AJ103" s="30">
        <f t="shared" si="35"/>
        <v>82</v>
      </c>
      <c r="AK103" s="37">
        <f t="shared" si="36"/>
        <v>82</v>
      </c>
      <c r="AL103" s="39">
        <f t="shared" si="37"/>
        <v>1.02</v>
      </c>
      <c r="AM103" s="40"/>
      <c r="AN103" s="41">
        <f t="shared" si="40"/>
        <v>1</v>
      </c>
      <c r="AO103" s="41">
        <f t="shared" si="40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38"/>
        <v>0</v>
      </c>
      <c r="AX103" s="71">
        <f t="shared" si="39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28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29"/>
        <v>15</v>
      </c>
      <c r="V104" s="68">
        <f t="shared" si="30"/>
        <v>15</v>
      </c>
      <c r="W104" s="57"/>
      <c r="X104" s="60"/>
      <c r="Y104" s="45"/>
      <c r="Z104" s="48"/>
      <c r="AA104" s="35"/>
      <c r="AB104" s="36">
        <f t="shared" si="31"/>
        <v>0</v>
      </c>
      <c r="AC104" s="68">
        <f t="shared" si="32"/>
        <v>0</v>
      </c>
      <c r="AD104" s="63">
        <v>2</v>
      </c>
      <c r="AE104" s="32">
        <f t="shared" si="33"/>
        <v>2</v>
      </c>
      <c r="AF104" s="56"/>
      <c r="AG104" s="56"/>
      <c r="AH104" s="37">
        <f t="shared" si="34"/>
        <v>17</v>
      </c>
      <c r="AI104" s="38">
        <v>65</v>
      </c>
      <c r="AJ104" s="30">
        <f t="shared" si="35"/>
        <v>82</v>
      </c>
      <c r="AK104" s="37">
        <f t="shared" si="36"/>
        <v>82</v>
      </c>
      <c r="AL104" s="39">
        <f t="shared" si="37"/>
        <v>1.02</v>
      </c>
      <c r="AM104" s="40"/>
      <c r="AN104" s="41">
        <f t="shared" si="40"/>
        <v>1</v>
      </c>
      <c r="AO104" s="41">
        <f t="shared" si="40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38"/>
        <v>0</v>
      </c>
      <c r="AX104" s="71">
        <f t="shared" si="39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28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29"/>
        <v>15</v>
      </c>
      <c r="V105" s="68">
        <f t="shared" si="30"/>
        <v>15</v>
      </c>
      <c r="W105" s="57"/>
      <c r="X105" s="60"/>
      <c r="Y105" s="45"/>
      <c r="Z105" s="48"/>
      <c r="AA105" s="35"/>
      <c r="AB105" s="36">
        <f t="shared" si="31"/>
        <v>0</v>
      </c>
      <c r="AC105" s="68">
        <f t="shared" si="32"/>
        <v>0</v>
      </c>
      <c r="AD105" s="63">
        <v>2</v>
      </c>
      <c r="AE105" s="32">
        <f t="shared" si="33"/>
        <v>2</v>
      </c>
      <c r="AF105" s="56"/>
      <c r="AG105" s="56"/>
      <c r="AH105" s="37">
        <f t="shared" si="34"/>
        <v>17</v>
      </c>
      <c r="AI105" s="38">
        <v>65</v>
      </c>
      <c r="AJ105" s="30">
        <f t="shared" si="35"/>
        <v>82</v>
      </c>
      <c r="AK105" s="37">
        <f t="shared" si="36"/>
        <v>82</v>
      </c>
      <c r="AL105" s="39">
        <f t="shared" si="37"/>
        <v>1.02</v>
      </c>
      <c r="AM105" s="40"/>
      <c r="AN105" s="41">
        <f t="shared" si="40"/>
        <v>1</v>
      </c>
      <c r="AO105" s="41">
        <f t="shared" si="40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38"/>
        <v>0</v>
      </c>
      <c r="AX105" s="71">
        <f t="shared" si="39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28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29"/>
        <v>15</v>
      </c>
      <c r="V106" s="68">
        <f t="shared" si="30"/>
        <v>15</v>
      </c>
      <c r="W106" s="57"/>
      <c r="X106" s="60"/>
      <c r="Y106" s="45"/>
      <c r="Z106" s="48"/>
      <c r="AA106" s="35"/>
      <c r="AB106" s="36">
        <f t="shared" si="31"/>
        <v>0</v>
      </c>
      <c r="AC106" s="68">
        <f t="shared" si="32"/>
        <v>0</v>
      </c>
      <c r="AD106" s="63">
        <v>2</v>
      </c>
      <c r="AE106" s="32">
        <f t="shared" si="33"/>
        <v>2</v>
      </c>
      <c r="AF106" s="56"/>
      <c r="AG106" s="56"/>
      <c r="AH106" s="37">
        <f t="shared" si="34"/>
        <v>17</v>
      </c>
      <c r="AI106" s="38">
        <v>65</v>
      </c>
      <c r="AJ106" s="30">
        <f t="shared" si="35"/>
        <v>82</v>
      </c>
      <c r="AK106" s="37">
        <f t="shared" si="36"/>
        <v>82</v>
      </c>
      <c r="AL106" s="39">
        <f t="shared" si="37"/>
        <v>1.02</v>
      </c>
      <c r="AM106" s="40"/>
      <c r="AN106" s="41">
        <f t="shared" si="40"/>
        <v>1</v>
      </c>
      <c r="AO106" s="41">
        <f t="shared" si="40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38"/>
        <v>0</v>
      </c>
      <c r="AX106" s="71">
        <f t="shared" si="39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41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ref="U107:U136" si="42">ROUND(((P107*I107)+(Q107*J107)+(R107*K107)+(S107*L107)+(T107*M107))*O107,2)</f>
        <v>15</v>
      </c>
      <c r="V107" s="68">
        <f t="shared" ref="V107:V136" si="43">IF(U107&gt;=15,15,U107)</f>
        <v>15</v>
      </c>
      <c r="W107" s="57"/>
      <c r="X107" s="60"/>
      <c r="Y107" s="45"/>
      <c r="Z107" s="48"/>
      <c r="AA107" s="35"/>
      <c r="AB107" s="36">
        <f t="shared" ref="AB107:AB136" si="44">ROUND((((W107*I107)+(X107*J107)+(Y107*K107)+(Z107*L107)+(AA107*M107))/$I$2),2)*13</f>
        <v>0</v>
      </c>
      <c r="AC107" s="68">
        <f t="shared" ref="AC107:AC136" si="45">IF(AB107&gt;=13,13,AB107)</f>
        <v>0</v>
      </c>
      <c r="AD107" s="63">
        <v>2</v>
      </c>
      <c r="AE107" s="32">
        <f t="shared" ref="AE107:AE136" si="46">IF((AC107+AD107)&gt;=15,15,(AC107+AD107))</f>
        <v>2</v>
      </c>
      <c r="AF107" s="56"/>
      <c r="AG107" s="56"/>
      <c r="AH107" s="37">
        <f t="shared" ref="AH107:AH136" si="47">IF((V107+AE107+AF107)&gt;=30,30,(V107+AE107+AF107))</f>
        <v>17</v>
      </c>
      <c r="AI107" s="38">
        <v>65</v>
      </c>
      <c r="AJ107" s="30">
        <f t="shared" ref="AJ107:AJ136" si="48">V107+AE107+AF107+AI107+AG107</f>
        <v>82</v>
      </c>
      <c r="AK107" s="37">
        <f t="shared" ref="AK107:AK136" si="49">IF(AH107+AI107+AG107&gt;=95,95,AH107+AI107+AG107)</f>
        <v>82</v>
      </c>
      <c r="AL107" s="39">
        <f t="shared" ref="AL107:AL136" si="50">-((50-((176+(45+(50-AH107)))))/200)</f>
        <v>1.02</v>
      </c>
      <c r="AM107" s="40"/>
      <c r="AN107" s="41">
        <f t="shared" si="40"/>
        <v>1</v>
      </c>
      <c r="AO107" s="41">
        <f t="shared" si="40"/>
        <v>2</v>
      </c>
      <c r="AP107" s="43"/>
      <c r="AQ107" s="70"/>
      <c r="AR107" s="58"/>
      <c r="AS107" s="58"/>
      <c r="AT107" s="58"/>
      <c r="AU107" s="58"/>
      <c r="AV107" s="59"/>
      <c r="AW107" s="71">
        <f t="shared" ref="AW107:AW136" si="51">AR107+AS107+AT107+AU107+AV107</f>
        <v>0</v>
      </c>
      <c r="AX107" s="71">
        <f t="shared" ref="AX107:AX136" si="52">(AR107*I107)+(AS107*J107)+(AT107*K107)+(AU107*L107)+(AV107*M107)</f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41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42"/>
        <v>15</v>
      </c>
      <c r="V108" s="68">
        <f t="shared" si="43"/>
        <v>15</v>
      </c>
      <c r="W108" s="57"/>
      <c r="X108" s="60"/>
      <c r="Y108" s="45"/>
      <c r="Z108" s="48"/>
      <c r="AA108" s="35"/>
      <c r="AB108" s="36">
        <f t="shared" si="44"/>
        <v>0</v>
      </c>
      <c r="AC108" s="68">
        <f t="shared" si="45"/>
        <v>0</v>
      </c>
      <c r="AD108" s="63">
        <v>2</v>
      </c>
      <c r="AE108" s="32">
        <f t="shared" si="46"/>
        <v>2</v>
      </c>
      <c r="AF108" s="56"/>
      <c r="AG108" s="56"/>
      <c r="AH108" s="37">
        <f t="shared" si="47"/>
        <v>17</v>
      </c>
      <c r="AI108" s="38">
        <v>65</v>
      </c>
      <c r="AJ108" s="30">
        <f t="shared" si="48"/>
        <v>82</v>
      </c>
      <c r="AK108" s="37">
        <f t="shared" si="49"/>
        <v>82</v>
      </c>
      <c r="AL108" s="39">
        <f t="shared" si="50"/>
        <v>1.02</v>
      </c>
      <c r="AM108" s="40"/>
      <c r="AN108" s="41">
        <f t="shared" si="40"/>
        <v>1</v>
      </c>
      <c r="AO108" s="41">
        <f t="shared" si="40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51"/>
        <v>0</v>
      </c>
      <c r="AX108" s="71">
        <f t="shared" si="52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41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42"/>
        <v>15</v>
      </c>
      <c r="V109" s="68">
        <f t="shared" si="43"/>
        <v>15</v>
      </c>
      <c r="W109" s="57"/>
      <c r="X109" s="60"/>
      <c r="Y109" s="45"/>
      <c r="Z109" s="48"/>
      <c r="AA109" s="35"/>
      <c r="AB109" s="36">
        <f t="shared" si="44"/>
        <v>0</v>
      </c>
      <c r="AC109" s="68">
        <f t="shared" si="45"/>
        <v>0</v>
      </c>
      <c r="AD109" s="63">
        <v>2</v>
      </c>
      <c r="AE109" s="32">
        <f t="shared" si="46"/>
        <v>2</v>
      </c>
      <c r="AF109" s="56"/>
      <c r="AG109" s="56"/>
      <c r="AH109" s="37">
        <f t="shared" si="47"/>
        <v>17</v>
      </c>
      <c r="AI109" s="38">
        <v>65</v>
      </c>
      <c r="AJ109" s="30">
        <f t="shared" si="48"/>
        <v>82</v>
      </c>
      <c r="AK109" s="37">
        <f t="shared" si="49"/>
        <v>82</v>
      </c>
      <c r="AL109" s="39">
        <f t="shared" si="50"/>
        <v>1.02</v>
      </c>
      <c r="AM109" s="40"/>
      <c r="AN109" s="41">
        <f t="shared" si="40"/>
        <v>1</v>
      </c>
      <c r="AO109" s="41">
        <f t="shared" si="40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51"/>
        <v>0</v>
      </c>
      <c r="AX109" s="71">
        <f t="shared" si="52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41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42"/>
        <v>15</v>
      </c>
      <c r="V110" s="68">
        <f t="shared" si="43"/>
        <v>15</v>
      </c>
      <c r="W110" s="57"/>
      <c r="X110" s="60"/>
      <c r="Y110" s="45"/>
      <c r="Z110" s="48"/>
      <c r="AA110" s="35"/>
      <c r="AB110" s="36">
        <f t="shared" si="44"/>
        <v>0</v>
      </c>
      <c r="AC110" s="68">
        <f t="shared" si="45"/>
        <v>0</v>
      </c>
      <c r="AD110" s="63">
        <v>2</v>
      </c>
      <c r="AE110" s="32">
        <f t="shared" si="46"/>
        <v>2</v>
      </c>
      <c r="AF110" s="56"/>
      <c r="AG110" s="56"/>
      <c r="AH110" s="37">
        <f t="shared" si="47"/>
        <v>17</v>
      </c>
      <c r="AI110" s="38">
        <v>65</v>
      </c>
      <c r="AJ110" s="30">
        <f t="shared" si="48"/>
        <v>82</v>
      </c>
      <c r="AK110" s="37">
        <f t="shared" si="49"/>
        <v>82</v>
      </c>
      <c r="AL110" s="39">
        <f t="shared" si="50"/>
        <v>1.02</v>
      </c>
      <c r="AM110" s="40"/>
      <c r="AN110" s="41">
        <f t="shared" si="40"/>
        <v>1</v>
      </c>
      <c r="AO110" s="41">
        <f t="shared" si="40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51"/>
        <v>0</v>
      </c>
      <c r="AX110" s="71">
        <f t="shared" si="52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41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42"/>
        <v>15</v>
      </c>
      <c r="V111" s="68">
        <f t="shared" si="43"/>
        <v>15</v>
      </c>
      <c r="W111" s="57"/>
      <c r="X111" s="60"/>
      <c r="Y111" s="45"/>
      <c r="Z111" s="48"/>
      <c r="AA111" s="35"/>
      <c r="AB111" s="36">
        <f t="shared" si="44"/>
        <v>0</v>
      </c>
      <c r="AC111" s="68">
        <f t="shared" si="45"/>
        <v>0</v>
      </c>
      <c r="AD111" s="63">
        <v>2</v>
      </c>
      <c r="AE111" s="32">
        <f t="shared" si="46"/>
        <v>2</v>
      </c>
      <c r="AF111" s="56"/>
      <c r="AG111" s="56"/>
      <c r="AH111" s="37">
        <f t="shared" si="47"/>
        <v>17</v>
      </c>
      <c r="AI111" s="38">
        <v>65</v>
      </c>
      <c r="AJ111" s="30">
        <f t="shared" si="48"/>
        <v>82</v>
      </c>
      <c r="AK111" s="37">
        <f t="shared" si="49"/>
        <v>82</v>
      </c>
      <c r="AL111" s="39">
        <f t="shared" si="50"/>
        <v>1.02</v>
      </c>
      <c r="AM111" s="40"/>
      <c r="AN111" s="41">
        <f t="shared" ref="AN111:AO130" si="53">100%+AM111</f>
        <v>1</v>
      </c>
      <c r="AO111" s="41">
        <f t="shared" si="53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51"/>
        <v>0</v>
      </c>
      <c r="AX111" s="71">
        <f t="shared" si="52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41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42"/>
        <v>15</v>
      </c>
      <c r="V112" s="68">
        <f t="shared" si="43"/>
        <v>15</v>
      </c>
      <c r="W112" s="57"/>
      <c r="X112" s="60"/>
      <c r="Y112" s="45"/>
      <c r="Z112" s="48"/>
      <c r="AA112" s="35"/>
      <c r="AB112" s="36">
        <f t="shared" si="44"/>
        <v>0</v>
      </c>
      <c r="AC112" s="68">
        <f t="shared" si="45"/>
        <v>0</v>
      </c>
      <c r="AD112" s="63">
        <v>2</v>
      </c>
      <c r="AE112" s="32">
        <f t="shared" si="46"/>
        <v>2</v>
      </c>
      <c r="AF112" s="56"/>
      <c r="AG112" s="56"/>
      <c r="AH112" s="37">
        <f t="shared" si="47"/>
        <v>17</v>
      </c>
      <c r="AI112" s="38">
        <v>65</v>
      </c>
      <c r="AJ112" s="30">
        <f t="shared" si="48"/>
        <v>82</v>
      </c>
      <c r="AK112" s="37">
        <f t="shared" si="49"/>
        <v>82</v>
      </c>
      <c r="AL112" s="39">
        <f t="shared" si="50"/>
        <v>1.02</v>
      </c>
      <c r="AM112" s="40"/>
      <c r="AN112" s="41">
        <f t="shared" si="53"/>
        <v>1</v>
      </c>
      <c r="AO112" s="41">
        <f t="shared" si="53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51"/>
        <v>0</v>
      </c>
      <c r="AX112" s="71">
        <f t="shared" si="52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41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42"/>
        <v>15</v>
      </c>
      <c r="V113" s="68">
        <f t="shared" si="43"/>
        <v>15</v>
      </c>
      <c r="W113" s="57"/>
      <c r="X113" s="60"/>
      <c r="Y113" s="45"/>
      <c r="Z113" s="48"/>
      <c r="AA113" s="35"/>
      <c r="AB113" s="36">
        <f t="shared" si="44"/>
        <v>0</v>
      </c>
      <c r="AC113" s="68">
        <f t="shared" si="45"/>
        <v>0</v>
      </c>
      <c r="AD113" s="63">
        <v>2</v>
      </c>
      <c r="AE113" s="32">
        <f t="shared" si="46"/>
        <v>2</v>
      </c>
      <c r="AF113" s="56"/>
      <c r="AG113" s="56"/>
      <c r="AH113" s="37">
        <f t="shared" si="47"/>
        <v>17</v>
      </c>
      <c r="AI113" s="38">
        <v>65</v>
      </c>
      <c r="AJ113" s="30">
        <f t="shared" si="48"/>
        <v>82</v>
      </c>
      <c r="AK113" s="37">
        <f t="shared" si="49"/>
        <v>82</v>
      </c>
      <c r="AL113" s="39">
        <f t="shared" si="50"/>
        <v>1.02</v>
      </c>
      <c r="AM113" s="40"/>
      <c r="AN113" s="41">
        <f t="shared" si="53"/>
        <v>1</v>
      </c>
      <c r="AO113" s="41">
        <f t="shared" si="53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51"/>
        <v>0</v>
      </c>
      <c r="AX113" s="71">
        <f t="shared" si="52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41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42"/>
        <v>15</v>
      </c>
      <c r="V114" s="68">
        <f t="shared" si="43"/>
        <v>15</v>
      </c>
      <c r="W114" s="57"/>
      <c r="X114" s="60"/>
      <c r="Y114" s="45"/>
      <c r="Z114" s="48"/>
      <c r="AA114" s="35"/>
      <c r="AB114" s="36">
        <f t="shared" si="44"/>
        <v>0</v>
      </c>
      <c r="AC114" s="68">
        <f t="shared" si="45"/>
        <v>0</v>
      </c>
      <c r="AD114" s="63">
        <v>2</v>
      </c>
      <c r="AE114" s="32">
        <f t="shared" si="46"/>
        <v>2</v>
      </c>
      <c r="AF114" s="56"/>
      <c r="AG114" s="56"/>
      <c r="AH114" s="37">
        <f t="shared" si="47"/>
        <v>17</v>
      </c>
      <c r="AI114" s="38">
        <v>65</v>
      </c>
      <c r="AJ114" s="30">
        <f t="shared" si="48"/>
        <v>82</v>
      </c>
      <c r="AK114" s="37">
        <f t="shared" si="49"/>
        <v>82</v>
      </c>
      <c r="AL114" s="39">
        <f t="shared" si="50"/>
        <v>1.02</v>
      </c>
      <c r="AM114" s="40"/>
      <c r="AN114" s="41">
        <f t="shared" si="53"/>
        <v>1</v>
      </c>
      <c r="AO114" s="41">
        <f t="shared" si="53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51"/>
        <v>0</v>
      </c>
      <c r="AX114" s="71">
        <f t="shared" si="52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41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42"/>
        <v>15</v>
      </c>
      <c r="V115" s="68">
        <f t="shared" si="43"/>
        <v>15</v>
      </c>
      <c r="W115" s="57"/>
      <c r="X115" s="60"/>
      <c r="Y115" s="45"/>
      <c r="Z115" s="48"/>
      <c r="AA115" s="35"/>
      <c r="AB115" s="36">
        <f t="shared" si="44"/>
        <v>0</v>
      </c>
      <c r="AC115" s="68">
        <f t="shared" si="45"/>
        <v>0</v>
      </c>
      <c r="AD115" s="63">
        <v>2</v>
      </c>
      <c r="AE115" s="32">
        <f t="shared" si="46"/>
        <v>2</v>
      </c>
      <c r="AF115" s="56"/>
      <c r="AG115" s="56"/>
      <c r="AH115" s="37">
        <f t="shared" si="47"/>
        <v>17</v>
      </c>
      <c r="AI115" s="38">
        <v>65</v>
      </c>
      <c r="AJ115" s="30">
        <f t="shared" si="48"/>
        <v>82</v>
      </c>
      <c r="AK115" s="37">
        <f t="shared" si="49"/>
        <v>82</v>
      </c>
      <c r="AL115" s="39">
        <f t="shared" si="50"/>
        <v>1.02</v>
      </c>
      <c r="AM115" s="40"/>
      <c r="AN115" s="41">
        <f t="shared" si="53"/>
        <v>1</v>
      </c>
      <c r="AO115" s="41">
        <f t="shared" si="53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51"/>
        <v>0</v>
      </c>
      <c r="AX115" s="71">
        <f t="shared" si="52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41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42"/>
        <v>15</v>
      </c>
      <c r="V116" s="68">
        <f t="shared" si="43"/>
        <v>15</v>
      </c>
      <c r="W116" s="57"/>
      <c r="X116" s="60"/>
      <c r="Y116" s="45"/>
      <c r="Z116" s="48"/>
      <c r="AA116" s="35"/>
      <c r="AB116" s="36">
        <f t="shared" si="44"/>
        <v>0</v>
      </c>
      <c r="AC116" s="68">
        <f t="shared" si="45"/>
        <v>0</v>
      </c>
      <c r="AD116" s="63">
        <v>2</v>
      </c>
      <c r="AE116" s="32">
        <f t="shared" si="46"/>
        <v>2</v>
      </c>
      <c r="AF116" s="56"/>
      <c r="AG116" s="56"/>
      <c r="AH116" s="37">
        <f t="shared" si="47"/>
        <v>17</v>
      </c>
      <c r="AI116" s="38">
        <v>65</v>
      </c>
      <c r="AJ116" s="30">
        <f t="shared" si="48"/>
        <v>82</v>
      </c>
      <c r="AK116" s="37">
        <f t="shared" si="49"/>
        <v>82</v>
      </c>
      <c r="AL116" s="39">
        <f t="shared" si="50"/>
        <v>1.02</v>
      </c>
      <c r="AM116" s="40"/>
      <c r="AN116" s="41">
        <f t="shared" si="53"/>
        <v>1</v>
      </c>
      <c r="AO116" s="41">
        <f t="shared" si="53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51"/>
        <v>0</v>
      </c>
      <c r="AX116" s="71">
        <f t="shared" si="52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41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42"/>
        <v>15</v>
      </c>
      <c r="V117" s="68">
        <f t="shared" si="43"/>
        <v>15</v>
      </c>
      <c r="W117" s="57"/>
      <c r="X117" s="60"/>
      <c r="Y117" s="45"/>
      <c r="Z117" s="48"/>
      <c r="AA117" s="35"/>
      <c r="AB117" s="36">
        <f t="shared" si="44"/>
        <v>0</v>
      </c>
      <c r="AC117" s="68">
        <f t="shared" si="45"/>
        <v>0</v>
      </c>
      <c r="AD117" s="63">
        <v>2</v>
      </c>
      <c r="AE117" s="32">
        <f t="shared" si="46"/>
        <v>2</v>
      </c>
      <c r="AF117" s="56"/>
      <c r="AG117" s="56"/>
      <c r="AH117" s="37">
        <f t="shared" si="47"/>
        <v>17</v>
      </c>
      <c r="AI117" s="38">
        <v>65</v>
      </c>
      <c r="AJ117" s="30">
        <f t="shared" si="48"/>
        <v>82</v>
      </c>
      <c r="AK117" s="37">
        <f t="shared" si="49"/>
        <v>82</v>
      </c>
      <c r="AL117" s="39">
        <f t="shared" si="50"/>
        <v>1.02</v>
      </c>
      <c r="AM117" s="40"/>
      <c r="AN117" s="41">
        <f t="shared" si="53"/>
        <v>1</v>
      </c>
      <c r="AO117" s="41">
        <f t="shared" si="53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51"/>
        <v>0</v>
      </c>
      <c r="AX117" s="71">
        <f t="shared" si="52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41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42"/>
        <v>15</v>
      </c>
      <c r="V118" s="68">
        <f t="shared" si="43"/>
        <v>15</v>
      </c>
      <c r="W118" s="57"/>
      <c r="X118" s="60"/>
      <c r="Y118" s="45"/>
      <c r="Z118" s="48"/>
      <c r="AA118" s="35"/>
      <c r="AB118" s="36">
        <f t="shared" si="44"/>
        <v>0</v>
      </c>
      <c r="AC118" s="68">
        <f t="shared" si="45"/>
        <v>0</v>
      </c>
      <c r="AD118" s="63">
        <v>2</v>
      </c>
      <c r="AE118" s="32">
        <f t="shared" si="46"/>
        <v>2</v>
      </c>
      <c r="AF118" s="56"/>
      <c r="AG118" s="56"/>
      <c r="AH118" s="37">
        <f t="shared" si="47"/>
        <v>17</v>
      </c>
      <c r="AI118" s="38">
        <v>65</v>
      </c>
      <c r="AJ118" s="30">
        <f t="shared" si="48"/>
        <v>82</v>
      </c>
      <c r="AK118" s="37">
        <f t="shared" si="49"/>
        <v>82</v>
      </c>
      <c r="AL118" s="39">
        <f t="shared" si="50"/>
        <v>1.02</v>
      </c>
      <c r="AM118" s="40"/>
      <c r="AN118" s="41">
        <f t="shared" si="53"/>
        <v>1</v>
      </c>
      <c r="AO118" s="41">
        <f t="shared" si="53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51"/>
        <v>0</v>
      </c>
      <c r="AX118" s="71">
        <f t="shared" si="52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41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42"/>
        <v>15</v>
      </c>
      <c r="V119" s="68">
        <f t="shared" si="43"/>
        <v>15</v>
      </c>
      <c r="W119" s="57"/>
      <c r="X119" s="60"/>
      <c r="Y119" s="45"/>
      <c r="Z119" s="48"/>
      <c r="AA119" s="35"/>
      <c r="AB119" s="36">
        <f t="shared" si="44"/>
        <v>0</v>
      </c>
      <c r="AC119" s="68">
        <f t="shared" si="45"/>
        <v>0</v>
      </c>
      <c r="AD119" s="63">
        <v>2</v>
      </c>
      <c r="AE119" s="32">
        <f t="shared" si="46"/>
        <v>2</v>
      </c>
      <c r="AF119" s="56"/>
      <c r="AG119" s="56"/>
      <c r="AH119" s="37">
        <f t="shared" si="47"/>
        <v>17</v>
      </c>
      <c r="AI119" s="38">
        <v>65</v>
      </c>
      <c r="AJ119" s="30">
        <f t="shared" si="48"/>
        <v>82</v>
      </c>
      <c r="AK119" s="37">
        <f t="shared" si="49"/>
        <v>82</v>
      </c>
      <c r="AL119" s="39">
        <f t="shared" si="50"/>
        <v>1.02</v>
      </c>
      <c r="AM119" s="40"/>
      <c r="AN119" s="41">
        <f t="shared" si="53"/>
        <v>1</v>
      </c>
      <c r="AO119" s="41">
        <f t="shared" si="53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51"/>
        <v>0</v>
      </c>
      <c r="AX119" s="71">
        <f t="shared" si="52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41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42"/>
        <v>15</v>
      </c>
      <c r="V120" s="68">
        <f t="shared" si="43"/>
        <v>15</v>
      </c>
      <c r="W120" s="57"/>
      <c r="X120" s="60"/>
      <c r="Y120" s="45"/>
      <c r="Z120" s="48"/>
      <c r="AA120" s="35"/>
      <c r="AB120" s="36">
        <f t="shared" si="44"/>
        <v>0</v>
      </c>
      <c r="AC120" s="68">
        <f t="shared" si="45"/>
        <v>0</v>
      </c>
      <c r="AD120" s="63">
        <v>2</v>
      </c>
      <c r="AE120" s="32">
        <f t="shared" si="46"/>
        <v>2</v>
      </c>
      <c r="AF120" s="56"/>
      <c r="AG120" s="56"/>
      <c r="AH120" s="37">
        <f t="shared" si="47"/>
        <v>17</v>
      </c>
      <c r="AI120" s="38">
        <v>65</v>
      </c>
      <c r="AJ120" s="30">
        <f t="shared" si="48"/>
        <v>82</v>
      </c>
      <c r="AK120" s="37">
        <f t="shared" si="49"/>
        <v>82</v>
      </c>
      <c r="AL120" s="39">
        <f t="shared" si="50"/>
        <v>1.02</v>
      </c>
      <c r="AM120" s="40"/>
      <c r="AN120" s="41">
        <f t="shared" si="53"/>
        <v>1</v>
      </c>
      <c r="AO120" s="41">
        <f t="shared" si="53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51"/>
        <v>0</v>
      </c>
      <c r="AX120" s="71">
        <f t="shared" si="52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41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42"/>
        <v>15</v>
      </c>
      <c r="V121" s="68">
        <f t="shared" si="43"/>
        <v>15</v>
      </c>
      <c r="W121" s="57"/>
      <c r="X121" s="60"/>
      <c r="Y121" s="45"/>
      <c r="Z121" s="48"/>
      <c r="AA121" s="35"/>
      <c r="AB121" s="36">
        <f t="shared" si="44"/>
        <v>0</v>
      </c>
      <c r="AC121" s="68">
        <f t="shared" si="45"/>
        <v>0</v>
      </c>
      <c r="AD121" s="63">
        <v>2</v>
      </c>
      <c r="AE121" s="32">
        <f t="shared" si="46"/>
        <v>2</v>
      </c>
      <c r="AF121" s="56"/>
      <c r="AG121" s="56"/>
      <c r="AH121" s="37">
        <f t="shared" si="47"/>
        <v>17</v>
      </c>
      <c r="AI121" s="38">
        <v>65</v>
      </c>
      <c r="AJ121" s="30">
        <f t="shared" si="48"/>
        <v>82</v>
      </c>
      <c r="AK121" s="37">
        <f t="shared" si="49"/>
        <v>82</v>
      </c>
      <c r="AL121" s="39">
        <f t="shared" si="50"/>
        <v>1.02</v>
      </c>
      <c r="AM121" s="40"/>
      <c r="AN121" s="41">
        <f t="shared" si="53"/>
        <v>1</v>
      </c>
      <c r="AO121" s="41">
        <f t="shared" si="53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51"/>
        <v>0</v>
      </c>
      <c r="AX121" s="71">
        <f t="shared" si="52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41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42"/>
        <v>15</v>
      </c>
      <c r="V122" s="68">
        <f t="shared" si="43"/>
        <v>15</v>
      </c>
      <c r="W122" s="57"/>
      <c r="X122" s="60"/>
      <c r="Y122" s="45"/>
      <c r="Z122" s="48"/>
      <c r="AA122" s="35"/>
      <c r="AB122" s="36">
        <f t="shared" si="44"/>
        <v>0</v>
      </c>
      <c r="AC122" s="68">
        <f t="shared" si="45"/>
        <v>0</v>
      </c>
      <c r="AD122" s="63">
        <v>2</v>
      </c>
      <c r="AE122" s="32">
        <f t="shared" si="46"/>
        <v>2</v>
      </c>
      <c r="AF122" s="56"/>
      <c r="AG122" s="56"/>
      <c r="AH122" s="37">
        <f t="shared" si="47"/>
        <v>17</v>
      </c>
      <c r="AI122" s="38">
        <v>65</v>
      </c>
      <c r="AJ122" s="30">
        <f t="shared" si="48"/>
        <v>82</v>
      </c>
      <c r="AK122" s="37">
        <f t="shared" si="49"/>
        <v>82</v>
      </c>
      <c r="AL122" s="39">
        <f t="shared" si="50"/>
        <v>1.02</v>
      </c>
      <c r="AM122" s="40"/>
      <c r="AN122" s="41">
        <f t="shared" si="53"/>
        <v>1</v>
      </c>
      <c r="AO122" s="41">
        <f t="shared" si="53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51"/>
        <v>0</v>
      </c>
      <c r="AX122" s="71">
        <f t="shared" si="52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41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42"/>
        <v>15</v>
      </c>
      <c r="V123" s="68">
        <f t="shared" si="43"/>
        <v>15</v>
      </c>
      <c r="W123" s="57"/>
      <c r="X123" s="60"/>
      <c r="Y123" s="45"/>
      <c r="Z123" s="48"/>
      <c r="AA123" s="35"/>
      <c r="AB123" s="36">
        <f t="shared" si="44"/>
        <v>0</v>
      </c>
      <c r="AC123" s="68">
        <f t="shared" si="45"/>
        <v>0</v>
      </c>
      <c r="AD123" s="63">
        <v>2</v>
      </c>
      <c r="AE123" s="32">
        <f t="shared" si="46"/>
        <v>2</v>
      </c>
      <c r="AF123" s="56"/>
      <c r="AG123" s="56"/>
      <c r="AH123" s="37">
        <f t="shared" si="47"/>
        <v>17</v>
      </c>
      <c r="AI123" s="38">
        <v>65</v>
      </c>
      <c r="AJ123" s="30">
        <f t="shared" si="48"/>
        <v>82</v>
      </c>
      <c r="AK123" s="37">
        <f t="shared" si="49"/>
        <v>82</v>
      </c>
      <c r="AL123" s="39">
        <f t="shared" si="50"/>
        <v>1.02</v>
      </c>
      <c r="AM123" s="40"/>
      <c r="AN123" s="41">
        <f t="shared" si="53"/>
        <v>1</v>
      </c>
      <c r="AO123" s="41">
        <f t="shared" si="53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51"/>
        <v>0</v>
      </c>
      <c r="AX123" s="71">
        <f t="shared" si="52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41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42"/>
        <v>15</v>
      </c>
      <c r="V124" s="68">
        <f t="shared" si="43"/>
        <v>15</v>
      </c>
      <c r="W124" s="57"/>
      <c r="X124" s="60"/>
      <c r="Y124" s="45"/>
      <c r="Z124" s="48"/>
      <c r="AA124" s="35"/>
      <c r="AB124" s="36">
        <f t="shared" si="44"/>
        <v>0</v>
      </c>
      <c r="AC124" s="68">
        <f t="shared" si="45"/>
        <v>0</v>
      </c>
      <c r="AD124" s="63">
        <v>2</v>
      </c>
      <c r="AE124" s="32">
        <f t="shared" si="46"/>
        <v>2</v>
      </c>
      <c r="AF124" s="56"/>
      <c r="AG124" s="56"/>
      <c r="AH124" s="37">
        <f t="shared" si="47"/>
        <v>17</v>
      </c>
      <c r="AI124" s="38">
        <v>65</v>
      </c>
      <c r="AJ124" s="30">
        <f t="shared" si="48"/>
        <v>82</v>
      </c>
      <c r="AK124" s="37">
        <f t="shared" si="49"/>
        <v>82</v>
      </c>
      <c r="AL124" s="39">
        <f t="shared" si="50"/>
        <v>1.02</v>
      </c>
      <c r="AM124" s="40"/>
      <c r="AN124" s="41">
        <f t="shared" si="53"/>
        <v>1</v>
      </c>
      <c r="AO124" s="41">
        <f t="shared" si="53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51"/>
        <v>0</v>
      </c>
      <c r="AX124" s="71">
        <f t="shared" si="52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41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42"/>
        <v>15</v>
      </c>
      <c r="V125" s="68">
        <f t="shared" si="43"/>
        <v>15</v>
      </c>
      <c r="W125" s="57"/>
      <c r="X125" s="60"/>
      <c r="Y125" s="45"/>
      <c r="Z125" s="48"/>
      <c r="AA125" s="35"/>
      <c r="AB125" s="36">
        <f t="shared" si="44"/>
        <v>0</v>
      </c>
      <c r="AC125" s="68">
        <f t="shared" si="45"/>
        <v>0</v>
      </c>
      <c r="AD125" s="63">
        <v>2</v>
      </c>
      <c r="AE125" s="32">
        <f t="shared" si="46"/>
        <v>2</v>
      </c>
      <c r="AF125" s="56"/>
      <c r="AG125" s="56"/>
      <c r="AH125" s="37">
        <f t="shared" si="47"/>
        <v>17</v>
      </c>
      <c r="AI125" s="38">
        <v>65</v>
      </c>
      <c r="AJ125" s="30">
        <f t="shared" si="48"/>
        <v>82</v>
      </c>
      <c r="AK125" s="37">
        <f t="shared" si="49"/>
        <v>82</v>
      </c>
      <c r="AL125" s="39">
        <f t="shared" si="50"/>
        <v>1.02</v>
      </c>
      <c r="AM125" s="40"/>
      <c r="AN125" s="41">
        <f t="shared" si="53"/>
        <v>1</v>
      </c>
      <c r="AO125" s="41">
        <f t="shared" si="53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51"/>
        <v>0</v>
      </c>
      <c r="AX125" s="71">
        <f t="shared" si="52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41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42"/>
        <v>15</v>
      </c>
      <c r="V126" s="68">
        <f t="shared" si="43"/>
        <v>15</v>
      </c>
      <c r="W126" s="57"/>
      <c r="X126" s="60"/>
      <c r="Y126" s="45"/>
      <c r="Z126" s="48"/>
      <c r="AA126" s="35"/>
      <c r="AB126" s="36">
        <f t="shared" si="44"/>
        <v>0</v>
      </c>
      <c r="AC126" s="68">
        <f t="shared" si="45"/>
        <v>0</v>
      </c>
      <c r="AD126" s="63">
        <v>2</v>
      </c>
      <c r="AE126" s="32">
        <f t="shared" si="46"/>
        <v>2</v>
      </c>
      <c r="AF126" s="56"/>
      <c r="AG126" s="56"/>
      <c r="AH126" s="37">
        <f t="shared" si="47"/>
        <v>17</v>
      </c>
      <c r="AI126" s="38">
        <v>65</v>
      </c>
      <c r="AJ126" s="30">
        <f t="shared" si="48"/>
        <v>82</v>
      </c>
      <c r="AK126" s="37">
        <f t="shared" si="49"/>
        <v>82</v>
      </c>
      <c r="AL126" s="39">
        <f t="shared" si="50"/>
        <v>1.02</v>
      </c>
      <c r="AM126" s="40"/>
      <c r="AN126" s="41">
        <f t="shared" si="53"/>
        <v>1</v>
      </c>
      <c r="AO126" s="41">
        <f t="shared" si="53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51"/>
        <v>0</v>
      </c>
      <c r="AX126" s="71">
        <f t="shared" si="52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41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42"/>
        <v>15</v>
      </c>
      <c r="V127" s="68">
        <f t="shared" si="43"/>
        <v>15</v>
      </c>
      <c r="W127" s="57"/>
      <c r="X127" s="60"/>
      <c r="Y127" s="45"/>
      <c r="Z127" s="48"/>
      <c r="AA127" s="35"/>
      <c r="AB127" s="36">
        <f t="shared" si="44"/>
        <v>0</v>
      </c>
      <c r="AC127" s="68">
        <f t="shared" si="45"/>
        <v>0</v>
      </c>
      <c r="AD127" s="63">
        <v>2</v>
      </c>
      <c r="AE127" s="32">
        <f t="shared" si="46"/>
        <v>2</v>
      </c>
      <c r="AF127" s="56"/>
      <c r="AG127" s="56"/>
      <c r="AH127" s="37">
        <f t="shared" si="47"/>
        <v>17</v>
      </c>
      <c r="AI127" s="38">
        <v>65</v>
      </c>
      <c r="AJ127" s="30">
        <f t="shared" si="48"/>
        <v>82</v>
      </c>
      <c r="AK127" s="37">
        <f t="shared" si="49"/>
        <v>82</v>
      </c>
      <c r="AL127" s="39">
        <f t="shared" si="50"/>
        <v>1.02</v>
      </c>
      <c r="AM127" s="40"/>
      <c r="AN127" s="41">
        <f t="shared" si="53"/>
        <v>1</v>
      </c>
      <c r="AO127" s="41">
        <f t="shared" si="53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51"/>
        <v>0</v>
      </c>
      <c r="AX127" s="71">
        <f t="shared" si="52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41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42"/>
        <v>15</v>
      </c>
      <c r="V128" s="68">
        <f t="shared" si="43"/>
        <v>15</v>
      </c>
      <c r="W128" s="57"/>
      <c r="X128" s="60"/>
      <c r="Y128" s="45"/>
      <c r="Z128" s="48"/>
      <c r="AA128" s="35"/>
      <c r="AB128" s="36">
        <f t="shared" si="44"/>
        <v>0</v>
      </c>
      <c r="AC128" s="68">
        <f t="shared" si="45"/>
        <v>0</v>
      </c>
      <c r="AD128" s="63">
        <v>2</v>
      </c>
      <c r="AE128" s="32">
        <f t="shared" si="46"/>
        <v>2</v>
      </c>
      <c r="AF128" s="56"/>
      <c r="AG128" s="56"/>
      <c r="AH128" s="37">
        <f t="shared" si="47"/>
        <v>17</v>
      </c>
      <c r="AI128" s="38">
        <v>65</v>
      </c>
      <c r="AJ128" s="30">
        <f t="shared" si="48"/>
        <v>82</v>
      </c>
      <c r="AK128" s="37">
        <f t="shared" si="49"/>
        <v>82</v>
      </c>
      <c r="AL128" s="39">
        <f t="shared" si="50"/>
        <v>1.02</v>
      </c>
      <c r="AM128" s="40"/>
      <c r="AN128" s="41">
        <f t="shared" si="53"/>
        <v>1</v>
      </c>
      <c r="AO128" s="41">
        <f t="shared" si="53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51"/>
        <v>0</v>
      </c>
      <c r="AX128" s="71">
        <f t="shared" si="52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41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42"/>
        <v>15</v>
      </c>
      <c r="V129" s="68">
        <f t="shared" si="43"/>
        <v>15</v>
      </c>
      <c r="W129" s="57"/>
      <c r="X129" s="60"/>
      <c r="Y129" s="45"/>
      <c r="Z129" s="48"/>
      <c r="AA129" s="35"/>
      <c r="AB129" s="36">
        <f t="shared" si="44"/>
        <v>0</v>
      </c>
      <c r="AC129" s="68">
        <f t="shared" si="45"/>
        <v>0</v>
      </c>
      <c r="AD129" s="63">
        <v>2</v>
      </c>
      <c r="AE129" s="32">
        <f t="shared" si="46"/>
        <v>2</v>
      </c>
      <c r="AF129" s="56"/>
      <c r="AG129" s="56"/>
      <c r="AH129" s="37">
        <f t="shared" si="47"/>
        <v>17</v>
      </c>
      <c r="AI129" s="38">
        <v>65</v>
      </c>
      <c r="AJ129" s="30">
        <f t="shared" si="48"/>
        <v>82</v>
      </c>
      <c r="AK129" s="37">
        <f t="shared" si="49"/>
        <v>82</v>
      </c>
      <c r="AL129" s="39">
        <f t="shared" si="50"/>
        <v>1.02</v>
      </c>
      <c r="AM129" s="40"/>
      <c r="AN129" s="41">
        <f t="shared" si="53"/>
        <v>1</v>
      </c>
      <c r="AO129" s="41">
        <f t="shared" si="53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51"/>
        <v>0</v>
      </c>
      <c r="AX129" s="71">
        <f t="shared" si="52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41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42"/>
        <v>15</v>
      </c>
      <c r="V130" s="68">
        <f t="shared" si="43"/>
        <v>15</v>
      </c>
      <c r="W130" s="57"/>
      <c r="X130" s="60"/>
      <c r="Y130" s="45"/>
      <c r="Z130" s="48"/>
      <c r="AA130" s="35"/>
      <c r="AB130" s="36">
        <f t="shared" si="44"/>
        <v>0</v>
      </c>
      <c r="AC130" s="68">
        <f t="shared" si="45"/>
        <v>0</v>
      </c>
      <c r="AD130" s="63">
        <v>2</v>
      </c>
      <c r="AE130" s="32">
        <f t="shared" si="46"/>
        <v>2</v>
      </c>
      <c r="AF130" s="56"/>
      <c r="AG130" s="56"/>
      <c r="AH130" s="37">
        <f t="shared" si="47"/>
        <v>17</v>
      </c>
      <c r="AI130" s="38">
        <v>65</v>
      </c>
      <c r="AJ130" s="30">
        <f t="shared" si="48"/>
        <v>82</v>
      </c>
      <c r="AK130" s="37">
        <f t="shared" si="49"/>
        <v>82</v>
      </c>
      <c r="AL130" s="39">
        <f t="shared" si="50"/>
        <v>1.02</v>
      </c>
      <c r="AM130" s="40"/>
      <c r="AN130" s="41">
        <f t="shared" si="53"/>
        <v>1</v>
      </c>
      <c r="AO130" s="41">
        <f t="shared" si="53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51"/>
        <v>0</v>
      </c>
      <c r="AX130" s="71">
        <f t="shared" si="52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41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42"/>
        <v>15</v>
      </c>
      <c r="V131" s="68">
        <f t="shared" si="43"/>
        <v>15</v>
      </c>
      <c r="W131" s="57"/>
      <c r="X131" s="60"/>
      <c r="Y131" s="45"/>
      <c r="Z131" s="48"/>
      <c r="AA131" s="35"/>
      <c r="AB131" s="36">
        <f t="shared" si="44"/>
        <v>0</v>
      </c>
      <c r="AC131" s="68">
        <f t="shared" si="45"/>
        <v>0</v>
      </c>
      <c r="AD131" s="63">
        <v>2</v>
      </c>
      <c r="AE131" s="32">
        <f t="shared" si="46"/>
        <v>2</v>
      </c>
      <c r="AF131" s="56"/>
      <c r="AG131" s="56"/>
      <c r="AH131" s="37">
        <f t="shared" si="47"/>
        <v>17</v>
      </c>
      <c r="AI131" s="38">
        <v>65</v>
      </c>
      <c r="AJ131" s="30">
        <f t="shared" si="48"/>
        <v>82</v>
      </c>
      <c r="AK131" s="37">
        <f t="shared" si="49"/>
        <v>82</v>
      </c>
      <c r="AL131" s="39">
        <f t="shared" si="50"/>
        <v>1.02</v>
      </c>
      <c r="AM131" s="40"/>
      <c r="AN131" s="41">
        <f t="shared" ref="AN131:AO136" si="54">100%+AM131</f>
        <v>1</v>
      </c>
      <c r="AO131" s="41">
        <f t="shared" si="54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51"/>
        <v>0</v>
      </c>
      <c r="AX131" s="71">
        <f t="shared" si="52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41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42"/>
        <v>15</v>
      </c>
      <c r="V132" s="68">
        <f t="shared" si="43"/>
        <v>15</v>
      </c>
      <c r="W132" s="57"/>
      <c r="X132" s="60"/>
      <c r="Y132" s="45"/>
      <c r="Z132" s="48"/>
      <c r="AA132" s="35"/>
      <c r="AB132" s="36">
        <f t="shared" si="44"/>
        <v>0</v>
      </c>
      <c r="AC132" s="68">
        <f t="shared" si="45"/>
        <v>0</v>
      </c>
      <c r="AD132" s="63">
        <v>2</v>
      </c>
      <c r="AE132" s="32">
        <f t="shared" si="46"/>
        <v>2</v>
      </c>
      <c r="AF132" s="56"/>
      <c r="AG132" s="56"/>
      <c r="AH132" s="37">
        <f t="shared" si="47"/>
        <v>17</v>
      </c>
      <c r="AI132" s="38">
        <v>65</v>
      </c>
      <c r="AJ132" s="30">
        <f t="shared" si="48"/>
        <v>82</v>
      </c>
      <c r="AK132" s="37">
        <f t="shared" si="49"/>
        <v>82</v>
      </c>
      <c r="AL132" s="39">
        <f t="shared" si="50"/>
        <v>1.02</v>
      </c>
      <c r="AM132" s="40"/>
      <c r="AN132" s="41">
        <f t="shared" si="54"/>
        <v>1</v>
      </c>
      <c r="AO132" s="41">
        <f t="shared" si="54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51"/>
        <v>0</v>
      </c>
      <c r="AX132" s="71">
        <f t="shared" si="52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41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42"/>
        <v>15</v>
      </c>
      <c r="V133" s="68">
        <f t="shared" si="43"/>
        <v>15</v>
      </c>
      <c r="W133" s="57"/>
      <c r="X133" s="60"/>
      <c r="Y133" s="45"/>
      <c r="Z133" s="48"/>
      <c r="AA133" s="35"/>
      <c r="AB133" s="36">
        <f t="shared" si="44"/>
        <v>0</v>
      </c>
      <c r="AC133" s="68">
        <f t="shared" si="45"/>
        <v>0</v>
      </c>
      <c r="AD133" s="63">
        <v>2</v>
      </c>
      <c r="AE133" s="32">
        <f t="shared" si="46"/>
        <v>2</v>
      </c>
      <c r="AF133" s="56"/>
      <c r="AG133" s="56"/>
      <c r="AH133" s="37">
        <f t="shared" si="47"/>
        <v>17</v>
      </c>
      <c r="AI133" s="38">
        <v>65</v>
      </c>
      <c r="AJ133" s="30">
        <f t="shared" si="48"/>
        <v>82</v>
      </c>
      <c r="AK133" s="37">
        <f t="shared" si="49"/>
        <v>82</v>
      </c>
      <c r="AL133" s="39">
        <f t="shared" si="50"/>
        <v>1.02</v>
      </c>
      <c r="AM133" s="40"/>
      <c r="AN133" s="41">
        <f t="shared" si="54"/>
        <v>1</v>
      </c>
      <c r="AO133" s="41">
        <f t="shared" si="54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51"/>
        <v>0</v>
      </c>
      <c r="AX133" s="71">
        <f t="shared" si="52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41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42"/>
        <v>15</v>
      </c>
      <c r="V134" s="68">
        <f t="shared" si="43"/>
        <v>15</v>
      </c>
      <c r="W134" s="57"/>
      <c r="X134" s="60"/>
      <c r="Y134" s="45"/>
      <c r="Z134" s="48"/>
      <c r="AA134" s="35"/>
      <c r="AB134" s="36">
        <f t="shared" si="44"/>
        <v>0</v>
      </c>
      <c r="AC134" s="68">
        <f t="shared" si="45"/>
        <v>0</v>
      </c>
      <c r="AD134" s="63">
        <v>2</v>
      </c>
      <c r="AE134" s="32">
        <f t="shared" si="46"/>
        <v>2</v>
      </c>
      <c r="AF134" s="56"/>
      <c r="AG134" s="56"/>
      <c r="AH134" s="37">
        <f t="shared" si="47"/>
        <v>17</v>
      </c>
      <c r="AI134" s="38">
        <v>65</v>
      </c>
      <c r="AJ134" s="30">
        <f t="shared" si="48"/>
        <v>82</v>
      </c>
      <c r="AK134" s="37">
        <f t="shared" si="49"/>
        <v>82</v>
      </c>
      <c r="AL134" s="39">
        <f t="shared" si="50"/>
        <v>1.02</v>
      </c>
      <c r="AM134" s="40"/>
      <c r="AN134" s="41">
        <f t="shared" si="54"/>
        <v>1</v>
      </c>
      <c r="AO134" s="41">
        <f t="shared" si="54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51"/>
        <v>0</v>
      </c>
      <c r="AX134" s="71">
        <f t="shared" si="52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41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42"/>
        <v>15</v>
      </c>
      <c r="V135" s="68">
        <f t="shared" si="43"/>
        <v>15</v>
      </c>
      <c r="W135" s="57"/>
      <c r="X135" s="60"/>
      <c r="Y135" s="45"/>
      <c r="Z135" s="48"/>
      <c r="AA135" s="35"/>
      <c r="AB135" s="36">
        <f t="shared" si="44"/>
        <v>0</v>
      </c>
      <c r="AC135" s="68">
        <f t="shared" si="45"/>
        <v>0</v>
      </c>
      <c r="AD135" s="63">
        <v>2</v>
      </c>
      <c r="AE135" s="32">
        <f t="shared" si="46"/>
        <v>2</v>
      </c>
      <c r="AF135" s="56"/>
      <c r="AG135" s="56"/>
      <c r="AH135" s="37">
        <f t="shared" si="47"/>
        <v>17</v>
      </c>
      <c r="AI135" s="38">
        <v>65</v>
      </c>
      <c r="AJ135" s="30">
        <f t="shared" si="48"/>
        <v>82</v>
      </c>
      <c r="AK135" s="37">
        <f t="shared" si="49"/>
        <v>82</v>
      </c>
      <c r="AL135" s="39">
        <f t="shared" si="50"/>
        <v>1.02</v>
      </c>
      <c r="AM135" s="40"/>
      <c r="AN135" s="41">
        <f t="shared" si="54"/>
        <v>1</v>
      </c>
      <c r="AO135" s="41">
        <f t="shared" si="54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51"/>
        <v>0</v>
      </c>
      <c r="AX135" s="71">
        <f t="shared" si="52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41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42"/>
        <v>15</v>
      </c>
      <c r="V136" s="68">
        <f t="shared" si="43"/>
        <v>15</v>
      </c>
      <c r="W136" s="57"/>
      <c r="X136" s="60"/>
      <c r="Y136" s="45"/>
      <c r="Z136" s="48"/>
      <c r="AA136" s="35"/>
      <c r="AB136" s="36">
        <f t="shared" si="44"/>
        <v>0</v>
      </c>
      <c r="AC136" s="68">
        <f t="shared" si="45"/>
        <v>0</v>
      </c>
      <c r="AD136" s="63">
        <v>2</v>
      </c>
      <c r="AE136" s="32">
        <f t="shared" si="46"/>
        <v>2</v>
      </c>
      <c r="AF136" s="56"/>
      <c r="AG136" s="56"/>
      <c r="AH136" s="37">
        <f t="shared" si="47"/>
        <v>17</v>
      </c>
      <c r="AI136" s="38">
        <v>65</v>
      </c>
      <c r="AJ136" s="30">
        <f t="shared" si="48"/>
        <v>82</v>
      </c>
      <c r="AK136" s="37">
        <f t="shared" si="49"/>
        <v>82</v>
      </c>
      <c r="AL136" s="39">
        <f t="shared" si="50"/>
        <v>1.02</v>
      </c>
      <c r="AM136" s="40"/>
      <c r="AN136" s="41">
        <f t="shared" si="54"/>
        <v>1</v>
      </c>
      <c r="AO136" s="41">
        <f t="shared" si="54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51"/>
        <v>0</v>
      </c>
      <c r="AX136" s="71">
        <f t="shared" si="52"/>
        <v>0</v>
      </c>
    </row>
  </sheetData>
  <mergeCells count="41"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S2:AT2"/>
    <mergeCell ref="A3:A4"/>
    <mergeCell ref="B3:B4"/>
    <mergeCell ref="C3:H3"/>
    <mergeCell ref="I3:M3"/>
    <mergeCell ref="N3:N4"/>
    <mergeCell ref="O3:O4"/>
    <mergeCell ref="P3:U3"/>
    <mergeCell ref="AO3:AO4"/>
    <mergeCell ref="AW3:AW4"/>
    <mergeCell ref="AX3:AX4"/>
    <mergeCell ref="A6:H6"/>
    <mergeCell ref="A10:H10"/>
    <mergeCell ref="A8:H8"/>
    <mergeCell ref="AQ3:AQ4"/>
    <mergeCell ref="AR3:AR4"/>
    <mergeCell ref="AS3:AS4"/>
    <mergeCell ref="AT3:AT4"/>
    <mergeCell ref="AU3:AU4"/>
    <mergeCell ref="AP3:AP4"/>
    <mergeCell ref="AV3:AV4"/>
    <mergeCell ref="W3:AE3"/>
    <mergeCell ref="AL3:AL4"/>
    <mergeCell ref="AM3:AM4"/>
    <mergeCell ref="AN3:AN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X148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 t="s">
        <v>317</v>
      </c>
      <c r="E1" s="340"/>
      <c r="F1" s="339"/>
      <c r="G1" s="340"/>
      <c r="H1" s="66" t="s">
        <v>29</v>
      </c>
      <c r="I1" s="341">
        <v>5831661000</v>
      </c>
      <c r="J1" s="341"/>
      <c r="K1" s="142" t="s">
        <v>488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v>3551490000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3906639000</v>
      </c>
      <c r="E2" s="328"/>
      <c r="F2" s="329"/>
      <c r="G2" s="330"/>
      <c r="H2" s="3" t="s">
        <v>28</v>
      </c>
      <c r="I2" s="331">
        <f>D2*1</f>
        <v>3906639000</v>
      </c>
      <c r="J2" s="329"/>
      <c r="K2" s="129" t="s">
        <v>46</v>
      </c>
      <c r="L2" s="130" t="s">
        <v>30</v>
      </c>
      <c r="M2" s="332">
        <v>45930.458333333336</v>
      </c>
      <c r="N2" s="332"/>
      <c r="O2" s="332"/>
      <c r="P2" s="332"/>
      <c r="Q2" s="131" t="s">
        <v>101</v>
      </c>
      <c r="R2" s="131"/>
      <c r="S2" s="131"/>
      <c r="T2" s="94"/>
      <c r="U2" s="132"/>
      <c r="V2" s="132"/>
      <c r="W2" s="133"/>
      <c r="X2" s="134"/>
      <c r="Y2" s="377">
        <v>2958370000</v>
      </c>
      <c r="Z2" s="377"/>
      <c r="AA2" s="334">
        <f>I1</f>
        <v>5831661000</v>
      </c>
      <c r="AB2" s="335"/>
      <c r="AC2" s="336"/>
      <c r="AD2" s="337">
        <f>TRUNC(Y2/AA2,4)</f>
        <v>0.50719999999999998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44</v>
      </c>
      <c r="AP2" s="1"/>
      <c r="AQ2" s="136"/>
      <c r="AR2" s="137" t="s">
        <v>38</v>
      </c>
      <c r="AS2" s="348">
        <f>AI1</f>
        <v>3551490000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10"/>
      <c r="W3" s="354" t="s">
        <v>424</v>
      </c>
      <c r="X3" s="355"/>
      <c r="Y3" s="355"/>
      <c r="Z3" s="355"/>
      <c r="AA3" s="355"/>
      <c r="AB3" s="355"/>
      <c r="AC3" s="355"/>
      <c r="AD3" s="355"/>
      <c r="AE3" s="356"/>
      <c r="AF3" s="211"/>
      <c r="AG3" s="211"/>
      <c r="AH3" s="211"/>
      <c r="AI3" s="211"/>
      <c r="AJ3" s="211"/>
      <c r="AK3" s="212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39</v>
      </c>
      <c r="F4" s="15" t="s">
        <v>1</v>
      </c>
      <c r="G4" s="16" t="s">
        <v>27</v>
      </c>
      <c r="H4" s="210"/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39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 t="s">
        <v>421</v>
      </c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59183685000</v>
      </c>
      <c r="X5" s="92"/>
      <c r="Y5" s="33"/>
      <c r="Z5" s="90"/>
      <c r="AA5" s="102"/>
      <c r="AB5" s="124">
        <f>ROUND((((W5*I5)+(X5*J5)+(Y5*K5)+(Z5*L5)+(AA5*M5))/$I$2),2)*13</f>
        <v>196.95000000000002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>
        <v>3.08</v>
      </c>
      <c r="AH5" s="115">
        <f>IF((V5+AE5+AF5)&gt;=30,30,(V5+AE5+AF5))</f>
        <v>30</v>
      </c>
      <c r="AI5" s="116">
        <v>65</v>
      </c>
      <c r="AJ5" s="44">
        <f>V5+AE5+AF5+AI5+AG5</f>
        <v>98.08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45">
        <v>93.38</v>
      </c>
      <c r="J6" s="104"/>
      <c r="K6" s="104"/>
      <c r="L6" s="104"/>
      <c r="M6" s="104"/>
      <c r="N6" s="143">
        <f>I6*I5+J6*J5+K6*K5+L6*L5+M6*M5</f>
        <v>93.38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 t="s">
        <v>421</v>
      </c>
      <c r="C7" s="164" t="s">
        <v>86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/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/>
      <c r="Y7" s="33"/>
      <c r="Z7" s="45"/>
      <c r="AA7" s="35"/>
      <c r="AB7" s="36">
        <f>ROUND((((W7*I7)+(X7*J7)+(Y7*K7)+(Z7*L7)+(AA7*M7))/$I$2),2)*13</f>
        <v>49.79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3.08</v>
      </c>
      <c r="AH7" s="37">
        <f>IF((V7+AE7+AF7)&gt;=30,30,(V7+AE7+AF7))</f>
        <v>30</v>
      </c>
      <c r="AI7" s="38">
        <v>65</v>
      </c>
      <c r="AJ7" s="30">
        <f>V7+AE7+AF7+AI7+AG7</f>
        <v>98.08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56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 t="s">
        <v>421</v>
      </c>
      <c r="C9" s="164" t="s">
        <v>80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39361754000</v>
      </c>
      <c r="X9" s="33"/>
      <c r="Y9" s="33"/>
      <c r="Z9" s="45"/>
      <c r="AA9" s="35"/>
      <c r="AB9" s="36">
        <f>ROUND((((W9*I9)+(X9*J9)+(Y9*K9)+(Z9*L9)+(AA9*M9))/$I$2),2)*13</f>
        <v>131.04</v>
      </c>
      <c r="AC9" s="68">
        <f>IF(AB9&gt;=13,13,AB9)</f>
        <v>13</v>
      </c>
      <c r="AD9" s="63">
        <v>5</v>
      </c>
      <c r="AE9" s="32">
        <f>IF((AC9+AD9)&gt;=15,15,(AC9+AD9))</f>
        <v>15</v>
      </c>
      <c r="AF9" s="61"/>
      <c r="AG9" s="114">
        <v>3.08</v>
      </c>
      <c r="AH9" s="37">
        <f>IF((V9+AE9+AF9)&gt;=30,30,(V9+AE9+AF9))</f>
        <v>30</v>
      </c>
      <c r="AI9" s="38">
        <v>65</v>
      </c>
      <c r="AJ9" s="30">
        <f>V9+AE9+AF9+AI9+AG9</f>
        <v>98.08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/>
      <c r="K10" s="104"/>
      <c r="L10" s="104"/>
      <c r="M10" s="104"/>
      <c r="N10" s="107">
        <f>I10*I9+J10*J9+K10*K9+L10*L9+M10*M9</f>
        <v>90.73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 t="s">
        <v>421</v>
      </c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 t="shared" ref="N11:N54" si="0"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 t="shared" ref="U11:U86" si="1">ROUND(((P11*I11)+(Q11*J11)+(R11*K11)+(S11*L11)+(T11*M11))*O11,2)</f>
        <v>15</v>
      </c>
      <c r="V11" s="68">
        <f t="shared" ref="V11:V86" si="2">IF(U11&gt;=15,15,U11)</f>
        <v>15</v>
      </c>
      <c r="W11" s="171">
        <v>34748832000</v>
      </c>
      <c r="X11" s="33"/>
      <c r="Y11" s="33"/>
      <c r="Z11" s="45"/>
      <c r="AA11" s="35"/>
      <c r="AB11" s="36">
        <f t="shared" ref="AB11:AB86" si="3">ROUND((((W11*I11)+(X11*J11)+(Y11*K11)+(Z11*L11)+(AA11*M11))/$I$2),2)*13</f>
        <v>115.57000000000001</v>
      </c>
      <c r="AC11" s="68">
        <f t="shared" ref="AC11:AC86" si="4">IF(AB11&gt;=13,13,AB11)</f>
        <v>13</v>
      </c>
      <c r="AD11" s="63">
        <v>2</v>
      </c>
      <c r="AE11" s="32">
        <f t="shared" ref="AE11:AE86" si="5">IF((AC11+AD11)&gt;=15,15,(AC11+AD11))</f>
        <v>15</v>
      </c>
      <c r="AF11" s="170"/>
      <c r="AG11" s="114">
        <v>3.08</v>
      </c>
      <c r="AH11" s="37">
        <f t="shared" ref="AH11:AH86" si="6">IF((V11+AE11+AF11)&gt;=30,30,(V11+AE11+AF11))</f>
        <v>30</v>
      </c>
      <c r="AI11" s="38">
        <v>65</v>
      </c>
      <c r="AJ11" s="30">
        <f t="shared" ref="AJ11:AJ86" si="7">V11+AE11+AF11+AI11+AG11</f>
        <v>98.08</v>
      </c>
      <c r="AK11" s="37">
        <f t="shared" ref="AK11:AK86" si="8">IF(AH11+AI11+AG11&gt;=95,95,AH11+AI11+AG11)</f>
        <v>95</v>
      </c>
      <c r="AL11" s="39">
        <f t="shared" ref="AL11:AL86" si="9">-((50-((176+(45+(50-AH11)))))/200)</f>
        <v>0.95499999999999996</v>
      </c>
      <c r="AM11" s="40"/>
      <c r="AN11" s="41">
        <f t="shared" ref="AN11:AO4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86" si="11">AR11+AS11+AT11+AU11+AV11</f>
        <v>0</v>
      </c>
      <c r="AX11" s="71">
        <f t="shared" ref="AX11:AX86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 t="s">
        <v>421</v>
      </c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7"/>
      <c r="R13" s="80"/>
      <c r="S13" s="31"/>
      <c r="T13" s="33"/>
      <c r="U13" s="32">
        <f t="shared" si="1"/>
        <v>15</v>
      </c>
      <c r="V13" s="68">
        <f t="shared" si="2"/>
        <v>15</v>
      </c>
      <c r="W13" s="171">
        <v>57539030000</v>
      </c>
      <c r="X13" s="33"/>
      <c r="Y13" s="34"/>
      <c r="Z13" s="45"/>
      <c r="AA13" s="35"/>
      <c r="AB13" s="36">
        <f t="shared" si="3"/>
        <v>191.49</v>
      </c>
      <c r="AC13" s="68">
        <f t="shared" si="4"/>
        <v>13</v>
      </c>
      <c r="AD13" s="63">
        <v>2</v>
      </c>
      <c r="AE13" s="32">
        <f t="shared" si="5"/>
        <v>15</v>
      </c>
      <c r="AF13" s="170"/>
      <c r="AG13" s="114">
        <v>3.08</v>
      </c>
      <c r="AH13" s="37">
        <f t="shared" si="6"/>
        <v>30</v>
      </c>
      <c r="AI13" s="38">
        <v>65</v>
      </c>
      <c r="AJ13" s="30">
        <f t="shared" si="7"/>
        <v>98.08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 t="s">
        <v>421</v>
      </c>
      <c r="C15" s="168" t="s">
        <v>328</v>
      </c>
      <c r="D15" s="166" t="s">
        <v>321</v>
      </c>
      <c r="E15" s="49" t="s">
        <v>329</v>
      </c>
      <c r="F15" s="49"/>
      <c r="G15" s="53"/>
      <c r="H15" s="140" t="s">
        <v>322</v>
      </c>
      <c r="I15" s="79">
        <v>0.4</v>
      </c>
      <c r="J15" s="193">
        <v>0.24249999999999999</v>
      </c>
      <c r="K15" s="96">
        <v>0.3</v>
      </c>
      <c r="L15" s="77"/>
      <c r="M15" s="78"/>
      <c r="N15" s="27">
        <f t="shared" si="0"/>
        <v>0.94250000000000012</v>
      </c>
      <c r="O15" s="28">
        <v>1</v>
      </c>
      <c r="P15" s="80">
        <v>15</v>
      </c>
      <c r="Q15" s="80">
        <v>15</v>
      </c>
      <c r="R15" s="80">
        <v>15</v>
      </c>
      <c r="S15" s="31"/>
      <c r="T15" s="89"/>
      <c r="U15" s="32">
        <f t="shared" si="1"/>
        <v>14.14</v>
      </c>
      <c r="V15" s="68">
        <f t="shared" si="2"/>
        <v>14.14</v>
      </c>
      <c r="W15" s="172">
        <v>7486618000</v>
      </c>
      <c r="X15" s="172">
        <v>708518000</v>
      </c>
      <c r="Y15" s="60">
        <v>130509297000</v>
      </c>
      <c r="Z15" s="45"/>
      <c r="AA15" s="35"/>
      <c r="AB15" s="36">
        <f t="shared" si="3"/>
        <v>140.79</v>
      </c>
      <c r="AC15" s="68">
        <f t="shared" si="4"/>
        <v>13</v>
      </c>
      <c r="AD15" s="192">
        <v>1</v>
      </c>
      <c r="AE15" s="32">
        <f t="shared" si="5"/>
        <v>14</v>
      </c>
      <c r="AF15" s="61"/>
      <c r="AG15" s="114">
        <v>3.08</v>
      </c>
      <c r="AH15" s="37">
        <f t="shared" si="6"/>
        <v>28.14</v>
      </c>
      <c r="AI15" s="38">
        <v>65</v>
      </c>
      <c r="AJ15" s="30">
        <f t="shared" si="7"/>
        <v>96.22</v>
      </c>
      <c r="AK15" s="37">
        <f t="shared" si="8"/>
        <v>95</v>
      </c>
      <c r="AL15" s="39">
        <f t="shared" si="9"/>
        <v>0.96430000000000005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>
        <v>85</v>
      </c>
      <c r="L16" s="104"/>
      <c r="M16" s="104"/>
      <c r="N16" s="107">
        <f>I16*I15+J16*J15+K16*K15+L16*L15+M16*M15</f>
        <v>80.112499999999997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 t="s">
        <v>421</v>
      </c>
      <c r="C17" s="165" t="s">
        <v>90</v>
      </c>
      <c r="D17" s="164" t="s">
        <v>346</v>
      </c>
      <c r="E17" s="49"/>
      <c r="F17" s="49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172">
        <v>32826052000</v>
      </c>
      <c r="X17" s="173">
        <v>3586189000</v>
      </c>
      <c r="Y17" s="33"/>
      <c r="Z17" s="45"/>
      <c r="AA17" s="35"/>
      <c r="AB17" s="36">
        <f t="shared" si="3"/>
        <v>61.620000000000005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>
        <v>3.08</v>
      </c>
      <c r="AH17" s="37">
        <f t="shared" si="6"/>
        <v>30</v>
      </c>
      <c r="AI17" s="38">
        <v>65</v>
      </c>
      <c r="AJ17" s="30">
        <f t="shared" si="7"/>
        <v>98.08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 t="s">
        <v>421</v>
      </c>
      <c r="C19" s="168" t="s">
        <v>420</v>
      </c>
      <c r="D19" s="50" t="s">
        <v>347</v>
      </c>
      <c r="E19" s="168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0"/>
      <c r="T19" s="31"/>
      <c r="U19" s="32">
        <f t="shared" si="1"/>
        <v>15</v>
      </c>
      <c r="V19" s="68">
        <f t="shared" si="2"/>
        <v>15</v>
      </c>
      <c r="W19" s="57">
        <v>25680345000</v>
      </c>
      <c r="X19" s="33">
        <v>1956642000</v>
      </c>
      <c r="Y19" s="57"/>
      <c r="Z19" s="48"/>
      <c r="AA19" s="35"/>
      <c r="AB19" s="36">
        <f t="shared" si="3"/>
        <v>46.800000000000004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3.08</v>
      </c>
      <c r="AH19" s="37">
        <f t="shared" si="6"/>
        <v>30</v>
      </c>
      <c r="AI19" s="38">
        <v>65</v>
      </c>
      <c r="AJ19" s="30">
        <f t="shared" si="7"/>
        <v>98.08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177" t="s">
        <v>422</v>
      </c>
      <c r="C21" s="168" t="s">
        <v>425</v>
      </c>
      <c r="D21" s="163" t="s">
        <v>320</v>
      </c>
      <c r="E21" s="49"/>
      <c r="F21" s="168"/>
      <c r="G21" s="53"/>
      <c r="H21" s="140" t="s">
        <v>423</v>
      </c>
      <c r="I21" s="215">
        <v>0.50719999999999998</v>
      </c>
      <c r="J21" s="26">
        <v>0.43</v>
      </c>
      <c r="K21" s="83"/>
      <c r="L21" s="26"/>
      <c r="M21" s="62"/>
      <c r="N21" s="27">
        <f t="shared" si="0"/>
        <v>0.93720000000000003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14.06</v>
      </c>
      <c r="V21" s="68">
        <f t="shared" si="2"/>
        <v>14.06</v>
      </c>
      <c r="W21" s="172">
        <v>5867768000</v>
      </c>
      <c r="X21" s="172">
        <v>4319931000</v>
      </c>
      <c r="Y21" s="172"/>
      <c r="Z21" s="172"/>
      <c r="AA21" s="35"/>
      <c r="AB21" s="36">
        <f t="shared" si="3"/>
        <v>16.12</v>
      </c>
      <c r="AC21" s="68">
        <f t="shared" si="4"/>
        <v>13</v>
      </c>
      <c r="AD21" s="192">
        <v>0</v>
      </c>
      <c r="AE21" s="32">
        <f t="shared" si="5"/>
        <v>13</v>
      </c>
      <c r="AF21" s="56"/>
      <c r="AG21" s="114">
        <v>3.08</v>
      </c>
      <c r="AH21" s="37">
        <f t="shared" si="6"/>
        <v>27.060000000000002</v>
      </c>
      <c r="AI21" s="38">
        <v>65</v>
      </c>
      <c r="AJ21" s="30">
        <f t="shared" si="7"/>
        <v>95.14</v>
      </c>
      <c r="AK21" s="37">
        <f t="shared" si="8"/>
        <v>95</v>
      </c>
      <c r="AL21" s="39">
        <f t="shared" si="9"/>
        <v>0.96970000000000001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79.662000000000006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 t="s">
        <v>421</v>
      </c>
      <c r="C23" s="168" t="s">
        <v>324</v>
      </c>
      <c r="D23" s="163" t="s">
        <v>343</v>
      </c>
      <c r="E23" s="151"/>
      <c r="F23" s="49"/>
      <c r="G23" s="53"/>
      <c r="H23" s="140" t="s">
        <v>341</v>
      </c>
      <c r="I23" s="215">
        <v>0.4284</v>
      </c>
      <c r="J23" s="26">
        <v>0.49</v>
      </c>
      <c r="K23" s="26"/>
      <c r="L23" s="26"/>
      <c r="M23" s="62"/>
      <c r="N23" s="27">
        <f t="shared" si="0"/>
        <v>0.91839999999999999</v>
      </c>
      <c r="O23" s="28">
        <v>1</v>
      </c>
      <c r="P23" s="29">
        <v>15</v>
      </c>
      <c r="Q23" s="181">
        <v>15</v>
      </c>
      <c r="R23" s="181"/>
      <c r="S23" s="30"/>
      <c r="T23" s="31"/>
      <c r="U23" s="32">
        <f t="shared" si="1"/>
        <v>13.78</v>
      </c>
      <c r="V23" s="68">
        <f t="shared" si="2"/>
        <v>13.78</v>
      </c>
      <c r="W23" s="82">
        <v>8216820000</v>
      </c>
      <c r="X23" s="172">
        <v>14643377000</v>
      </c>
      <c r="Y23" s="33"/>
      <c r="Z23" s="48"/>
      <c r="AA23" s="35"/>
      <c r="AB23" s="36">
        <f t="shared" si="3"/>
        <v>35.620000000000005</v>
      </c>
      <c r="AC23" s="68">
        <f t="shared" si="4"/>
        <v>13</v>
      </c>
      <c r="AD23" s="192">
        <v>1</v>
      </c>
      <c r="AE23" s="32">
        <f t="shared" si="5"/>
        <v>14</v>
      </c>
      <c r="AF23" s="56">
        <f>0.5*I23</f>
        <v>0.2142</v>
      </c>
      <c r="AG23" s="114">
        <v>3.08</v>
      </c>
      <c r="AH23" s="37">
        <f t="shared" si="6"/>
        <v>27.994200000000003</v>
      </c>
      <c r="AI23" s="38">
        <v>65</v>
      </c>
      <c r="AJ23" s="30">
        <f t="shared" si="7"/>
        <v>96.074200000000005</v>
      </c>
      <c r="AK23" s="37">
        <f t="shared" si="8"/>
        <v>95</v>
      </c>
      <c r="AL23" s="39">
        <f t="shared" si="9"/>
        <v>0.96502899999999991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45">
        <v>91.63</v>
      </c>
      <c r="K24" s="104">
        <v>85</v>
      </c>
      <c r="L24" s="104"/>
      <c r="M24" s="104"/>
      <c r="N24" s="107">
        <f>I24*I23+J24*J23+K24*K23+L24*L23+M24*M23</f>
        <v>81.312700000000007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76" t="s">
        <v>421</v>
      </c>
      <c r="C25" s="52" t="s">
        <v>337</v>
      </c>
      <c r="D25" s="51" t="s">
        <v>354</v>
      </c>
      <c r="E25" s="49"/>
      <c r="F25" s="49"/>
      <c r="G25" s="53"/>
      <c r="H25" s="140" t="s">
        <v>342</v>
      </c>
      <c r="I25" s="25">
        <v>0.7</v>
      </c>
      <c r="J25" s="193">
        <v>0.2291</v>
      </c>
      <c r="K25" s="26"/>
      <c r="L25" s="26"/>
      <c r="M25" s="62"/>
      <c r="N25" s="27">
        <f t="shared" si="0"/>
        <v>0.92909999999999993</v>
      </c>
      <c r="O25" s="28">
        <v>1</v>
      </c>
      <c r="P25" s="29">
        <v>15</v>
      </c>
      <c r="Q25" s="30">
        <v>15</v>
      </c>
      <c r="R25" s="56"/>
      <c r="S25" s="30"/>
      <c r="T25" s="31"/>
      <c r="U25" s="32">
        <f t="shared" si="1"/>
        <v>13.94</v>
      </c>
      <c r="V25" s="68">
        <f t="shared" si="2"/>
        <v>13.94</v>
      </c>
      <c r="W25" s="82">
        <v>328448752000</v>
      </c>
      <c r="X25" s="33">
        <v>724542000</v>
      </c>
      <c r="Y25" s="172"/>
      <c r="Z25" s="48"/>
      <c r="AA25" s="35"/>
      <c r="AB25" s="36">
        <f t="shared" si="3"/>
        <v>765.57</v>
      </c>
      <c r="AC25" s="68">
        <f t="shared" si="4"/>
        <v>13</v>
      </c>
      <c r="AD25" s="192">
        <v>1.5</v>
      </c>
      <c r="AE25" s="32">
        <f t="shared" si="5"/>
        <v>14.5</v>
      </c>
      <c r="AF25" s="56"/>
      <c r="AG25" s="114">
        <v>3.08</v>
      </c>
      <c r="AH25" s="37">
        <f t="shared" si="6"/>
        <v>28.439999999999998</v>
      </c>
      <c r="AI25" s="38">
        <v>65</v>
      </c>
      <c r="AJ25" s="30">
        <f t="shared" si="7"/>
        <v>96.52</v>
      </c>
      <c r="AK25" s="37">
        <f t="shared" si="8"/>
        <v>95</v>
      </c>
      <c r="AL25" s="39">
        <f t="shared" si="9"/>
        <v>0.96279999999999999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98</v>
      </c>
      <c r="B26" s="364"/>
      <c r="C26" s="364"/>
      <c r="D26" s="364"/>
      <c r="E26" s="364"/>
      <c r="F26" s="364"/>
      <c r="G26" s="364"/>
      <c r="H26" s="365"/>
      <c r="I26" s="145">
        <v>93.38</v>
      </c>
      <c r="J26" s="104">
        <v>85</v>
      </c>
      <c r="K26" s="104">
        <v>85</v>
      </c>
      <c r="L26" s="104"/>
      <c r="M26" s="104"/>
      <c r="N26" s="107">
        <f>I26*I25+J26*J25+K26*K25+L26*L25+M26*M25</f>
        <v>84.839500000000001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76" t="s">
        <v>421</v>
      </c>
      <c r="C27" s="165" t="s">
        <v>326</v>
      </c>
      <c r="D27" s="163" t="s">
        <v>318</v>
      </c>
      <c r="E27" s="51" t="s">
        <v>349</v>
      </c>
      <c r="F27" s="49"/>
      <c r="G27" s="53"/>
      <c r="H27" s="140" t="s">
        <v>352</v>
      </c>
      <c r="I27" s="219">
        <v>0.5071</v>
      </c>
      <c r="J27" s="96">
        <v>0.25</v>
      </c>
      <c r="K27" s="193">
        <v>0.1988</v>
      </c>
      <c r="L27" s="26"/>
      <c r="M27" s="62"/>
      <c r="N27" s="27">
        <f t="shared" si="0"/>
        <v>0.95589999999999997</v>
      </c>
      <c r="O27" s="28">
        <v>1</v>
      </c>
      <c r="P27" s="29">
        <v>15</v>
      </c>
      <c r="Q27" s="30">
        <v>15</v>
      </c>
      <c r="R27" s="30">
        <v>15</v>
      </c>
      <c r="S27" s="30"/>
      <c r="T27" s="31"/>
      <c r="U27" s="32">
        <f t="shared" si="1"/>
        <v>14.34</v>
      </c>
      <c r="V27" s="68">
        <f t="shared" si="2"/>
        <v>14.34</v>
      </c>
      <c r="W27" s="57">
        <v>3664456000</v>
      </c>
      <c r="X27" s="60">
        <v>6971585000</v>
      </c>
      <c r="Y27" s="45">
        <v>1346655000</v>
      </c>
      <c r="Z27" s="48"/>
      <c r="AA27" s="35"/>
      <c r="AB27" s="36">
        <f t="shared" si="3"/>
        <v>12.87</v>
      </c>
      <c r="AC27" s="68">
        <f t="shared" si="4"/>
        <v>12.87</v>
      </c>
      <c r="AD27" s="192">
        <v>1</v>
      </c>
      <c r="AE27" s="32">
        <f t="shared" si="5"/>
        <v>13.87</v>
      </c>
      <c r="AF27" s="56"/>
      <c r="AG27" s="114">
        <v>3.08</v>
      </c>
      <c r="AH27" s="37">
        <f t="shared" si="6"/>
        <v>28.21</v>
      </c>
      <c r="AI27" s="38">
        <v>65</v>
      </c>
      <c r="AJ27" s="30">
        <f t="shared" si="7"/>
        <v>96.29</v>
      </c>
      <c r="AK27" s="37">
        <f t="shared" si="8"/>
        <v>95</v>
      </c>
      <c r="AL27" s="39">
        <f t="shared" si="9"/>
        <v>0.96394999999999997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98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>
        <v>85</v>
      </c>
      <c r="L28" s="104"/>
      <c r="M28" s="104"/>
      <c r="N28" s="107">
        <f>I28*I27+J28*J27+K28*K27+L28*L27+M28*M27</f>
        <v>81.251499999999993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76" t="s">
        <v>421</v>
      </c>
      <c r="C29" s="168" t="s">
        <v>334</v>
      </c>
      <c r="D29" s="218" t="s">
        <v>333</v>
      </c>
      <c r="E29" s="168"/>
      <c r="F29" s="49"/>
      <c r="G29" s="53"/>
      <c r="H29" s="140" t="s">
        <v>335</v>
      </c>
      <c r="I29" s="25">
        <v>0.7</v>
      </c>
      <c r="J29" s="193">
        <v>0.25009999999999999</v>
      </c>
      <c r="K29" s="26"/>
      <c r="L29" s="26"/>
      <c r="M29" s="62"/>
      <c r="N29" s="27">
        <f t="shared" si="0"/>
        <v>0.95009999999999994</v>
      </c>
      <c r="O29" s="28">
        <v>1</v>
      </c>
      <c r="P29" s="29">
        <v>15</v>
      </c>
      <c r="Q29" s="180">
        <v>8.6</v>
      </c>
      <c r="R29" s="30"/>
      <c r="S29" s="30"/>
      <c r="T29" s="31"/>
      <c r="U29" s="32">
        <f t="shared" si="1"/>
        <v>12.65</v>
      </c>
      <c r="V29" s="68">
        <f t="shared" si="2"/>
        <v>12.65</v>
      </c>
      <c r="W29" s="57">
        <v>10737437000</v>
      </c>
      <c r="X29" s="60">
        <v>3358650000</v>
      </c>
      <c r="Y29" s="45"/>
      <c r="Z29" s="48"/>
      <c r="AA29" s="35"/>
      <c r="AB29" s="36">
        <f t="shared" si="3"/>
        <v>27.82</v>
      </c>
      <c r="AC29" s="68">
        <f t="shared" si="4"/>
        <v>13</v>
      </c>
      <c r="AD29" s="192">
        <v>1</v>
      </c>
      <c r="AE29" s="32">
        <f t="shared" si="5"/>
        <v>14</v>
      </c>
      <c r="AF29" s="56">
        <f>0.5*I29</f>
        <v>0.35</v>
      </c>
      <c r="AG29" s="114">
        <v>3.08</v>
      </c>
      <c r="AH29" s="37">
        <f t="shared" si="6"/>
        <v>27</v>
      </c>
      <c r="AI29" s="38">
        <v>65</v>
      </c>
      <c r="AJ29" s="30">
        <f t="shared" si="7"/>
        <v>95.08</v>
      </c>
      <c r="AK29" s="37">
        <f t="shared" si="8"/>
        <v>95</v>
      </c>
      <c r="AL29" s="39">
        <f t="shared" si="9"/>
        <v>0.97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>
        <v>85</v>
      </c>
      <c r="L30" s="104"/>
      <c r="M30" s="104"/>
      <c r="N30" s="107">
        <f>I30*I29+J30*J29+K30*K29+L30*L29+M30*M29</f>
        <v>80.758499999999998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76" t="s">
        <v>421</v>
      </c>
      <c r="C31" s="168" t="s">
        <v>323</v>
      </c>
      <c r="D31" s="50" t="s">
        <v>332</v>
      </c>
      <c r="E31" s="103"/>
      <c r="F31" s="49"/>
      <c r="G31" s="53"/>
      <c r="H31" s="64"/>
      <c r="I31" s="25">
        <v>0.7</v>
      </c>
      <c r="J31" s="26">
        <v>0.3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618668065000</v>
      </c>
      <c r="X31" s="60">
        <v>1810832000</v>
      </c>
      <c r="Y31" s="45"/>
      <c r="Z31" s="48"/>
      <c r="AA31" s="35"/>
      <c r="AB31" s="36">
        <f t="shared" si="3"/>
        <v>1442.87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>
        <v>3.08</v>
      </c>
      <c r="AH31" s="37">
        <f t="shared" si="6"/>
        <v>30</v>
      </c>
      <c r="AI31" s="38">
        <v>65</v>
      </c>
      <c r="AJ31" s="30">
        <f t="shared" si="7"/>
        <v>98.08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205">
        <v>15</v>
      </c>
      <c r="B32" s="76" t="s">
        <v>421</v>
      </c>
      <c r="C32" s="49" t="s">
        <v>231</v>
      </c>
      <c r="D32" s="50" t="s">
        <v>330</v>
      </c>
      <c r="E32" s="52"/>
      <c r="F32" s="49"/>
      <c r="G32" s="53"/>
      <c r="H32" s="140" t="s">
        <v>331</v>
      </c>
      <c r="I32" s="25">
        <v>0.65</v>
      </c>
      <c r="J32" s="193">
        <v>0.34089999999999998</v>
      </c>
      <c r="K32" s="26"/>
      <c r="L32" s="26"/>
      <c r="M32" s="62"/>
      <c r="N32" s="27">
        <f t="shared" si="0"/>
        <v>0.9909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14.86</v>
      </c>
      <c r="V32" s="68">
        <f t="shared" si="2"/>
        <v>14.86</v>
      </c>
      <c r="W32" s="57">
        <v>227887155000</v>
      </c>
      <c r="X32" s="60">
        <v>4102925000</v>
      </c>
      <c r="Y32" s="45"/>
      <c r="Z32" s="48"/>
      <c r="AA32" s="35"/>
      <c r="AB32" s="36">
        <f t="shared" si="3"/>
        <v>497.51000000000005</v>
      </c>
      <c r="AC32" s="68">
        <f t="shared" si="4"/>
        <v>13</v>
      </c>
      <c r="AD32" s="192">
        <v>1.5</v>
      </c>
      <c r="AE32" s="32">
        <f t="shared" si="5"/>
        <v>14.5</v>
      </c>
      <c r="AF32" s="56"/>
      <c r="AG32" s="114">
        <v>3.08</v>
      </c>
      <c r="AH32" s="37">
        <f t="shared" si="6"/>
        <v>29.36</v>
      </c>
      <c r="AI32" s="38">
        <v>65</v>
      </c>
      <c r="AJ32" s="30">
        <f t="shared" si="7"/>
        <v>97.44</v>
      </c>
      <c r="AK32" s="37">
        <f t="shared" si="8"/>
        <v>95</v>
      </c>
      <c r="AL32" s="39">
        <f t="shared" si="9"/>
        <v>0.95819999999999994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21.95" customHeight="1" thickBot="1" x14ac:dyDescent="0.2">
      <c r="A33" s="363" t="s">
        <v>43</v>
      </c>
      <c r="B33" s="364"/>
      <c r="C33" s="364"/>
      <c r="D33" s="364"/>
      <c r="E33" s="364"/>
      <c r="F33" s="364"/>
      <c r="G33" s="364"/>
      <c r="H33" s="365"/>
      <c r="I33" s="153">
        <v>85</v>
      </c>
      <c r="J33" s="104">
        <v>85</v>
      </c>
      <c r="K33" s="104">
        <v>85</v>
      </c>
      <c r="L33" s="104"/>
      <c r="M33" s="104"/>
      <c r="N33" s="107">
        <f>I33*I32+J33*J32+K33*K32+L33*L32+M33*M32</f>
        <v>84.226500000000001</v>
      </c>
      <c r="O33" s="28"/>
      <c r="P33" s="29"/>
      <c r="Q33" s="30"/>
      <c r="R33" s="30"/>
      <c r="S33" s="31"/>
      <c r="T33" s="89"/>
      <c r="U33" s="32"/>
      <c r="V33" s="68"/>
      <c r="W33" s="98"/>
      <c r="X33" s="45"/>
      <c r="Y33" s="93"/>
      <c r="Z33" s="45"/>
      <c r="AA33" s="35"/>
      <c r="AB33" s="36"/>
      <c r="AC33" s="68"/>
      <c r="AD33" s="32"/>
      <c r="AE33" s="32"/>
      <c r="AF33" s="61"/>
      <c r="AG33" s="56"/>
      <c r="AH33" s="37"/>
      <c r="AI33" s="38"/>
      <c r="AJ33" s="30"/>
      <c r="AK33" s="37"/>
      <c r="AL33" s="39"/>
      <c r="AM33" s="40"/>
      <c r="AN33" s="41"/>
      <c r="AO33" s="41"/>
      <c r="AP33" s="43"/>
      <c r="AQ33" s="70"/>
      <c r="AR33" s="58"/>
      <c r="AS33" s="58"/>
      <c r="AT33" s="58"/>
      <c r="AU33" s="58"/>
      <c r="AV33" s="59"/>
      <c r="AW33" s="71"/>
      <c r="AX33" s="71"/>
    </row>
    <row r="34" spans="1:50" s="42" customFormat="1" ht="46.5" customHeight="1" thickBot="1" x14ac:dyDescent="0.2">
      <c r="A34" s="205">
        <v>16</v>
      </c>
      <c r="B34" s="76" t="s">
        <v>421</v>
      </c>
      <c r="C34" s="51" t="s">
        <v>339</v>
      </c>
      <c r="D34" s="52" t="s">
        <v>327</v>
      </c>
      <c r="E34" s="49"/>
      <c r="F34" s="49"/>
      <c r="G34" s="53"/>
      <c r="H34" s="140" t="s">
        <v>336</v>
      </c>
      <c r="I34" s="219">
        <v>0.50390000000000001</v>
      </c>
      <c r="J34" s="26">
        <v>0.49</v>
      </c>
      <c r="K34" s="26"/>
      <c r="L34" s="26"/>
      <c r="M34" s="62"/>
      <c r="N34" s="27">
        <f t="shared" si="0"/>
        <v>0.99390000000000001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14.91</v>
      </c>
      <c r="V34" s="68">
        <f t="shared" si="2"/>
        <v>14.91</v>
      </c>
      <c r="W34" s="57">
        <v>3425675000</v>
      </c>
      <c r="X34" s="33">
        <v>80267427000</v>
      </c>
      <c r="Y34" s="33"/>
      <c r="Z34" s="48"/>
      <c r="AA34" s="35"/>
      <c r="AB34" s="36">
        <f t="shared" si="3"/>
        <v>136.63</v>
      </c>
      <c r="AC34" s="68">
        <f t="shared" si="4"/>
        <v>13</v>
      </c>
      <c r="AD34" s="192">
        <v>1.5</v>
      </c>
      <c r="AE34" s="32">
        <f t="shared" si="5"/>
        <v>14.5</v>
      </c>
      <c r="AF34" s="56"/>
      <c r="AG34" s="114">
        <v>3.08</v>
      </c>
      <c r="AH34" s="37">
        <f t="shared" si="6"/>
        <v>29.41</v>
      </c>
      <c r="AI34" s="38">
        <v>65</v>
      </c>
      <c r="AJ34" s="30">
        <f t="shared" si="7"/>
        <v>97.49</v>
      </c>
      <c r="AK34" s="37">
        <f t="shared" si="8"/>
        <v>95</v>
      </c>
      <c r="AL34" s="39">
        <f t="shared" si="9"/>
        <v>0.95794999999999997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21.95" customHeight="1" thickBot="1" x14ac:dyDescent="0.2">
      <c r="A35" s="363" t="s">
        <v>43</v>
      </c>
      <c r="B35" s="364"/>
      <c r="C35" s="364"/>
      <c r="D35" s="364"/>
      <c r="E35" s="364"/>
      <c r="F35" s="364"/>
      <c r="G35" s="364"/>
      <c r="H35" s="365"/>
      <c r="I35" s="153">
        <v>85</v>
      </c>
      <c r="J35" s="104">
        <v>85</v>
      </c>
      <c r="K35" s="104">
        <v>85</v>
      </c>
      <c r="L35" s="104"/>
      <c r="M35" s="104"/>
      <c r="N35" s="107">
        <f>I35*I34+J35*J34+K35*K34+L35*L34+M35*M34</f>
        <v>84.481499999999997</v>
      </c>
      <c r="O35" s="28"/>
      <c r="P35" s="29"/>
      <c r="Q35" s="30"/>
      <c r="R35" s="30"/>
      <c r="S35" s="31"/>
      <c r="T35" s="89"/>
      <c r="U35" s="32"/>
      <c r="V35" s="68"/>
      <c r="W35" s="98"/>
      <c r="X35" s="45"/>
      <c r="Y35" s="93"/>
      <c r="Z35" s="45"/>
      <c r="AA35" s="35"/>
      <c r="AB35" s="36"/>
      <c r="AC35" s="68"/>
      <c r="AD35" s="32"/>
      <c r="AE35" s="32"/>
      <c r="AF35" s="61"/>
      <c r="AG35" s="56"/>
      <c r="AH35" s="37"/>
      <c r="AI35" s="38"/>
      <c r="AJ35" s="30"/>
      <c r="AK35" s="37"/>
      <c r="AL35" s="39"/>
      <c r="AM35" s="40"/>
      <c r="AN35" s="41"/>
      <c r="AO35" s="41"/>
      <c r="AP35" s="43"/>
      <c r="AQ35" s="70"/>
      <c r="AR35" s="58"/>
      <c r="AS35" s="58"/>
      <c r="AT35" s="58"/>
      <c r="AU35" s="58"/>
      <c r="AV35" s="59"/>
      <c r="AW35" s="71"/>
      <c r="AX35" s="71"/>
    </row>
    <row r="36" spans="1:50" s="42" customFormat="1" ht="46.5" customHeight="1" thickBot="1" x14ac:dyDescent="0.2">
      <c r="A36" s="205">
        <v>17</v>
      </c>
      <c r="B36" s="76" t="s">
        <v>421</v>
      </c>
      <c r="C36" s="51" t="s">
        <v>340</v>
      </c>
      <c r="D36" s="151" t="s">
        <v>57</v>
      </c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>
        <v>7622761000</v>
      </c>
      <c r="X36" s="60">
        <v>78106522000</v>
      </c>
      <c r="Y36" s="45"/>
      <c r="Z36" s="48"/>
      <c r="AA36" s="35"/>
      <c r="AB36" s="36">
        <f t="shared" si="3"/>
        <v>140.26999999999998</v>
      </c>
      <c r="AC36" s="68">
        <f t="shared" si="4"/>
        <v>13</v>
      </c>
      <c r="AD36" s="63">
        <v>2</v>
      </c>
      <c r="AE36" s="32">
        <f t="shared" si="5"/>
        <v>15</v>
      </c>
      <c r="AF36" s="56"/>
      <c r="AG36" s="114">
        <v>3.08</v>
      </c>
      <c r="AH36" s="37">
        <f t="shared" si="6"/>
        <v>30</v>
      </c>
      <c r="AI36" s="38">
        <v>65</v>
      </c>
      <c r="AJ36" s="30">
        <f t="shared" si="7"/>
        <v>98.08</v>
      </c>
      <c r="AK36" s="37">
        <f t="shared" si="8"/>
        <v>95</v>
      </c>
      <c r="AL36" s="39">
        <f t="shared" si="9"/>
        <v>0.95499999999999996</v>
      </c>
      <c r="AM36" s="40"/>
      <c r="AN36" s="41">
        <f t="shared" si="10"/>
        <v>1</v>
      </c>
      <c r="AO36" s="41">
        <f t="shared" si="10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205">
        <v>18</v>
      </c>
      <c r="B37" s="76" t="s">
        <v>421</v>
      </c>
      <c r="C37" s="168" t="s">
        <v>418</v>
      </c>
      <c r="D37" s="50" t="s">
        <v>338</v>
      </c>
      <c r="E37" s="49"/>
      <c r="F37" s="49"/>
      <c r="G37" s="53"/>
      <c r="H37" s="64"/>
      <c r="I37" s="25">
        <v>0.65</v>
      </c>
      <c r="J37" s="26">
        <v>0.35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>
        <v>41028772000</v>
      </c>
      <c r="X37" s="60">
        <v>3231169000</v>
      </c>
      <c r="Y37" s="45"/>
      <c r="Z37" s="48"/>
      <c r="AA37" s="35"/>
      <c r="AB37" s="36">
        <f t="shared" si="3"/>
        <v>92.56</v>
      </c>
      <c r="AC37" s="68">
        <f t="shared" si="4"/>
        <v>13</v>
      </c>
      <c r="AD37" s="63">
        <v>2</v>
      </c>
      <c r="AE37" s="32">
        <f t="shared" si="5"/>
        <v>15</v>
      </c>
      <c r="AF37" s="56"/>
      <c r="AG37" s="114">
        <v>3.08</v>
      </c>
      <c r="AH37" s="37">
        <f t="shared" si="6"/>
        <v>30</v>
      </c>
      <c r="AI37" s="38">
        <v>65</v>
      </c>
      <c r="AJ37" s="30">
        <f t="shared" si="7"/>
        <v>98.08</v>
      </c>
      <c r="AK37" s="37">
        <f t="shared" si="8"/>
        <v>95</v>
      </c>
      <c r="AL37" s="39">
        <f t="shared" si="9"/>
        <v>0.95499999999999996</v>
      </c>
      <c r="AM37" s="40"/>
      <c r="AN37" s="41">
        <f t="shared" si="10"/>
        <v>1</v>
      </c>
      <c r="AO37" s="41">
        <f t="shared" si="10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205">
        <v>19</v>
      </c>
      <c r="B38" s="76" t="s">
        <v>421</v>
      </c>
      <c r="C38" s="168" t="s">
        <v>419</v>
      </c>
      <c r="D38" s="164" t="s">
        <v>319</v>
      </c>
      <c r="E38" s="49"/>
      <c r="F38" s="49"/>
      <c r="G38" s="53"/>
      <c r="H38" s="140"/>
      <c r="I38" s="223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>
        <v>29846687000</v>
      </c>
      <c r="X38" s="173">
        <v>17523143000</v>
      </c>
      <c r="Y38" s="45"/>
      <c r="Z38" s="48"/>
      <c r="AA38" s="35"/>
      <c r="AB38" s="36">
        <f t="shared" si="3"/>
        <v>79.17</v>
      </c>
      <c r="AC38" s="68">
        <f t="shared" si="4"/>
        <v>13</v>
      </c>
      <c r="AD38" s="63">
        <v>2</v>
      </c>
      <c r="AE38" s="32">
        <f t="shared" si="5"/>
        <v>15</v>
      </c>
      <c r="AF38" s="56"/>
      <c r="AG38" s="114">
        <v>3.08</v>
      </c>
      <c r="AH38" s="37">
        <f t="shared" si="6"/>
        <v>30</v>
      </c>
      <c r="AI38" s="38">
        <v>65</v>
      </c>
      <c r="AJ38" s="30">
        <f t="shared" si="7"/>
        <v>98.08</v>
      </c>
      <c r="AK38" s="37">
        <f t="shared" si="8"/>
        <v>95</v>
      </c>
      <c r="AL38" s="39">
        <f t="shared" si="9"/>
        <v>0.95499999999999996</v>
      </c>
      <c r="AM38" s="40"/>
      <c r="AN38" s="41">
        <f t="shared" si="10"/>
        <v>1</v>
      </c>
      <c r="AO38" s="41">
        <f t="shared" si="10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21.95" customHeight="1" thickBot="1" x14ac:dyDescent="0.2">
      <c r="A39" s="363" t="s">
        <v>43</v>
      </c>
      <c r="B39" s="364"/>
      <c r="C39" s="364"/>
      <c r="D39" s="364"/>
      <c r="E39" s="364"/>
      <c r="F39" s="364"/>
      <c r="G39" s="364"/>
      <c r="H39" s="365"/>
      <c r="I39" s="153">
        <v>85</v>
      </c>
      <c r="J39" s="104">
        <v>85</v>
      </c>
      <c r="K39" s="104">
        <v>85</v>
      </c>
      <c r="L39" s="104"/>
      <c r="M39" s="104"/>
      <c r="N39" s="107">
        <f>I39*I38+J39*J38+K39*K38+L39*L38+M39*M38</f>
        <v>85</v>
      </c>
      <c r="O39" s="28"/>
      <c r="P39" s="29"/>
      <c r="Q39" s="30"/>
      <c r="R39" s="30"/>
      <c r="S39" s="31"/>
      <c r="T39" s="89"/>
      <c r="U39" s="32"/>
      <c r="V39" s="68"/>
      <c r="W39" s="98"/>
      <c r="X39" s="45"/>
      <c r="Y39" s="93"/>
      <c r="Z39" s="45"/>
      <c r="AA39" s="35"/>
      <c r="AB39" s="36"/>
      <c r="AC39" s="68"/>
      <c r="AD39" s="32"/>
      <c r="AE39" s="32"/>
      <c r="AF39" s="61"/>
      <c r="AG39" s="56"/>
      <c r="AH39" s="37"/>
      <c r="AI39" s="38"/>
      <c r="AJ39" s="30"/>
      <c r="AK39" s="37"/>
      <c r="AL39" s="39"/>
      <c r="AM39" s="40"/>
      <c r="AN39" s="41"/>
      <c r="AO39" s="41"/>
      <c r="AP39" s="43"/>
      <c r="AQ39" s="70"/>
      <c r="AR39" s="58"/>
      <c r="AS39" s="58"/>
      <c r="AT39" s="58"/>
      <c r="AU39" s="58"/>
      <c r="AV39" s="59"/>
      <c r="AW39" s="71"/>
      <c r="AX39" s="71"/>
    </row>
    <row r="40" spans="1:50" s="42" customFormat="1" ht="46.5" customHeight="1" thickBot="1" x14ac:dyDescent="0.2">
      <c r="A40" s="205">
        <v>20</v>
      </c>
      <c r="B40" s="76" t="s">
        <v>421</v>
      </c>
      <c r="C40" s="49" t="s">
        <v>353</v>
      </c>
      <c r="D40" s="51" t="s">
        <v>348</v>
      </c>
      <c r="E40" s="49"/>
      <c r="F40" s="49"/>
      <c r="G40" s="53"/>
      <c r="H40" s="140" t="s">
        <v>350</v>
      </c>
      <c r="I40" s="25">
        <v>0.7</v>
      </c>
      <c r="J40" s="193">
        <v>0.2903</v>
      </c>
      <c r="K40" s="26"/>
      <c r="L40" s="26"/>
      <c r="M40" s="62"/>
      <c r="N40" s="27">
        <f t="shared" si="0"/>
        <v>0.99029999999999996</v>
      </c>
      <c r="O40" s="197">
        <v>1.1000000000000001</v>
      </c>
      <c r="P40" s="29">
        <v>15</v>
      </c>
      <c r="Q40" s="30">
        <v>15</v>
      </c>
      <c r="R40" s="30"/>
      <c r="S40" s="30"/>
      <c r="T40" s="31"/>
      <c r="U40" s="32">
        <f t="shared" si="1"/>
        <v>16.34</v>
      </c>
      <c r="V40" s="68">
        <f t="shared" si="2"/>
        <v>15</v>
      </c>
      <c r="W40" s="173">
        <v>816103333000</v>
      </c>
      <c r="X40" s="60">
        <v>1880242000</v>
      </c>
      <c r="Y40" s="45"/>
      <c r="Z40" s="48"/>
      <c r="AA40" s="35"/>
      <c r="AB40" s="36">
        <f t="shared" si="3"/>
        <v>1902.81</v>
      </c>
      <c r="AC40" s="68">
        <f t="shared" si="4"/>
        <v>13</v>
      </c>
      <c r="AD40" s="192">
        <v>1.5</v>
      </c>
      <c r="AE40" s="32">
        <f t="shared" si="5"/>
        <v>14.5</v>
      </c>
      <c r="AF40" s="56"/>
      <c r="AG40" s="114">
        <v>3.08</v>
      </c>
      <c r="AH40" s="37">
        <f t="shared" si="6"/>
        <v>29.5</v>
      </c>
      <c r="AI40" s="38">
        <v>65</v>
      </c>
      <c r="AJ40" s="30">
        <f t="shared" si="7"/>
        <v>97.58</v>
      </c>
      <c r="AK40" s="37">
        <f t="shared" si="8"/>
        <v>95</v>
      </c>
      <c r="AL40" s="39">
        <f t="shared" si="9"/>
        <v>0.95750000000000002</v>
      </c>
      <c r="AM40" s="40"/>
      <c r="AN40" s="41">
        <f t="shared" si="10"/>
        <v>1</v>
      </c>
      <c r="AO40" s="41">
        <f t="shared" si="10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21.95" customHeight="1" thickBot="1" x14ac:dyDescent="0.2">
      <c r="A41" s="363" t="s">
        <v>43</v>
      </c>
      <c r="B41" s="364"/>
      <c r="C41" s="364"/>
      <c r="D41" s="364"/>
      <c r="E41" s="364"/>
      <c r="F41" s="364"/>
      <c r="G41" s="364"/>
      <c r="H41" s="365"/>
      <c r="I41" s="153">
        <v>85</v>
      </c>
      <c r="J41" s="104">
        <v>85</v>
      </c>
      <c r="K41" s="104">
        <v>85</v>
      </c>
      <c r="L41" s="104"/>
      <c r="M41" s="104"/>
      <c r="N41" s="107">
        <f>I41*I40+J41*J40+K41*K40+L41*L40+M41*M40</f>
        <v>84.1755</v>
      </c>
      <c r="O41" s="28"/>
      <c r="P41" s="29"/>
      <c r="Q41" s="30"/>
      <c r="R41" s="30"/>
      <c r="S41" s="31"/>
      <c r="T41" s="89"/>
      <c r="U41" s="32"/>
      <c r="V41" s="68"/>
      <c r="W41" s="98"/>
      <c r="X41" s="45"/>
      <c r="Y41" s="93"/>
      <c r="Z41" s="45"/>
      <c r="AA41" s="35"/>
      <c r="AB41" s="36"/>
      <c r="AC41" s="68"/>
      <c r="AD41" s="32"/>
      <c r="AE41" s="32"/>
      <c r="AF41" s="61"/>
      <c r="AG41" s="56"/>
      <c r="AH41" s="37"/>
      <c r="AI41" s="38"/>
      <c r="AJ41" s="30"/>
      <c r="AK41" s="37"/>
      <c r="AL41" s="39"/>
      <c r="AM41" s="40"/>
      <c r="AN41" s="41"/>
      <c r="AO41" s="41"/>
      <c r="AP41" s="43"/>
      <c r="AQ41" s="70"/>
      <c r="AR41" s="58"/>
      <c r="AS41" s="58"/>
      <c r="AT41" s="58"/>
      <c r="AU41" s="58"/>
      <c r="AV41" s="59"/>
      <c r="AW41" s="71"/>
      <c r="AX41" s="71"/>
    </row>
    <row r="42" spans="1:50" s="42" customFormat="1" ht="46.5" customHeight="1" thickBot="1" x14ac:dyDescent="0.2">
      <c r="A42" s="205">
        <v>21</v>
      </c>
      <c r="B42" s="76" t="s">
        <v>421</v>
      </c>
      <c r="C42" s="52" t="s">
        <v>97</v>
      </c>
      <c r="D42" s="163" t="s">
        <v>325</v>
      </c>
      <c r="E42" s="49"/>
      <c r="F42" s="49"/>
      <c r="G42" s="53"/>
      <c r="H42" s="140" t="s">
        <v>351</v>
      </c>
      <c r="I42" s="25">
        <v>0.7</v>
      </c>
      <c r="J42" s="193">
        <v>0.27679999999999999</v>
      </c>
      <c r="K42" s="26"/>
      <c r="L42" s="26"/>
      <c r="M42" s="62"/>
      <c r="N42" s="27">
        <f t="shared" si="0"/>
        <v>0.97679999999999989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14.65</v>
      </c>
      <c r="V42" s="68">
        <f t="shared" si="2"/>
        <v>14.65</v>
      </c>
      <c r="W42" s="172">
        <v>229675529000</v>
      </c>
      <c r="X42" s="45">
        <v>1281708000</v>
      </c>
      <c r="Y42" s="45"/>
      <c r="Z42" s="48"/>
      <c r="AA42" s="35"/>
      <c r="AB42" s="36">
        <f t="shared" si="3"/>
        <v>536.12</v>
      </c>
      <c r="AC42" s="68">
        <f t="shared" si="4"/>
        <v>13</v>
      </c>
      <c r="AD42" s="192">
        <v>1.5</v>
      </c>
      <c r="AE42" s="32">
        <f t="shared" si="5"/>
        <v>14.5</v>
      </c>
      <c r="AF42" s="56"/>
      <c r="AG42" s="114">
        <v>3.08</v>
      </c>
      <c r="AH42" s="37">
        <f t="shared" si="6"/>
        <v>29.15</v>
      </c>
      <c r="AI42" s="38">
        <v>65</v>
      </c>
      <c r="AJ42" s="30">
        <f t="shared" si="7"/>
        <v>97.23</v>
      </c>
      <c r="AK42" s="37">
        <f t="shared" si="8"/>
        <v>95</v>
      </c>
      <c r="AL42" s="39">
        <f t="shared" si="9"/>
        <v>0.95924999999999994</v>
      </c>
      <c r="AM42" s="40"/>
      <c r="AN42" s="41">
        <f t="shared" ref="AN42:AO62" si="13">100%+AM42</f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21.95" customHeight="1" thickBot="1" x14ac:dyDescent="0.2">
      <c r="A43" s="363" t="s">
        <v>43</v>
      </c>
      <c r="B43" s="364"/>
      <c r="C43" s="364"/>
      <c r="D43" s="364"/>
      <c r="E43" s="364"/>
      <c r="F43" s="364"/>
      <c r="G43" s="364"/>
      <c r="H43" s="365"/>
      <c r="I43" s="153">
        <v>85</v>
      </c>
      <c r="J43" s="104">
        <v>85</v>
      </c>
      <c r="K43" s="104">
        <v>85</v>
      </c>
      <c r="L43" s="104"/>
      <c r="M43" s="104"/>
      <c r="N43" s="107">
        <f>I43*I42+J43*J42+K43*K42+L43*L42+M43*M42</f>
        <v>83.027999999999992</v>
      </c>
      <c r="O43" s="28"/>
      <c r="P43" s="29"/>
      <c r="Q43" s="30"/>
      <c r="R43" s="30"/>
      <c r="S43" s="31"/>
      <c r="T43" s="89"/>
      <c r="U43" s="32"/>
      <c r="V43" s="68"/>
      <c r="W43" s="98"/>
      <c r="X43" s="45"/>
      <c r="Y43" s="93"/>
      <c r="Z43" s="45"/>
      <c r="AA43" s="35"/>
      <c r="AB43" s="36"/>
      <c r="AC43" s="68"/>
      <c r="AD43" s="32"/>
      <c r="AE43" s="32"/>
      <c r="AF43" s="61"/>
      <c r="AG43" s="56"/>
      <c r="AH43" s="37"/>
      <c r="AI43" s="38"/>
      <c r="AJ43" s="30"/>
      <c r="AK43" s="37"/>
      <c r="AL43" s="39"/>
      <c r="AM43" s="40"/>
      <c r="AN43" s="41"/>
      <c r="AO43" s="41"/>
      <c r="AP43" s="43"/>
      <c r="AQ43" s="70"/>
      <c r="AR43" s="58"/>
      <c r="AS43" s="58"/>
      <c r="AT43" s="58"/>
      <c r="AU43" s="58"/>
      <c r="AV43" s="59"/>
      <c r="AW43" s="71"/>
      <c r="AX43" s="71"/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168" t="s">
        <v>344</v>
      </c>
      <c r="D46" s="49"/>
      <c r="E46" s="49"/>
      <c r="F46" s="49"/>
      <c r="G46" s="53"/>
      <c r="H46" s="140" t="s">
        <v>345</v>
      </c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197">
        <v>1.1000000000000001</v>
      </c>
      <c r="P46" s="29">
        <v>15</v>
      </c>
      <c r="Q46" s="30">
        <v>15</v>
      </c>
      <c r="R46" s="30"/>
      <c r="S46" s="30"/>
      <c r="T46" s="31"/>
      <c r="U46" s="32">
        <f t="shared" si="1"/>
        <v>16.5</v>
      </c>
      <c r="V46" s="68">
        <f t="shared" si="2"/>
        <v>15</v>
      </c>
      <c r="W46" s="57">
        <v>1945512000</v>
      </c>
      <c r="X46" s="60"/>
      <c r="Y46" s="45"/>
      <c r="Z46" s="48"/>
      <c r="AA46" s="35"/>
      <c r="AB46" s="36">
        <f t="shared" si="3"/>
        <v>3.25</v>
      </c>
      <c r="AC46" s="68">
        <f t="shared" si="4"/>
        <v>3.25</v>
      </c>
      <c r="AD46" s="63">
        <v>2</v>
      </c>
      <c r="AE46" s="32">
        <f t="shared" si="5"/>
        <v>5.25</v>
      </c>
      <c r="AF46" s="56"/>
      <c r="AG46" s="56"/>
      <c r="AH46" s="37">
        <f t="shared" si="6"/>
        <v>20.25</v>
      </c>
      <c r="AI46" s="38">
        <v>65</v>
      </c>
      <c r="AJ46" s="30">
        <f t="shared" si="7"/>
        <v>85.25</v>
      </c>
      <c r="AK46" s="37">
        <f t="shared" si="8"/>
        <v>85.25</v>
      </c>
      <c r="AL46" s="39">
        <f t="shared" si="9"/>
        <v>1.0037499999999999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0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0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0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0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0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ref="N55:N118" si="14">SUM(I55:M55)</f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3"/>
        <v>1</v>
      </c>
      <c r="AO55" s="41">
        <f t="shared" si="13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3"/>
        <v>1</v>
      </c>
      <c r="AO56" s="41">
        <f t="shared" si="13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3"/>
        <v>1</v>
      </c>
      <c r="AO57" s="41">
        <f t="shared" si="13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3"/>
        <v>1</v>
      </c>
      <c r="AO58" s="41">
        <f t="shared" si="13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3"/>
        <v>1</v>
      </c>
      <c r="AO59" s="41">
        <f t="shared" si="13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3"/>
        <v>1</v>
      </c>
      <c r="AO60" s="41">
        <f t="shared" si="13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3"/>
        <v>1</v>
      </c>
      <c r="AO61" s="41">
        <f t="shared" si="13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3"/>
        <v>1</v>
      </c>
      <c r="AO62" s="41">
        <f t="shared" si="13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ref="AN63:AO82" si="15">100%+AM63</f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5"/>
        <v>1</v>
      </c>
      <c r="AO75" s="41">
        <f t="shared" si="15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5"/>
        <v>1</v>
      </c>
      <c r="AO76" s="41">
        <f t="shared" si="15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5"/>
        <v>1</v>
      </c>
      <c r="AO77" s="41">
        <f t="shared" si="15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5"/>
        <v>1</v>
      </c>
      <c r="AO78" s="41">
        <f t="shared" si="15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5"/>
        <v>1</v>
      </c>
      <c r="AO79" s="41">
        <f t="shared" si="15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5"/>
        <v>1</v>
      </c>
      <c r="AO80" s="41">
        <f t="shared" si="15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"/>
        <v>15</v>
      </c>
      <c r="V81" s="68">
        <f t="shared" si="2"/>
        <v>15</v>
      </c>
      <c r="W81" s="57"/>
      <c r="X81" s="60"/>
      <c r="Y81" s="45"/>
      <c r="Z81" s="48"/>
      <c r="AA81" s="35"/>
      <c r="AB81" s="36">
        <f t="shared" si="3"/>
        <v>0</v>
      </c>
      <c r="AC81" s="68">
        <f t="shared" si="4"/>
        <v>0</v>
      </c>
      <c r="AD81" s="63">
        <v>2</v>
      </c>
      <c r="AE81" s="32">
        <f t="shared" si="5"/>
        <v>2</v>
      </c>
      <c r="AF81" s="56"/>
      <c r="AG81" s="56"/>
      <c r="AH81" s="37">
        <f t="shared" si="6"/>
        <v>17</v>
      </c>
      <c r="AI81" s="38">
        <v>65</v>
      </c>
      <c r="AJ81" s="30">
        <f t="shared" si="7"/>
        <v>82</v>
      </c>
      <c r="AK81" s="37">
        <f t="shared" si="8"/>
        <v>82</v>
      </c>
      <c r="AL81" s="39">
        <f t="shared" si="9"/>
        <v>1.02</v>
      </c>
      <c r="AM81" s="40"/>
      <c r="AN81" s="41">
        <f t="shared" si="15"/>
        <v>1</v>
      </c>
      <c r="AO81" s="41">
        <f t="shared" si="15"/>
        <v>2</v>
      </c>
      <c r="AP81" s="43"/>
      <c r="AQ81" s="70"/>
      <c r="AR81" s="58"/>
      <c r="AS81" s="58"/>
      <c r="AT81" s="58"/>
      <c r="AU81" s="58"/>
      <c r="AV81" s="59"/>
      <c r="AW81" s="71">
        <f t="shared" si="11"/>
        <v>0</v>
      </c>
      <c r="AX81" s="71">
        <f t="shared" si="12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"/>
        <v>15</v>
      </c>
      <c r="V82" s="68">
        <f t="shared" si="2"/>
        <v>15</v>
      </c>
      <c r="W82" s="57"/>
      <c r="X82" s="60"/>
      <c r="Y82" s="45"/>
      <c r="Z82" s="48"/>
      <c r="AA82" s="35"/>
      <c r="AB82" s="36">
        <f t="shared" si="3"/>
        <v>0</v>
      </c>
      <c r="AC82" s="68">
        <f t="shared" si="4"/>
        <v>0</v>
      </c>
      <c r="AD82" s="63">
        <v>2</v>
      </c>
      <c r="AE82" s="32">
        <f t="shared" si="5"/>
        <v>2</v>
      </c>
      <c r="AF82" s="56"/>
      <c r="AG82" s="56"/>
      <c r="AH82" s="37">
        <f t="shared" si="6"/>
        <v>17</v>
      </c>
      <c r="AI82" s="38">
        <v>65</v>
      </c>
      <c r="AJ82" s="30">
        <f t="shared" si="7"/>
        <v>82</v>
      </c>
      <c r="AK82" s="37">
        <f t="shared" si="8"/>
        <v>82</v>
      </c>
      <c r="AL82" s="39">
        <f t="shared" si="9"/>
        <v>1.02</v>
      </c>
      <c r="AM82" s="40"/>
      <c r="AN82" s="41">
        <f t="shared" si="15"/>
        <v>1</v>
      </c>
      <c r="AO82" s="41">
        <f t="shared" si="15"/>
        <v>2</v>
      </c>
      <c r="AP82" s="43"/>
      <c r="AQ82" s="70"/>
      <c r="AR82" s="58"/>
      <c r="AS82" s="58"/>
      <c r="AT82" s="58"/>
      <c r="AU82" s="58"/>
      <c r="AV82" s="59"/>
      <c r="AW82" s="71">
        <f t="shared" si="11"/>
        <v>0</v>
      </c>
      <c r="AX82" s="71">
        <f t="shared" si="12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"/>
        <v>15</v>
      </c>
      <c r="V83" s="68">
        <f t="shared" si="2"/>
        <v>15</v>
      </c>
      <c r="W83" s="57"/>
      <c r="X83" s="60"/>
      <c r="Y83" s="45"/>
      <c r="Z83" s="48"/>
      <c r="AA83" s="35"/>
      <c r="AB83" s="36">
        <f t="shared" si="3"/>
        <v>0</v>
      </c>
      <c r="AC83" s="68">
        <f t="shared" si="4"/>
        <v>0</v>
      </c>
      <c r="AD83" s="63">
        <v>2</v>
      </c>
      <c r="AE83" s="32">
        <f t="shared" si="5"/>
        <v>2</v>
      </c>
      <c r="AF83" s="56"/>
      <c r="AG83" s="56"/>
      <c r="AH83" s="37">
        <f t="shared" si="6"/>
        <v>17</v>
      </c>
      <c r="AI83" s="38">
        <v>65</v>
      </c>
      <c r="AJ83" s="30">
        <f t="shared" si="7"/>
        <v>82</v>
      </c>
      <c r="AK83" s="37">
        <f t="shared" si="8"/>
        <v>82</v>
      </c>
      <c r="AL83" s="39">
        <f t="shared" si="9"/>
        <v>1.02</v>
      </c>
      <c r="AM83" s="40"/>
      <c r="AN83" s="41">
        <f t="shared" ref="AN83:AO102" si="16">100%+AM83</f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11"/>
        <v>0</v>
      </c>
      <c r="AX83" s="71">
        <f t="shared" si="12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"/>
        <v>15</v>
      </c>
      <c r="V84" s="68">
        <f t="shared" si="2"/>
        <v>15</v>
      </c>
      <c r="W84" s="57"/>
      <c r="X84" s="60"/>
      <c r="Y84" s="45"/>
      <c r="Z84" s="48"/>
      <c r="AA84" s="35"/>
      <c r="AB84" s="36">
        <f t="shared" si="3"/>
        <v>0</v>
      </c>
      <c r="AC84" s="68">
        <f t="shared" si="4"/>
        <v>0</v>
      </c>
      <c r="AD84" s="63">
        <v>2</v>
      </c>
      <c r="AE84" s="32">
        <f t="shared" si="5"/>
        <v>2</v>
      </c>
      <c r="AF84" s="56"/>
      <c r="AG84" s="56"/>
      <c r="AH84" s="37">
        <f t="shared" si="6"/>
        <v>17</v>
      </c>
      <c r="AI84" s="38">
        <v>65</v>
      </c>
      <c r="AJ84" s="30">
        <f t="shared" si="7"/>
        <v>82</v>
      </c>
      <c r="AK84" s="37">
        <f t="shared" si="8"/>
        <v>82</v>
      </c>
      <c r="AL84" s="39">
        <f t="shared" si="9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11"/>
        <v>0</v>
      </c>
      <c r="AX84" s="71">
        <f t="shared" si="12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"/>
        <v>15</v>
      </c>
      <c r="V85" s="68">
        <f t="shared" si="2"/>
        <v>15</v>
      </c>
      <c r="W85" s="57"/>
      <c r="X85" s="60"/>
      <c r="Y85" s="45"/>
      <c r="Z85" s="48"/>
      <c r="AA85" s="35"/>
      <c r="AB85" s="36">
        <f t="shared" si="3"/>
        <v>0</v>
      </c>
      <c r="AC85" s="68">
        <f t="shared" si="4"/>
        <v>0</v>
      </c>
      <c r="AD85" s="63">
        <v>2</v>
      </c>
      <c r="AE85" s="32">
        <f t="shared" si="5"/>
        <v>2</v>
      </c>
      <c r="AF85" s="56"/>
      <c r="AG85" s="56"/>
      <c r="AH85" s="37">
        <f t="shared" si="6"/>
        <v>17</v>
      </c>
      <c r="AI85" s="38">
        <v>65</v>
      </c>
      <c r="AJ85" s="30">
        <f t="shared" si="7"/>
        <v>82</v>
      </c>
      <c r="AK85" s="37">
        <f t="shared" si="8"/>
        <v>82</v>
      </c>
      <c r="AL85" s="39">
        <f t="shared" si="9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11"/>
        <v>0</v>
      </c>
      <c r="AX85" s="71">
        <f t="shared" si="12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"/>
        <v>15</v>
      </c>
      <c r="V86" s="68">
        <f t="shared" si="2"/>
        <v>15</v>
      </c>
      <c r="W86" s="57"/>
      <c r="X86" s="60"/>
      <c r="Y86" s="45"/>
      <c r="Z86" s="48"/>
      <c r="AA86" s="35"/>
      <c r="AB86" s="36">
        <f t="shared" si="3"/>
        <v>0</v>
      </c>
      <c r="AC86" s="68">
        <f t="shared" si="4"/>
        <v>0</v>
      </c>
      <c r="AD86" s="63">
        <v>2</v>
      </c>
      <c r="AE86" s="32">
        <f t="shared" si="5"/>
        <v>2</v>
      </c>
      <c r="AF86" s="56"/>
      <c r="AG86" s="56"/>
      <c r="AH86" s="37">
        <f t="shared" si="6"/>
        <v>17</v>
      </c>
      <c r="AI86" s="38">
        <v>65</v>
      </c>
      <c r="AJ86" s="30">
        <f t="shared" si="7"/>
        <v>82</v>
      </c>
      <c r="AK86" s="37">
        <f t="shared" si="8"/>
        <v>82</v>
      </c>
      <c r="AL86" s="39">
        <f t="shared" si="9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11"/>
        <v>0</v>
      </c>
      <c r="AX86" s="71">
        <f t="shared" si="12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ref="U87:U148" si="17">ROUND(((P87*I87)+(Q87*J87)+(R87*K87)+(S87*L87)+(T87*M87))*O87,2)</f>
        <v>15</v>
      </c>
      <c r="V87" s="68">
        <f t="shared" ref="V87:V148" si="18">IF(U87&gt;=15,15,U87)</f>
        <v>15</v>
      </c>
      <c r="W87" s="57"/>
      <c r="X87" s="60"/>
      <c r="Y87" s="45"/>
      <c r="Z87" s="48"/>
      <c r="AA87" s="35"/>
      <c r="AB87" s="36">
        <f t="shared" ref="AB87:AB148" si="19">ROUND((((W87*I87)+(X87*J87)+(Y87*K87)+(Z87*L87)+(AA87*M87))/$I$2),2)*13</f>
        <v>0</v>
      </c>
      <c r="AC87" s="68">
        <f t="shared" ref="AC87:AC148" si="20">IF(AB87&gt;=13,13,AB87)</f>
        <v>0</v>
      </c>
      <c r="AD87" s="63">
        <v>2</v>
      </c>
      <c r="AE87" s="32">
        <f t="shared" ref="AE87:AE148" si="21">IF((AC87+AD87)&gt;=15,15,(AC87+AD87))</f>
        <v>2</v>
      </c>
      <c r="AF87" s="56"/>
      <c r="AG87" s="56"/>
      <c r="AH87" s="37">
        <f t="shared" ref="AH87:AH148" si="22">IF((V87+AE87+AF87)&gt;=30,30,(V87+AE87+AF87))</f>
        <v>17</v>
      </c>
      <c r="AI87" s="38">
        <v>65</v>
      </c>
      <c r="AJ87" s="30">
        <f t="shared" ref="AJ87:AJ148" si="23">V87+AE87+AF87+AI87+AG87</f>
        <v>82</v>
      </c>
      <c r="AK87" s="37">
        <f t="shared" ref="AK87:AK148" si="24">IF(AH87+AI87+AG87&gt;=95,95,AH87+AI87+AG87)</f>
        <v>82</v>
      </c>
      <c r="AL87" s="39">
        <f t="shared" ref="AL87:AL148" si="25">-((50-((176+(45+(50-AH87)))))/200)</f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ref="AW87:AW148" si="26">AR87+AS87+AT87+AU87+AV87</f>
        <v>0</v>
      </c>
      <c r="AX87" s="71">
        <f t="shared" ref="AX87:AX148" si="27">(AR87*I87)+(AS87*J87)+(AT87*K87)+(AU87*L87)+(AV87*M87)</f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16"/>
        <v>1</v>
      </c>
      <c r="AO95" s="41">
        <f t="shared" si="16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16"/>
        <v>1</v>
      </c>
      <c r="AO96" s="41">
        <f t="shared" si="16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16"/>
        <v>1</v>
      </c>
      <c r="AO97" s="41">
        <f t="shared" si="16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16"/>
        <v>1</v>
      </c>
      <c r="AO98" s="41">
        <f t="shared" si="16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16"/>
        <v>1</v>
      </c>
      <c r="AO99" s="41">
        <f t="shared" si="16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16"/>
        <v>1</v>
      </c>
      <c r="AO100" s="41">
        <f t="shared" si="16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16"/>
        <v>1</v>
      </c>
      <c r="AO101" s="41">
        <f t="shared" si="16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16"/>
        <v>1</v>
      </c>
      <c r="AO102" s="41">
        <f t="shared" si="16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ref="AN103:AO122" si="28">100%+AM103</f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64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4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4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14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7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14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14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28"/>
        <v>1</v>
      </c>
      <c r="AO115" s="41">
        <f t="shared" si="28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14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28"/>
        <v>1</v>
      </c>
      <c r="AO116" s="41">
        <f t="shared" si="28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14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28"/>
        <v>1</v>
      </c>
      <c r="AO117" s="41">
        <f t="shared" si="28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14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28"/>
        <v>1</v>
      </c>
      <c r="AO118" s="41">
        <f t="shared" si="28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ref="N119:N148" si="29">SUM(I119:M119)</f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28"/>
        <v>1</v>
      </c>
      <c r="AO119" s="41">
        <f t="shared" si="28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57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28"/>
        <v>1</v>
      </c>
      <c r="AO120" s="41">
        <f t="shared" si="28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28"/>
        <v>1</v>
      </c>
      <c r="AO121" s="41">
        <f t="shared" si="28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1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28"/>
        <v>1</v>
      </c>
      <c r="AO122" s="41">
        <f t="shared" si="28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ref="AN123:AO142" si="30">100%+AM123</f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53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6.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1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1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4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0"/>
        <v>1</v>
      </c>
      <c r="AO135" s="41">
        <f t="shared" si="3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0"/>
        <v>1</v>
      </c>
      <c r="AO136" s="41">
        <f t="shared" si="3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6.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0"/>
        <v>1</v>
      </c>
      <c r="AO137" s="41">
        <f t="shared" si="30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0"/>
        <v>1</v>
      </c>
      <c r="AO138" s="41">
        <f t="shared" si="30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0"/>
        <v>1</v>
      </c>
      <c r="AO139" s="41">
        <f t="shared" si="30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0"/>
        <v>1</v>
      </c>
      <c r="AO140" s="41">
        <f t="shared" si="30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  <row r="141" spans="1:50" s="42" customFormat="1" ht="46.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29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7"/>
        <v>15</v>
      </c>
      <c r="V141" s="68">
        <f t="shared" si="18"/>
        <v>15</v>
      </c>
      <c r="W141" s="57"/>
      <c r="X141" s="60"/>
      <c r="Y141" s="45"/>
      <c r="Z141" s="48"/>
      <c r="AA141" s="35"/>
      <c r="AB141" s="36">
        <f t="shared" si="19"/>
        <v>0</v>
      </c>
      <c r="AC141" s="68">
        <f t="shared" si="20"/>
        <v>0</v>
      </c>
      <c r="AD141" s="63">
        <v>2</v>
      </c>
      <c r="AE141" s="32">
        <f t="shared" si="21"/>
        <v>2</v>
      </c>
      <c r="AF141" s="56"/>
      <c r="AG141" s="56"/>
      <c r="AH141" s="37">
        <f t="shared" si="22"/>
        <v>17</v>
      </c>
      <c r="AI141" s="38">
        <v>65</v>
      </c>
      <c r="AJ141" s="30">
        <f t="shared" si="23"/>
        <v>82</v>
      </c>
      <c r="AK141" s="37">
        <f t="shared" si="24"/>
        <v>82</v>
      </c>
      <c r="AL141" s="39">
        <f t="shared" si="25"/>
        <v>1.02</v>
      </c>
      <c r="AM141" s="40"/>
      <c r="AN141" s="41">
        <f t="shared" si="30"/>
        <v>1</v>
      </c>
      <c r="AO141" s="41">
        <f t="shared" si="30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6"/>
        <v>0</v>
      </c>
      <c r="AX141" s="71">
        <f t="shared" si="27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29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7"/>
        <v>15</v>
      </c>
      <c r="V142" s="68">
        <f t="shared" si="18"/>
        <v>15</v>
      </c>
      <c r="W142" s="57"/>
      <c r="X142" s="60"/>
      <c r="Y142" s="45"/>
      <c r="Z142" s="48"/>
      <c r="AA142" s="35"/>
      <c r="AB142" s="36">
        <f t="shared" si="19"/>
        <v>0</v>
      </c>
      <c r="AC142" s="68">
        <f t="shared" si="20"/>
        <v>0</v>
      </c>
      <c r="AD142" s="63">
        <v>2</v>
      </c>
      <c r="AE142" s="32">
        <f t="shared" si="21"/>
        <v>2</v>
      </c>
      <c r="AF142" s="56"/>
      <c r="AG142" s="56"/>
      <c r="AH142" s="37">
        <f t="shared" si="22"/>
        <v>17</v>
      </c>
      <c r="AI142" s="38">
        <v>65</v>
      </c>
      <c r="AJ142" s="30">
        <f t="shared" si="23"/>
        <v>82</v>
      </c>
      <c r="AK142" s="37">
        <f t="shared" si="24"/>
        <v>82</v>
      </c>
      <c r="AL142" s="39">
        <f t="shared" si="25"/>
        <v>1.02</v>
      </c>
      <c r="AM142" s="40"/>
      <c r="AN142" s="41">
        <f t="shared" si="30"/>
        <v>1</v>
      </c>
      <c r="AO142" s="41">
        <f t="shared" si="30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6"/>
        <v>0</v>
      </c>
      <c r="AX142" s="71">
        <f t="shared" si="27"/>
        <v>0</v>
      </c>
    </row>
    <row r="143" spans="1:50" s="42" customFormat="1" ht="47.25" customHeight="1" thickBot="1" x14ac:dyDescent="0.2">
      <c r="A143" s="49"/>
      <c r="B143" s="49"/>
      <c r="C143" s="49"/>
      <c r="D143" s="49"/>
      <c r="E143" s="49"/>
      <c r="F143" s="49"/>
      <c r="G143" s="53"/>
      <c r="H143" s="64"/>
      <c r="I143" s="25">
        <v>0.51</v>
      </c>
      <c r="J143" s="26">
        <v>0.49</v>
      </c>
      <c r="K143" s="26"/>
      <c r="L143" s="26"/>
      <c r="M143" s="62"/>
      <c r="N143" s="27">
        <f t="shared" si="29"/>
        <v>1</v>
      </c>
      <c r="O143" s="28">
        <v>1</v>
      </c>
      <c r="P143" s="29">
        <v>15</v>
      </c>
      <c r="Q143" s="30">
        <v>15</v>
      </c>
      <c r="R143" s="30"/>
      <c r="S143" s="30"/>
      <c r="T143" s="31"/>
      <c r="U143" s="32">
        <f t="shared" si="17"/>
        <v>15</v>
      </c>
      <c r="V143" s="68">
        <f t="shared" si="18"/>
        <v>15</v>
      </c>
      <c r="W143" s="57"/>
      <c r="X143" s="60"/>
      <c r="Y143" s="45"/>
      <c r="Z143" s="48"/>
      <c r="AA143" s="35"/>
      <c r="AB143" s="36">
        <f t="shared" si="19"/>
        <v>0</v>
      </c>
      <c r="AC143" s="68">
        <f t="shared" si="20"/>
        <v>0</v>
      </c>
      <c r="AD143" s="63">
        <v>2</v>
      </c>
      <c r="AE143" s="32">
        <f t="shared" si="21"/>
        <v>2</v>
      </c>
      <c r="AF143" s="56"/>
      <c r="AG143" s="56"/>
      <c r="AH143" s="37">
        <f t="shared" si="22"/>
        <v>17</v>
      </c>
      <c r="AI143" s="38">
        <v>65</v>
      </c>
      <c r="AJ143" s="30">
        <f t="shared" si="23"/>
        <v>82</v>
      </c>
      <c r="AK143" s="37">
        <f t="shared" si="24"/>
        <v>82</v>
      </c>
      <c r="AL143" s="39">
        <f t="shared" si="25"/>
        <v>1.02</v>
      </c>
      <c r="AM143" s="40"/>
      <c r="AN143" s="41">
        <f t="shared" ref="AN143:AO148" si="31">100%+AM143</f>
        <v>1</v>
      </c>
      <c r="AO143" s="41">
        <f t="shared" si="31"/>
        <v>2</v>
      </c>
      <c r="AP143" s="43"/>
      <c r="AQ143" s="70"/>
      <c r="AR143" s="58"/>
      <c r="AS143" s="58"/>
      <c r="AT143" s="58"/>
      <c r="AU143" s="58"/>
      <c r="AV143" s="59"/>
      <c r="AW143" s="71">
        <f t="shared" si="26"/>
        <v>0</v>
      </c>
      <c r="AX143" s="71">
        <f t="shared" si="27"/>
        <v>0</v>
      </c>
    </row>
    <row r="144" spans="1:50" s="12" customFormat="1" ht="47.25" customHeight="1" thickBot="1" x14ac:dyDescent="0.2">
      <c r="A144" s="49"/>
      <c r="B144" s="49"/>
      <c r="C144" s="49"/>
      <c r="D144" s="49"/>
      <c r="E144" s="49"/>
      <c r="F144" s="49"/>
      <c r="G144" s="53"/>
      <c r="H144" s="64"/>
      <c r="I144" s="25">
        <v>0.51</v>
      </c>
      <c r="J144" s="26">
        <v>0.49</v>
      </c>
      <c r="K144" s="26"/>
      <c r="L144" s="26"/>
      <c r="M144" s="62"/>
      <c r="N144" s="27">
        <f t="shared" si="29"/>
        <v>1</v>
      </c>
      <c r="O144" s="28">
        <v>1</v>
      </c>
      <c r="P144" s="29">
        <v>15</v>
      </c>
      <c r="Q144" s="30">
        <v>15</v>
      </c>
      <c r="R144" s="30"/>
      <c r="S144" s="30"/>
      <c r="T144" s="31"/>
      <c r="U144" s="32">
        <f t="shared" si="17"/>
        <v>15</v>
      </c>
      <c r="V144" s="68">
        <f t="shared" si="18"/>
        <v>15</v>
      </c>
      <c r="W144" s="57"/>
      <c r="X144" s="60"/>
      <c r="Y144" s="45"/>
      <c r="Z144" s="48"/>
      <c r="AA144" s="35"/>
      <c r="AB144" s="36">
        <f t="shared" si="19"/>
        <v>0</v>
      </c>
      <c r="AC144" s="68">
        <f t="shared" si="20"/>
        <v>0</v>
      </c>
      <c r="AD144" s="63">
        <v>2</v>
      </c>
      <c r="AE144" s="32">
        <f t="shared" si="21"/>
        <v>2</v>
      </c>
      <c r="AF144" s="56"/>
      <c r="AG144" s="56"/>
      <c r="AH144" s="37">
        <f t="shared" si="22"/>
        <v>17</v>
      </c>
      <c r="AI144" s="38">
        <v>65</v>
      </c>
      <c r="AJ144" s="30">
        <f t="shared" si="23"/>
        <v>82</v>
      </c>
      <c r="AK144" s="37">
        <f t="shared" si="24"/>
        <v>82</v>
      </c>
      <c r="AL144" s="39">
        <f t="shared" si="25"/>
        <v>1.02</v>
      </c>
      <c r="AM144" s="40"/>
      <c r="AN144" s="41">
        <f t="shared" si="31"/>
        <v>1</v>
      </c>
      <c r="AO144" s="41">
        <f t="shared" si="31"/>
        <v>2</v>
      </c>
      <c r="AP144" s="43"/>
      <c r="AQ144" s="70"/>
      <c r="AR144" s="58"/>
      <c r="AS144" s="58"/>
      <c r="AT144" s="58"/>
      <c r="AU144" s="58"/>
      <c r="AV144" s="59"/>
      <c r="AW144" s="71">
        <f t="shared" si="26"/>
        <v>0</v>
      </c>
      <c r="AX144" s="71">
        <f t="shared" si="27"/>
        <v>0</v>
      </c>
    </row>
    <row r="145" spans="1:50" s="42" customFormat="1" ht="46.5" customHeight="1" thickBot="1" x14ac:dyDescent="0.2">
      <c r="A145" s="49"/>
      <c r="B145" s="49"/>
      <c r="C145" s="49"/>
      <c r="D145" s="49"/>
      <c r="E145" s="49"/>
      <c r="F145" s="49"/>
      <c r="G145" s="53"/>
      <c r="H145" s="64"/>
      <c r="I145" s="25">
        <v>0.51</v>
      </c>
      <c r="J145" s="26">
        <v>0.49</v>
      </c>
      <c r="K145" s="26"/>
      <c r="L145" s="26"/>
      <c r="M145" s="62"/>
      <c r="N145" s="27">
        <f t="shared" si="29"/>
        <v>1</v>
      </c>
      <c r="O145" s="28">
        <v>1</v>
      </c>
      <c r="P145" s="29">
        <v>15</v>
      </c>
      <c r="Q145" s="30">
        <v>15</v>
      </c>
      <c r="R145" s="30"/>
      <c r="S145" s="30"/>
      <c r="T145" s="31"/>
      <c r="U145" s="32">
        <f t="shared" si="17"/>
        <v>15</v>
      </c>
      <c r="V145" s="68">
        <f t="shared" si="18"/>
        <v>15</v>
      </c>
      <c r="W145" s="57"/>
      <c r="X145" s="60"/>
      <c r="Y145" s="45"/>
      <c r="Z145" s="48"/>
      <c r="AA145" s="35"/>
      <c r="AB145" s="36">
        <f t="shared" si="19"/>
        <v>0</v>
      </c>
      <c r="AC145" s="68">
        <f t="shared" si="20"/>
        <v>0</v>
      </c>
      <c r="AD145" s="63">
        <v>2</v>
      </c>
      <c r="AE145" s="32">
        <f t="shared" si="21"/>
        <v>2</v>
      </c>
      <c r="AF145" s="56"/>
      <c r="AG145" s="56"/>
      <c r="AH145" s="37">
        <f t="shared" si="22"/>
        <v>17</v>
      </c>
      <c r="AI145" s="38">
        <v>65</v>
      </c>
      <c r="AJ145" s="30">
        <f t="shared" si="23"/>
        <v>82</v>
      </c>
      <c r="AK145" s="37">
        <f t="shared" si="24"/>
        <v>82</v>
      </c>
      <c r="AL145" s="39">
        <f t="shared" si="25"/>
        <v>1.02</v>
      </c>
      <c r="AM145" s="40"/>
      <c r="AN145" s="41">
        <f t="shared" si="31"/>
        <v>1</v>
      </c>
      <c r="AO145" s="41">
        <f t="shared" si="31"/>
        <v>2</v>
      </c>
      <c r="AP145" s="43"/>
      <c r="AQ145" s="70"/>
      <c r="AR145" s="58"/>
      <c r="AS145" s="58"/>
      <c r="AT145" s="58"/>
      <c r="AU145" s="58"/>
      <c r="AV145" s="59"/>
      <c r="AW145" s="71">
        <f t="shared" si="26"/>
        <v>0</v>
      </c>
      <c r="AX145" s="71">
        <f t="shared" si="27"/>
        <v>0</v>
      </c>
    </row>
    <row r="146" spans="1:50" s="12" customFormat="1" ht="47.25" customHeight="1" thickBot="1" x14ac:dyDescent="0.2">
      <c r="A146" s="49"/>
      <c r="B146" s="49"/>
      <c r="C146" s="49"/>
      <c r="D146" s="49"/>
      <c r="E146" s="49"/>
      <c r="F146" s="49"/>
      <c r="G146" s="53"/>
      <c r="H146" s="64"/>
      <c r="I146" s="25">
        <v>0.51</v>
      </c>
      <c r="J146" s="26">
        <v>0.49</v>
      </c>
      <c r="K146" s="26"/>
      <c r="L146" s="26"/>
      <c r="M146" s="62"/>
      <c r="N146" s="27">
        <f t="shared" si="29"/>
        <v>1</v>
      </c>
      <c r="O146" s="28">
        <v>1</v>
      </c>
      <c r="P146" s="29">
        <v>15</v>
      </c>
      <c r="Q146" s="30">
        <v>15</v>
      </c>
      <c r="R146" s="30"/>
      <c r="S146" s="30"/>
      <c r="T146" s="31"/>
      <c r="U146" s="32">
        <f t="shared" si="17"/>
        <v>15</v>
      </c>
      <c r="V146" s="68">
        <f t="shared" si="18"/>
        <v>15</v>
      </c>
      <c r="W146" s="57"/>
      <c r="X146" s="60"/>
      <c r="Y146" s="45"/>
      <c r="Z146" s="48"/>
      <c r="AA146" s="35"/>
      <c r="AB146" s="36">
        <f t="shared" si="19"/>
        <v>0</v>
      </c>
      <c r="AC146" s="68">
        <f t="shared" si="20"/>
        <v>0</v>
      </c>
      <c r="AD146" s="63">
        <v>2</v>
      </c>
      <c r="AE146" s="32">
        <f t="shared" si="21"/>
        <v>2</v>
      </c>
      <c r="AF146" s="56"/>
      <c r="AG146" s="56"/>
      <c r="AH146" s="37">
        <f t="shared" si="22"/>
        <v>17</v>
      </c>
      <c r="AI146" s="38">
        <v>65</v>
      </c>
      <c r="AJ146" s="30">
        <f t="shared" si="23"/>
        <v>82</v>
      </c>
      <c r="AK146" s="37">
        <f t="shared" si="24"/>
        <v>82</v>
      </c>
      <c r="AL146" s="39">
        <f t="shared" si="25"/>
        <v>1.02</v>
      </c>
      <c r="AM146" s="40"/>
      <c r="AN146" s="41">
        <f t="shared" si="31"/>
        <v>1</v>
      </c>
      <c r="AO146" s="41">
        <f t="shared" si="31"/>
        <v>2</v>
      </c>
      <c r="AP146" s="43"/>
      <c r="AQ146" s="70"/>
      <c r="AR146" s="58"/>
      <c r="AS146" s="58"/>
      <c r="AT146" s="58"/>
      <c r="AU146" s="58"/>
      <c r="AV146" s="59"/>
      <c r="AW146" s="71">
        <f t="shared" si="26"/>
        <v>0</v>
      </c>
      <c r="AX146" s="71">
        <f t="shared" si="27"/>
        <v>0</v>
      </c>
    </row>
    <row r="147" spans="1:50" s="42" customFormat="1" ht="47.25" customHeight="1" thickBot="1" x14ac:dyDescent="0.2">
      <c r="A147" s="49"/>
      <c r="B147" s="49"/>
      <c r="C147" s="49"/>
      <c r="D147" s="49"/>
      <c r="E147" s="49"/>
      <c r="F147" s="49"/>
      <c r="G147" s="53"/>
      <c r="H147" s="64"/>
      <c r="I147" s="25">
        <v>0.51</v>
      </c>
      <c r="J147" s="26">
        <v>0.49</v>
      </c>
      <c r="K147" s="26"/>
      <c r="L147" s="26"/>
      <c r="M147" s="62"/>
      <c r="N147" s="27">
        <f t="shared" si="29"/>
        <v>1</v>
      </c>
      <c r="O147" s="28">
        <v>1</v>
      </c>
      <c r="P147" s="29">
        <v>15</v>
      </c>
      <c r="Q147" s="30">
        <v>15</v>
      </c>
      <c r="R147" s="30"/>
      <c r="S147" s="30"/>
      <c r="T147" s="31"/>
      <c r="U147" s="32">
        <f t="shared" si="17"/>
        <v>15</v>
      </c>
      <c r="V147" s="68">
        <f t="shared" si="18"/>
        <v>15</v>
      </c>
      <c r="W147" s="57"/>
      <c r="X147" s="60"/>
      <c r="Y147" s="45"/>
      <c r="Z147" s="48"/>
      <c r="AA147" s="35"/>
      <c r="AB147" s="36">
        <f t="shared" si="19"/>
        <v>0</v>
      </c>
      <c r="AC147" s="68">
        <f t="shared" si="20"/>
        <v>0</v>
      </c>
      <c r="AD147" s="63">
        <v>2</v>
      </c>
      <c r="AE147" s="32">
        <f t="shared" si="21"/>
        <v>2</v>
      </c>
      <c r="AF147" s="56"/>
      <c r="AG147" s="56"/>
      <c r="AH147" s="37">
        <f t="shared" si="22"/>
        <v>17</v>
      </c>
      <c r="AI147" s="38">
        <v>65</v>
      </c>
      <c r="AJ147" s="30">
        <f t="shared" si="23"/>
        <v>82</v>
      </c>
      <c r="AK147" s="37">
        <f t="shared" si="24"/>
        <v>82</v>
      </c>
      <c r="AL147" s="39">
        <f t="shared" si="25"/>
        <v>1.02</v>
      </c>
      <c r="AM147" s="40"/>
      <c r="AN147" s="41">
        <f t="shared" si="31"/>
        <v>1</v>
      </c>
      <c r="AO147" s="41">
        <f t="shared" si="31"/>
        <v>2</v>
      </c>
      <c r="AP147" s="43"/>
      <c r="AQ147" s="70"/>
      <c r="AR147" s="58"/>
      <c r="AS147" s="58"/>
      <c r="AT147" s="58"/>
      <c r="AU147" s="58"/>
      <c r="AV147" s="59"/>
      <c r="AW147" s="71">
        <f t="shared" si="26"/>
        <v>0</v>
      </c>
      <c r="AX147" s="71">
        <f t="shared" si="27"/>
        <v>0</v>
      </c>
    </row>
    <row r="148" spans="1:50" s="42" customFormat="1" ht="46.5" customHeight="1" thickBot="1" x14ac:dyDescent="0.2">
      <c r="A148" s="49"/>
      <c r="B148" s="49"/>
      <c r="C148" s="49"/>
      <c r="D148" s="49"/>
      <c r="E148" s="49"/>
      <c r="F148" s="49"/>
      <c r="G148" s="53"/>
      <c r="H148" s="64"/>
      <c r="I148" s="25">
        <v>0.51</v>
      </c>
      <c r="J148" s="26">
        <v>0.49</v>
      </c>
      <c r="K148" s="26"/>
      <c r="L148" s="26"/>
      <c r="M148" s="62"/>
      <c r="N148" s="27">
        <f t="shared" si="29"/>
        <v>1</v>
      </c>
      <c r="O148" s="28">
        <v>1</v>
      </c>
      <c r="P148" s="29">
        <v>15</v>
      </c>
      <c r="Q148" s="30">
        <v>15</v>
      </c>
      <c r="R148" s="30"/>
      <c r="S148" s="30"/>
      <c r="T148" s="31"/>
      <c r="U148" s="32">
        <f t="shared" si="17"/>
        <v>15</v>
      </c>
      <c r="V148" s="68">
        <f t="shared" si="18"/>
        <v>15</v>
      </c>
      <c r="W148" s="57"/>
      <c r="X148" s="60"/>
      <c r="Y148" s="45"/>
      <c r="Z148" s="48"/>
      <c r="AA148" s="35"/>
      <c r="AB148" s="36">
        <f t="shared" si="19"/>
        <v>0</v>
      </c>
      <c r="AC148" s="68">
        <f t="shared" si="20"/>
        <v>0</v>
      </c>
      <c r="AD148" s="63">
        <v>2</v>
      </c>
      <c r="AE148" s="32">
        <f t="shared" si="21"/>
        <v>2</v>
      </c>
      <c r="AF148" s="56"/>
      <c r="AG148" s="56"/>
      <c r="AH148" s="37">
        <f t="shared" si="22"/>
        <v>17</v>
      </c>
      <c r="AI148" s="38">
        <v>65</v>
      </c>
      <c r="AJ148" s="30">
        <f t="shared" si="23"/>
        <v>82</v>
      </c>
      <c r="AK148" s="37">
        <f t="shared" si="24"/>
        <v>82</v>
      </c>
      <c r="AL148" s="39">
        <f t="shared" si="25"/>
        <v>1.02</v>
      </c>
      <c r="AM148" s="40"/>
      <c r="AN148" s="41">
        <f t="shared" si="31"/>
        <v>1</v>
      </c>
      <c r="AO148" s="41">
        <f t="shared" si="31"/>
        <v>2</v>
      </c>
      <c r="AP148" s="43"/>
      <c r="AQ148" s="70"/>
      <c r="AR148" s="58"/>
      <c r="AS148" s="58"/>
      <c r="AT148" s="58"/>
      <c r="AU148" s="58"/>
      <c r="AV148" s="59"/>
      <c r="AW148" s="71">
        <f t="shared" si="26"/>
        <v>0</v>
      </c>
      <c r="AX148" s="71">
        <f t="shared" si="27"/>
        <v>0</v>
      </c>
    </row>
  </sheetData>
  <mergeCells count="58">
    <mergeCell ref="A43:H43"/>
    <mergeCell ref="A39:H39"/>
    <mergeCell ref="A26:H26"/>
    <mergeCell ref="A14:H14"/>
    <mergeCell ref="A16:H16"/>
    <mergeCell ref="A18:H18"/>
    <mergeCell ref="A20:H20"/>
    <mergeCell ref="A22:H22"/>
    <mergeCell ref="A24:H24"/>
    <mergeCell ref="A28:H28"/>
    <mergeCell ref="A33:H33"/>
    <mergeCell ref="A30:H30"/>
    <mergeCell ref="A35:H35"/>
    <mergeCell ref="A41:H41"/>
    <mergeCell ref="AW3:AW4"/>
    <mergeCell ref="AX3:AX4"/>
    <mergeCell ref="A6:H6"/>
    <mergeCell ref="A8:H8"/>
    <mergeCell ref="A10:H10"/>
    <mergeCell ref="AU3:AU4"/>
    <mergeCell ref="AV3:AV4"/>
    <mergeCell ref="A12:H12"/>
    <mergeCell ref="AQ3:AQ4"/>
    <mergeCell ref="AR3:AR4"/>
    <mergeCell ref="AS3:AS4"/>
    <mergeCell ref="AT3:AT4"/>
    <mergeCell ref="W3:AE3"/>
    <mergeCell ref="AL3:AL4"/>
    <mergeCell ref="AM3:AM4"/>
    <mergeCell ref="AN3:AN4"/>
    <mergeCell ref="AO3:AO4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F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4538070000</v>
      </c>
      <c r="E1" s="340"/>
      <c r="F1" s="339"/>
      <c r="G1" s="340"/>
      <c r="H1" s="66" t="s">
        <v>29</v>
      </c>
      <c r="I1" s="341">
        <v>4674530000</v>
      </c>
      <c r="J1" s="341"/>
      <c r="K1" s="183" t="s">
        <v>604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f>D1</f>
        <v>4538070000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4674530000</v>
      </c>
      <c r="E2" s="328"/>
      <c r="F2" s="329"/>
      <c r="G2" s="330"/>
      <c r="H2" s="3" t="s">
        <v>28</v>
      </c>
      <c r="I2" s="331">
        <f>D2*1</f>
        <v>4674530000</v>
      </c>
      <c r="J2" s="329"/>
      <c r="K2" s="129" t="s">
        <v>46</v>
      </c>
      <c r="L2" s="130" t="s">
        <v>30</v>
      </c>
      <c r="M2" s="332">
        <v>45950.458333333336</v>
      </c>
      <c r="N2" s="332"/>
      <c r="O2" s="332"/>
      <c r="P2" s="332"/>
      <c r="Q2" s="131" t="s">
        <v>427</v>
      </c>
      <c r="R2" s="131"/>
      <c r="S2" s="131"/>
      <c r="T2" s="94"/>
      <c r="U2" s="132"/>
      <c r="V2" s="132"/>
      <c r="W2" s="133"/>
      <c r="X2" s="134"/>
      <c r="Y2" s="377">
        <v>2847600000</v>
      </c>
      <c r="Z2" s="377"/>
      <c r="AA2" s="334">
        <f>I1</f>
        <v>4674530000</v>
      </c>
      <c r="AB2" s="335"/>
      <c r="AC2" s="336"/>
      <c r="AD2" s="337">
        <f>TRUNC(Y2/AA2,4)</f>
        <v>0.60909999999999997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38</v>
      </c>
      <c r="AS2" s="348">
        <f>AI1</f>
        <v>4538070000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29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27"/>
      <c r="AG3" s="227"/>
      <c r="AH3" s="227"/>
      <c r="AI3" s="227"/>
      <c r="AJ3" s="227"/>
      <c r="AK3" s="228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29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428</v>
      </c>
      <c r="D5" s="52"/>
      <c r="E5" s="54"/>
      <c r="F5" s="52"/>
      <c r="G5" s="53"/>
      <c r="H5" s="139"/>
      <c r="I5" s="79">
        <v>1</v>
      </c>
      <c r="J5" s="231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75440266000</v>
      </c>
      <c r="X5" s="184"/>
      <c r="Y5" s="33"/>
      <c r="Z5" s="90"/>
      <c r="AA5" s="102"/>
      <c r="AB5" s="124">
        <f>ROUND((((W5*I5)+(X5*J5)+(Y5*K5)+(Z5*L5)+(AA5*M5))/$I$2),2)*13</f>
        <v>209.82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3.2</v>
      </c>
      <c r="AH5" s="115">
        <f>IF((V5+AE5+AF5)&gt;=30,30,(V5+AE5+AF5))</f>
        <v>30</v>
      </c>
      <c r="AI5" s="116">
        <v>65</v>
      </c>
      <c r="AJ5" s="44">
        <f>V5+AE5+AF5+AI5+AG5</f>
        <v>98.2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30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0" t="s">
        <v>429</v>
      </c>
      <c r="D7" s="52"/>
      <c r="E7" s="54"/>
      <c r="F7" s="54"/>
      <c r="G7" s="53"/>
      <c r="H7" s="140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57"/>
      <c r="R7" s="80"/>
      <c r="S7" s="31"/>
      <c r="T7" s="89"/>
      <c r="U7" s="32">
        <f>ROUND(((P7*I7)+(Q7*J7)+(R7*K7)+(S7*L7)+(T7*M7))*O7,2)</f>
        <v>15</v>
      </c>
      <c r="V7" s="68">
        <f>IF(U7&gt;=15,15,U7)</f>
        <v>15</v>
      </c>
      <c r="W7" s="33">
        <v>17928117000</v>
      </c>
      <c r="X7" s="33"/>
      <c r="Y7" s="33"/>
      <c r="Z7" s="45"/>
      <c r="AA7" s="35"/>
      <c r="AB7" s="36">
        <f>ROUND((((W7*I7)+(X7*J7)+(Y7*K7)+(Z7*L7)+(AA7*M7))/$I$2),2)*13</f>
        <v>49.92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3.2</v>
      </c>
      <c r="AH7" s="37">
        <f>IF((V7+AE7+AF7)&gt;=30,30,(V7+AE7+AF7))</f>
        <v>30</v>
      </c>
      <c r="AI7" s="38">
        <v>65</v>
      </c>
      <c r="AJ7" s="30">
        <f>V7+AE7+AF7+AI7+AG7</f>
        <v>98.2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04"/>
      <c r="K8" s="104"/>
      <c r="L8" s="104"/>
      <c r="M8" s="104"/>
      <c r="N8" s="143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0" t="s">
        <v>430</v>
      </c>
      <c r="D9" s="163" t="s">
        <v>432</v>
      </c>
      <c r="E9" s="54"/>
      <c r="F9" s="54"/>
      <c r="G9" s="85"/>
      <c r="H9" s="146"/>
      <c r="I9" s="79">
        <v>0.85</v>
      </c>
      <c r="J9" s="152">
        <v>0.15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157">
        <v>15</v>
      </c>
      <c r="R9" s="80"/>
      <c r="S9" s="30"/>
      <c r="T9" s="89"/>
      <c r="U9" s="32">
        <f>ROUND(((P9*I9)+(Q9*J9)+(R9*K9)+(S9*L9)+(T9*M9))*O9,2)</f>
        <v>15</v>
      </c>
      <c r="V9" s="68">
        <f>IF(U9&gt;=15,15,U9)</f>
        <v>15</v>
      </c>
      <c r="W9" s="33">
        <v>13410300000</v>
      </c>
      <c r="X9" s="33">
        <v>704364000</v>
      </c>
      <c r="Y9" s="33"/>
      <c r="Z9" s="45"/>
      <c r="AA9" s="35"/>
      <c r="AB9" s="36">
        <f>ROUND((((W9*I9)+(X9*J9)+(Y9*K9)+(Z9*L9)+(AA9*M9))/$I$2),2)*13</f>
        <v>31.98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233">
        <f>3*I9</f>
        <v>2.5499999999999998</v>
      </c>
      <c r="AG9" s="114">
        <v>3.2</v>
      </c>
      <c r="AH9" s="37">
        <f>IF((V9+AE9+AF9)&gt;=30,30,(V9+AE9+AF9))</f>
        <v>30</v>
      </c>
      <c r="AI9" s="38">
        <v>65</v>
      </c>
      <c r="AJ9" s="30">
        <f>V9+AE9+AF9+AI9+AG9</f>
        <v>100.75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230">
        <v>85</v>
      </c>
      <c r="J10" s="104">
        <v>85</v>
      </c>
      <c r="K10" s="104"/>
      <c r="L10" s="104"/>
      <c r="M10" s="104"/>
      <c r="N10" s="143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0" t="s">
        <v>431</v>
      </c>
      <c r="D11" s="51" t="s">
        <v>441</v>
      </c>
      <c r="E11" s="54"/>
      <c r="F11" s="54"/>
      <c r="G11" s="53"/>
      <c r="H11" s="140"/>
      <c r="I11" s="79">
        <v>0.9</v>
      </c>
      <c r="J11" s="26">
        <v>0.1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/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82">
        <v>28147269000</v>
      </c>
      <c r="X11" s="33">
        <v>222246000</v>
      </c>
      <c r="Y11" s="33"/>
      <c r="Z11" s="45"/>
      <c r="AA11" s="35"/>
      <c r="AB11" s="36">
        <f t="shared" ref="AB11:AB74" si="3">ROUND((((W11*I11)+(X11*J11)+(Y11*K11)+(Z11*L11)+(AA11*M11))/$I$2),2)*13</f>
        <v>70.459999999999994</v>
      </c>
      <c r="AC11" s="68">
        <f t="shared" ref="AC11:AC74" si="4">IF(AB11&gt;=13,13,AB11)</f>
        <v>13</v>
      </c>
      <c r="AD11" s="63">
        <v>2</v>
      </c>
      <c r="AE11" s="32">
        <f t="shared" ref="AE11:AE74" si="5">IF((AC11+AD11)&gt;=15,15,(AC11+AD11))</f>
        <v>15</v>
      </c>
      <c r="AF11" s="61"/>
      <c r="AG11" s="114">
        <v>3.2</v>
      </c>
      <c r="AH11" s="37">
        <f t="shared" ref="AH11:AH74" si="6">IF((V11+AE11+AF11)&gt;=30,30,(V11+AE11+AF11))</f>
        <v>30</v>
      </c>
      <c r="AI11" s="38">
        <v>65</v>
      </c>
      <c r="AJ11" s="30">
        <f t="shared" ref="AJ11:AJ74" si="7">V11+AE11+AF11+AI11+AG11</f>
        <v>98.2</v>
      </c>
      <c r="AK11" s="37">
        <f t="shared" ref="AK11:AK74" si="8">IF(AH11+AI11+AG11&gt;=95,95,AH11+AI11+AG11)</f>
        <v>95</v>
      </c>
      <c r="AL11" s="39">
        <f t="shared" ref="AL11:AL74" si="9">-((50-((176+(45+(50-AH11)))))/200)</f>
        <v>0.95499999999999996</v>
      </c>
      <c r="AM11" s="40"/>
      <c r="AN11" s="41">
        <f t="shared" ref="AN11:AO27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230">
        <v>85</v>
      </c>
      <c r="J12" s="104">
        <v>85</v>
      </c>
      <c r="K12" s="104"/>
      <c r="L12" s="104"/>
      <c r="M12" s="104"/>
      <c r="N12" s="143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23"/>
      <c r="C13" s="52" t="s">
        <v>443</v>
      </c>
      <c r="D13" s="51" t="s">
        <v>435</v>
      </c>
      <c r="E13" s="49"/>
      <c r="F13" s="54"/>
      <c r="G13" s="53" t="s">
        <v>466</v>
      </c>
      <c r="H13" s="140" t="s">
        <v>465</v>
      </c>
      <c r="I13" s="79">
        <v>0.7</v>
      </c>
      <c r="J13" s="193">
        <v>0.21360000000000001</v>
      </c>
      <c r="K13" s="26"/>
      <c r="L13" s="77"/>
      <c r="M13" s="78"/>
      <c r="N13" s="27">
        <f t="shared" si="0"/>
        <v>0.91359999999999997</v>
      </c>
      <c r="O13" s="197">
        <v>1.1000000000000001</v>
      </c>
      <c r="P13" s="80">
        <v>15</v>
      </c>
      <c r="Q13" s="80">
        <v>15</v>
      </c>
      <c r="R13" s="81"/>
      <c r="S13" s="31"/>
      <c r="T13" s="89"/>
      <c r="U13" s="32">
        <f t="shared" si="1"/>
        <v>15.07</v>
      </c>
      <c r="V13" s="68">
        <f t="shared" si="2"/>
        <v>15</v>
      </c>
      <c r="W13" s="33">
        <v>61572822000</v>
      </c>
      <c r="X13" s="33">
        <v>1174870000</v>
      </c>
      <c r="Y13" s="33"/>
      <c r="Z13" s="45"/>
      <c r="AA13" s="35"/>
      <c r="AB13" s="36">
        <f t="shared" si="3"/>
        <v>120.50999999999999</v>
      </c>
      <c r="AC13" s="68">
        <f t="shared" si="4"/>
        <v>13</v>
      </c>
      <c r="AD13" s="192">
        <v>0</v>
      </c>
      <c r="AE13" s="32">
        <f t="shared" si="5"/>
        <v>13</v>
      </c>
      <c r="AF13" s="56">
        <f>0.5*J13</f>
        <v>0.10680000000000001</v>
      </c>
      <c r="AG13" s="114">
        <v>3.2</v>
      </c>
      <c r="AH13" s="37">
        <f t="shared" si="6"/>
        <v>28.1068</v>
      </c>
      <c r="AI13" s="38">
        <v>65</v>
      </c>
      <c r="AJ13" s="30">
        <f t="shared" si="7"/>
        <v>96.306799999999996</v>
      </c>
      <c r="AK13" s="37">
        <f t="shared" si="8"/>
        <v>95</v>
      </c>
      <c r="AL13" s="39">
        <f t="shared" si="9"/>
        <v>0.96446600000000005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/>
      <c r="L14" s="104"/>
      <c r="M14" s="104"/>
      <c r="N14" s="143">
        <f>I14*I13+J14*J13+K14*K13+L14*L13+M14*M13</f>
        <v>77.655999999999992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51" t="s">
        <v>444</v>
      </c>
      <c r="D15" s="51" t="s">
        <v>437</v>
      </c>
      <c r="E15" s="54" t="s">
        <v>458</v>
      </c>
      <c r="F15" s="54"/>
      <c r="G15" s="53" t="s">
        <v>467</v>
      </c>
      <c r="H15" s="140" t="s">
        <v>464</v>
      </c>
      <c r="I15" s="193">
        <v>0.27</v>
      </c>
      <c r="J15" s="96">
        <v>0.18</v>
      </c>
      <c r="K15" s="26">
        <v>0.4</v>
      </c>
      <c r="L15" s="26"/>
      <c r="M15" s="62"/>
      <c r="N15" s="27">
        <f t="shared" si="0"/>
        <v>0.85000000000000009</v>
      </c>
      <c r="O15" s="197">
        <v>1.1000000000000001</v>
      </c>
      <c r="P15" s="154">
        <v>14.9</v>
      </c>
      <c r="Q15" s="80">
        <v>15</v>
      </c>
      <c r="R15" s="80">
        <v>15</v>
      </c>
      <c r="S15" s="30"/>
      <c r="T15" s="31"/>
      <c r="U15" s="32">
        <f t="shared" si="1"/>
        <v>14</v>
      </c>
      <c r="V15" s="68">
        <f t="shared" si="2"/>
        <v>14</v>
      </c>
      <c r="W15" s="34">
        <v>781586000</v>
      </c>
      <c r="X15" s="33">
        <v>856790000</v>
      </c>
      <c r="Y15" s="57">
        <v>23014391000</v>
      </c>
      <c r="Z15" s="58"/>
      <c r="AA15" s="35"/>
      <c r="AB15" s="36">
        <f t="shared" si="3"/>
        <v>26.65</v>
      </c>
      <c r="AC15" s="68">
        <f t="shared" si="4"/>
        <v>13</v>
      </c>
      <c r="AD15" s="192">
        <v>0</v>
      </c>
      <c r="AE15" s="32">
        <f t="shared" si="5"/>
        <v>13</v>
      </c>
      <c r="AF15" s="232"/>
      <c r="AG15" s="114">
        <v>3.2</v>
      </c>
      <c r="AH15" s="37">
        <f t="shared" si="6"/>
        <v>27</v>
      </c>
      <c r="AI15" s="38">
        <v>65</v>
      </c>
      <c r="AJ15" s="30">
        <f t="shared" si="7"/>
        <v>95.2</v>
      </c>
      <c r="AK15" s="37">
        <f t="shared" si="8"/>
        <v>95</v>
      </c>
      <c r="AL15" s="39">
        <f t="shared" si="9"/>
        <v>0.97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>
        <v>85</v>
      </c>
      <c r="L16" s="104"/>
      <c r="M16" s="104"/>
      <c r="N16" s="143">
        <f>I16*I15+J16*J15+K16*K15+L16*L15+M16*M15</f>
        <v>72.25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52"/>
      <c r="C17" s="168" t="s">
        <v>451</v>
      </c>
      <c r="D17" s="51" t="s">
        <v>440</v>
      </c>
      <c r="E17" s="54"/>
      <c r="F17" s="54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29">
        <v>15</v>
      </c>
      <c r="Q17" s="30">
        <v>15</v>
      </c>
      <c r="R17" s="30"/>
      <c r="S17" s="30"/>
      <c r="T17" s="31"/>
      <c r="U17" s="32">
        <f t="shared" si="1"/>
        <v>15</v>
      </c>
      <c r="V17" s="68">
        <f t="shared" si="2"/>
        <v>15</v>
      </c>
      <c r="W17" s="82">
        <v>19538352000</v>
      </c>
      <c r="X17" s="34">
        <v>1956205000</v>
      </c>
      <c r="Y17" s="33"/>
      <c r="Z17" s="48"/>
      <c r="AA17" s="35"/>
      <c r="AB17" s="36">
        <f t="shared" si="3"/>
        <v>30.419999999999998</v>
      </c>
      <c r="AC17" s="68">
        <f t="shared" si="4"/>
        <v>13</v>
      </c>
      <c r="AD17" s="63">
        <v>2</v>
      </c>
      <c r="AE17" s="32">
        <f t="shared" si="5"/>
        <v>15</v>
      </c>
      <c r="AF17" s="56">
        <f>0.5*I17</f>
        <v>0.255</v>
      </c>
      <c r="AG17" s="114">
        <v>3.2</v>
      </c>
      <c r="AH17" s="37">
        <f t="shared" si="6"/>
        <v>30</v>
      </c>
      <c r="AI17" s="38">
        <v>65</v>
      </c>
      <c r="AJ17" s="30">
        <f t="shared" si="7"/>
        <v>98.454999999999998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43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23"/>
      <c r="C19" s="163" t="s">
        <v>433</v>
      </c>
      <c r="D19" s="49" t="s">
        <v>447</v>
      </c>
      <c r="E19" s="49"/>
      <c r="F19" s="49"/>
      <c r="G19" s="53"/>
      <c r="H19" s="64"/>
      <c r="I19" s="25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56"/>
      <c r="S19" s="30"/>
      <c r="T19" s="31"/>
      <c r="U19" s="32">
        <f t="shared" si="1"/>
        <v>15</v>
      </c>
      <c r="V19" s="68">
        <f t="shared" si="2"/>
        <v>15</v>
      </c>
      <c r="W19" s="75">
        <v>0</v>
      </c>
      <c r="X19" s="33">
        <v>34160627000</v>
      </c>
      <c r="Y19" s="34"/>
      <c r="Z19" s="48"/>
      <c r="AA19" s="35"/>
      <c r="AB19" s="36">
        <f t="shared" si="3"/>
        <v>46.54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3.2</v>
      </c>
      <c r="AH19" s="37">
        <f t="shared" si="6"/>
        <v>30</v>
      </c>
      <c r="AI19" s="38">
        <v>65</v>
      </c>
      <c r="AJ19" s="30">
        <f t="shared" si="7"/>
        <v>98.2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43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05">
        <v>9</v>
      </c>
      <c r="B21" s="49"/>
      <c r="C21" s="49" t="s">
        <v>450</v>
      </c>
      <c r="D21" s="51" t="s">
        <v>438</v>
      </c>
      <c r="E21" s="49"/>
      <c r="F21" s="49"/>
      <c r="G21" s="169"/>
      <c r="H21" s="64"/>
      <c r="I21" s="25">
        <v>0.7</v>
      </c>
      <c r="J21" s="26">
        <v>0.3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30"/>
      <c r="S21" s="30"/>
      <c r="T21" s="31"/>
      <c r="U21" s="32">
        <f t="shared" si="1"/>
        <v>15</v>
      </c>
      <c r="V21" s="68">
        <f t="shared" si="2"/>
        <v>15</v>
      </c>
      <c r="W21" s="57">
        <v>72793312000</v>
      </c>
      <c r="X21" s="60">
        <v>1743811000</v>
      </c>
      <c r="Y21" s="45"/>
      <c r="Z21" s="48"/>
      <c r="AA21" s="35"/>
      <c r="AB21" s="36">
        <f t="shared" si="3"/>
        <v>143.13</v>
      </c>
      <c r="AC21" s="68">
        <f t="shared" si="4"/>
        <v>13</v>
      </c>
      <c r="AD21" s="63">
        <v>2</v>
      </c>
      <c r="AE21" s="32">
        <f t="shared" si="5"/>
        <v>15</v>
      </c>
      <c r="AF21" s="56"/>
      <c r="AG21" s="114">
        <v>3.2</v>
      </c>
      <c r="AH21" s="37">
        <f t="shared" si="6"/>
        <v>30</v>
      </c>
      <c r="AI21" s="38">
        <v>65</v>
      </c>
      <c r="AJ21" s="30">
        <f t="shared" si="7"/>
        <v>98.2</v>
      </c>
      <c r="AK21" s="37">
        <f t="shared" si="8"/>
        <v>95</v>
      </c>
      <c r="AL21" s="39">
        <f t="shared" si="9"/>
        <v>0.95499999999999996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/>
      <c r="L22" s="104"/>
      <c r="M22" s="104"/>
      <c r="N22" s="143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>
        <v>10</v>
      </c>
      <c r="B23" s="49"/>
      <c r="C23" s="168" t="s">
        <v>446</v>
      </c>
      <c r="D23" s="51" t="s">
        <v>434</v>
      </c>
      <c r="E23" s="49"/>
      <c r="F23" s="49"/>
      <c r="G23" s="53"/>
      <c r="H23" s="64"/>
      <c r="I23" s="25">
        <v>0.7</v>
      </c>
      <c r="J23" s="26">
        <v>0.3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82">
        <v>37227845000</v>
      </c>
      <c r="X23" s="58">
        <v>7441762000</v>
      </c>
      <c r="Y23" s="45"/>
      <c r="Z23" s="48"/>
      <c r="AA23" s="35"/>
      <c r="AB23" s="36">
        <f t="shared" si="3"/>
        <v>78.649999999999991</v>
      </c>
      <c r="AC23" s="68">
        <f t="shared" si="4"/>
        <v>13</v>
      </c>
      <c r="AD23" s="63">
        <v>2</v>
      </c>
      <c r="AE23" s="32">
        <f t="shared" si="5"/>
        <v>15</v>
      </c>
      <c r="AF23" s="56"/>
      <c r="AG23" s="114">
        <v>3.2</v>
      </c>
      <c r="AH23" s="37">
        <f t="shared" si="6"/>
        <v>30</v>
      </c>
      <c r="AI23" s="38">
        <v>65</v>
      </c>
      <c r="AJ23" s="30">
        <f t="shared" si="7"/>
        <v>98.2</v>
      </c>
      <c r="AK23" s="37">
        <f t="shared" si="8"/>
        <v>95</v>
      </c>
      <c r="AL23" s="39">
        <f t="shared" si="9"/>
        <v>0.95499999999999996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230">
        <v>85</v>
      </c>
      <c r="J24" s="104">
        <v>85</v>
      </c>
      <c r="K24" s="104"/>
      <c r="L24" s="104"/>
      <c r="M24" s="104"/>
      <c r="N24" s="143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>
        <v>11</v>
      </c>
      <c r="B25" s="49"/>
      <c r="C25" s="168" t="s">
        <v>445</v>
      </c>
      <c r="D25" s="164" t="s">
        <v>439</v>
      </c>
      <c r="E25" s="49"/>
      <c r="F25" s="49"/>
      <c r="G25" s="53"/>
      <c r="H25" s="140" t="s">
        <v>460</v>
      </c>
      <c r="I25" s="25">
        <v>0.7</v>
      </c>
      <c r="J25" s="193">
        <v>0.16950000000000001</v>
      </c>
      <c r="K25" s="26"/>
      <c r="L25" s="26"/>
      <c r="M25" s="62"/>
      <c r="N25" s="27">
        <f t="shared" si="0"/>
        <v>0.86949999999999994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13.04</v>
      </c>
      <c r="V25" s="68">
        <f t="shared" si="2"/>
        <v>13.04</v>
      </c>
      <c r="W25" s="82">
        <v>13914768000</v>
      </c>
      <c r="X25" s="60">
        <v>5312265000</v>
      </c>
      <c r="Y25" s="45"/>
      <c r="Z25" s="48"/>
      <c r="AA25" s="35"/>
      <c r="AB25" s="36">
        <f t="shared" si="3"/>
        <v>29.639999999999997</v>
      </c>
      <c r="AC25" s="68">
        <f t="shared" si="4"/>
        <v>13</v>
      </c>
      <c r="AD25" s="192">
        <v>0</v>
      </c>
      <c r="AE25" s="32">
        <f t="shared" si="5"/>
        <v>13</v>
      </c>
      <c r="AF25" s="56">
        <f>3*I25</f>
        <v>2.0999999999999996</v>
      </c>
      <c r="AG25" s="114">
        <v>3.2</v>
      </c>
      <c r="AH25" s="37">
        <f t="shared" si="6"/>
        <v>28.14</v>
      </c>
      <c r="AI25" s="38">
        <v>65</v>
      </c>
      <c r="AJ25" s="30">
        <f t="shared" si="7"/>
        <v>96.34</v>
      </c>
      <c r="AK25" s="37">
        <f t="shared" si="8"/>
        <v>95</v>
      </c>
      <c r="AL25" s="39">
        <f t="shared" si="9"/>
        <v>0.96430000000000005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43</v>
      </c>
      <c r="B26" s="364"/>
      <c r="C26" s="364"/>
      <c r="D26" s="364"/>
      <c r="E26" s="364"/>
      <c r="F26" s="364"/>
      <c r="G26" s="364"/>
      <c r="H26" s="365"/>
      <c r="I26" s="230">
        <v>85</v>
      </c>
      <c r="J26" s="104">
        <v>85</v>
      </c>
      <c r="K26" s="104"/>
      <c r="L26" s="104"/>
      <c r="M26" s="104"/>
      <c r="N26" s="143">
        <f>I26*I25+J26*J25+K26*K25+L26*L25+M26*M25</f>
        <v>73.907499999999999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49"/>
      <c r="C27" s="49" t="s">
        <v>453</v>
      </c>
      <c r="D27" s="51" t="s">
        <v>454</v>
      </c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>
        <v>9826016000</v>
      </c>
      <c r="X27" s="60">
        <v>2864143000</v>
      </c>
      <c r="Y27" s="45"/>
      <c r="Z27" s="48"/>
      <c r="AA27" s="35"/>
      <c r="AB27" s="36">
        <f t="shared" si="3"/>
        <v>17.810000000000002</v>
      </c>
      <c r="AC27" s="68">
        <f t="shared" si="4"/>
        <v>13</v>
      </c>
      <c r="AD27" s="63">
        <v>2</v>
      </c>
      <c r="AE27" s="32">
        <f t="shared" si="5"/>
        <v>15</v>
      </c>
      <c r="AF27" s="56"/>
      <c r="AG27" s="114">
        <v>3.2</v>
      </c>
      <c r="AH27" s="37">
        <f t="shared" si="6"/>
        <v>30</v>
      </c>
      <c r="AI27" s="38">
        <v>65</v>
      </c>
      <c r="AJ27" s="30">
        <f t="shared" si="7"/>
        <v>98.2</v>
      </c>
      <c r="AK27" s="37">
        <f t="shared" si="8"/>
        <v>95</v>
      </c>
      <c r="AL27" s="39">
        <f t="shared" si="9"/>
        <v>0.95499999999999996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43</v>
      </c>
      <c r="B28" s="364"/>
      <c r="C28" s="364"/>
      <c r="D28" s="364"/>
      <c r="E28" s="364"/>
      <c r="F28" s="364"/>
      <c r="G28" s="364"/>
      <c r="H28" s="365"/>
      <c r="I28" s="230">
        <v>85</v>
      </c>
      <c r="J28" s="104">
        <v>85</v>
      </c>
      <c r="K28" s="104"/>
      <c r="L28" s="104"/>
      <c r="M28" s="104"/>
      <c r="N28" s="143">
        <f>I28*I27+J28*J27+K28*K27+L28*L27+M28*M27</f>
        <v>85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49" t="s">
        <v>452</v>
      </c>
      <c r="D29" s="51" t="s">
        <v>455</v>
      </c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>
        <v>15298736000</v>
      </c>
      <c r="X29" s="60">
        <v>7601919000</v>
      </c>
      <c r="Y29" s="45"/>
      <c r="Z29" s="48"/>
      <c r="AA29" s="35"/>
      <c r="AB29" s="36">
        <f t="shared" si="3"/>
        <v>32.11</v>
      </c>
      <c r="AC29" s="68">
        <f t="shared" si="4"/>
        <v>13</v>
      </c>
      <c r="AD29" s="63">
        <v>2</v>
      </c>
      <c r="AE29" s="32">
        <f t="shared" si="5"/>
        <v>15</v>
      </c>
      <c r="AF29" s="56"/>
      <c r="AG29" s="114">
        <v>3.2</v>
      </c>
      <c r="AH29" s="37">
        <f t="shared" si="6"/>
        <v>30</v>
      </c>
      <c r="AI29" s="38">
        <v>65</v>
      </c>
      <c r="AJ29" s="30">
        <f t="shared" si="7"/>
        <v>98.2</v>
      </c>
      <c r="AK29" s="37">
        <f t="shared" si="8"/>
        <v>95</v>
      </c>
      <c r="AL29" s="39">
        <f t="shared" si="9"/>
        <v>0.95499999999999996</v>
      </c>
      <c r="AM29" s="40"/>
      <c r="AN29" s="41">
        <f t="shared" ref="AN29:AO50" si="13">100%+AM29</f>
        <v>1</v>
      </c>
      <c r="AO29" s="41">
        <f t="shared" si="13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230">
        <v>85</v>
      </c>
      <c r="J30" s="104">
        <v>85</v>
      </c>
      <c r="K30" s="104"/>
      <c r="L30" s="104"/>
      <c r="M30" s="104"/>
      <c r="N30" s="143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/>
      <c r="C31" s="51" t="s">
        <v>457</v>
      </c>
      <c r="D31" s="49" t="s">
        <v>463</v>
      </c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2728330000</v>
      </c>
      <c r="X31" s="57">
        <v>7891990000</v>
      </c>
      <c r="Y31" s="45"/>
      <c r="Z31" s="48"/>
      <c r="AA31" s="35"/>
      <c r="AB31" s="36">
        <f t="shared" si="3"/>
        <v>14.560000000000002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>
        <v>3.2</v>
      </c>
      <c r="AH31" s="37">
        <f t="shared" si="6"/>
        <v>30</v>
      </c>
      <c r="AI31" s="38">
        <v>65</v>
      </c>
      <c r="AJ31" s="30">
        <f t="shared" si="7"/>
        <v>98.2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3"/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63" t="s">
        <v>43</v>
      </c>
      <c r="B32" s="364"/>
      <c r="C32" s="364"/>
      <c r="D32" s="364"/>
      <c r="E32" s="364"/>
      <c r="F32" s="364"/>
      <c r="G32" s="364"/>
      <c r="H32" s="365"/>
      <c r="I32" s="230">
        <v>85</v>
      </c>
      <c r="J32" s="104">
        <v>85</v>
      </c>
      <c r="K32" s="104"/>
      <c r="L32" s="104"/>
      <c r="M32" s="104"/>
      <c r="N32" s="143">
        <f>I32*I31+J32*J31+K32*K31+L32*L31+M32*M31</f>
        <v>85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165" t="s">
        <v>442</v>
      </c>
      <c r="D33" s="51" t="s">
        <v>461</v>
      </c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180">
        <v>11.8</v>
      </c>
      <c r="R33" s="30"/>
      <c r="S33" s="30"/>
      <c r="T33" s="31"/>
      <c r="U33" s="32">
        <f t="shared" si="1"/>
        <v>13.43</v>
      </c>
      <c r="V33" s="68">
        <f t="shared" si="2"/>
        <v>13.43</v>
      </c>
      <c r="W33" s="57">
        <v>9491864000</v>
      </c>
      <c r="X33" s="60">
        <v>2871000000</v>
      </c>
      <c r="Y33" s="45"/>
      <c r="Z33" s="48"/>
      <c r="AA33" s="35"/>
      <c r="AB33" s="36">
        <f t="shared" si="3"/>
        <v>17.420000000000002</v>
      </c>
      <c r="AC33" s="68">
        <f t="shared" si="4"/>
        <v>13</v>
      </c>
      <c r="AD33" s="63">
        <v>2</v>
      </c>
      <c r="AE33" s="32">
        <f t="shared" si="5"/>
        <v>15</v>
      </c>
      <c r="AF33" s="56"/>
      <c r="AG33" s="114">
        <v>3.2</v>
      </c>
      <c r="AH33" s="37">
        <f t="shared" si="6"/>
        <v>28.43</v>
      </c>
      <c r="AI33" s="38">
        <v>65</v>
      </c>
      <c r="AJ33" s="30">
        <f t="shared" si="7"/>
        <v>96.63000000000001</v>
      </c>
      <c r="AK33" s="37">
        <f t="shared" si="8"/>
        <v>95</v>
      </c>
      <c r="AL33" s="39">
        <f t="shared" si="9"/>
        <v>0.96284999999999998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230">
        <v>85</v>
      </c>
      <c r="J34" s="104">
        <v>85</v>
      </c>
      <c r="K34" s="104"/>
      <c r="L34" s="104"/>
      <c r="M34" s="104"/>
      <c r="N34" s="143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49" t="s">
        <v>459</v>
      </c>
      <c r="D35" s="258" t="s">
        <v>607</v>
      </c>
      <c r="E35" s="49"/>
      <c r="F35" s="49"/>
      <c r="G35" s="53"/>
      <c r="H35" s="203" t="s">
        <v>462</v>
      </c>
      <c r="I35" s="219">
        <v>0.47860000000000003</v>
      </c>
      <c r="J35" s="252">
        <v>0.49</v>
      </c>
      <c r="K35" s="26"/>
      <c r="L35" s="26"/>
      <c r="M35" s="62"/>
      <c r="N35" s="27">
        <f t="shared" si="0"/>
        <v>0.96860000000000002</v>
      </c>
      <c r="O35" s="28">
        <v>1</v>
      </c>
      <c r="P35" s="29">
        <v>15</v>
      </c>
      <c r="Q35" s="263">
        <v>11.8</v>
      </c>
      <c r="R35" s="30"/>
      <c r="S35" s="30"/>
      <c r="T35" s="31"/>
      <c r="U35" s="32">
        <f t="shared" si="1"/>
        <v>12.96</v>
      </c>
      <c r="V35" s="68">
        <f t="shared" si="2"/>
        <v>12.96</v>
      </c>
      <c r="W35" s="57">
        <v>3843363000</v>
      </c>
      <c r="X35" s="268">
        <v>17599269000</v>
      </c>
      <c r="Y35" s="45"/>
      <c r="Z35" s="48"/>
      <c r="AA35" s="35"/>
      <c r="AB35" s="36">
        <f t="shared" si="3"/>
        <v>29.120000000000005</v>
      </c>
      <c r="AC35" s="68">
        <f t="shared" si="4"/>
        <v>13</v>
      </c>
      <c r="AD35" s="192">
        <v>1</v>
      </c>
      <c r="AE35" s="32">
        <f t="shared" si="5"/>
        <v>14</v>
      </c>
      <c r="AF35" s="56"/>
      <c r="AG35" s="114">
        <v>3.2</v>
      </c>
      <c r="AH35" s="37">
        <f t="shared" si="6"/>
        <v>26.96</v>
      </c>
      <c r="AI35" s="38">
        <v>65</v>
      </c>
      <c r="AJ35" s="30">
        <f t="shared" si="7"/>
        <v>95.160000000000011</v>
      </c>
      <c r="AK35" s="37">
        <f t="shared" si="8"/>
        <v>95</v>
      </c>
      <c r="AL35" s="39">
        <f t="shared" si="9"/>
        <v>0.97019999999999995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230">
        <v>85</v>
      </c>
      <c r="J36" s="104">
        <v>85</v>
      </c>
      <c r="K36" s="104"/>
      <c r="L36" s="104"/>
      <c r="M36" s="104"/>
      <c r="N36" s="143">
        <f>I36*I35+J36*J35+K36*K35+L36*L35+M36*M35</f>
        <v>82.331000000000003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49"/>
      <c r="B37" s="49"/>
      <c r="C37" s="165"/>
      <c r="D37" s="49"/>
      <c r="E37" s="49"/>
      <c r="F37" s="49"/>
      <c r="G37" s="53"/>
      <c r="H37" s="64"/>
      <c r="I37" s="25"/>
      <c r="J37" s="26"/>
      <c r="K37" s="26"/>
      <c r="L37" s="26"/>
      <c r="M37" s="62"/>
      <c r="N37" s="27">
        <f t="shared" si="0"/>
        <v>0</v>
      </c>
      <c r="O37" s="28">
        <v>1</v>
      </c>
      <c r="P37" s="29"/>
      <c r="Q37" s="30"/>
      <c r="R37" s="30"/>
      <c r="S37" s="30"/>
      <c r="T37" s="31"/>
      <c r="U37" s="32">
        <f t="shared" si="1"/>
        <v>0</v>
      </c>
      <c r="V37" s="68">
        <f t="shared" si="2"/>
        <v>0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2</v>
      </c>
      <c r="AI37" s="38">
        <v>65</v>
      </c>
      <c r="AJ37" s="30">
        <f t="shared" si="7"/>
        <v>67</v>
      </c>
      <c r="AK37" s="37">
        <f t="shared" si="8"/>
        <v>67</v>
      </c>
      <c r="AL37" s="39">
        <f t="shared" si="9"/>
        <v>1.095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51" t="s">
        <v>605</v>
      </c>
      <c r="D38" s="49"/>
      <c r="E38" s="49"/>
      <c r="F38" s="49"/>
      <c r="G38" s="53"/>
      <c r="H38" s="64"/>
      <c r="I38" s="25"/>
      <c r="J38" s="26"/>
      <c r="K38" s="26"/>
      <c r="L38" s="26"/>
      <c r="M38" s="62"/>
      <c r="N38" s="27">
        <f t="shared" si="0"/>
        <v>0</v>
      </c>
      <c r="O38" s="28">
        <v>1</v>
      </c>
      <c r="P38" s="29">
        <v>15</v>
      </c>
      <c r="Q38" s="30"/>
      <c r="R38" s="30"/>
      <c r="S38" s="30"/>
      <c r="T38" s="31"/>
      <c r="U38" s="32">
        <f t="shared" si="1"/>
        <v>0</v>
      </c>
      <c r="V38" s="68">
        <f t="shared" si="2"/>
        <v>0</v>
      </c>
      <c r="W38" s="57">
        <v>3</v>
      </c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2</v>
      </c>
      <c r="AI38" s="38">
        <v>65</v>
      </c>
      <c r="AJ38" s="30">
        <f t="shared" si="7"/>
        <v>67</v>
      </c>
      <c r="AK38" s="37">
        <f t="shared" si="8"/>
        <v>67</v>
      </c>
      <c r="AL38" s="39">
        <f t="shared" si="9"/>
        <v>1.095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51" t="s">
        <v>606</v>
      </c>
      <c r="D39" s="49"/>
      <c r="E39" s="49"/>
      <c r="F39" s="49"/>
      <c r="G39" s="53"/>
      <c r="H39" s="64"/>
      <c r="I39" s="25"/>
      <c r="J39" s="26"/>
      <c r="K39" s="26"/>
      <c r="L39" s="26"/>
      <c r="M39" s="62"/>
      <c r="N39" s="27">
        <f t="shared" si="0"/>
        <v>0</v>
      </c>
      <c r="O39" s="28">
        <v>1</v>
      </c>
      <c r="P39" s="29"/>
      <c r="Q39" s="30"/>
      <c r="R39" s="30"/>
      <c r="S39" s="30"/>
      <c r="T39" s="31"/>
      <c r="U39" s="32">
        <f t="shared" si="1"/>
        <v>0</v>
      </c>
      <c r="V39" s="68">
        <f t="shared" si="2"/>
        <v>0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2</v>
      </c>
      <c r="AI39" s="38">
        <v>65</v>
      </c>
      <c r="AJ39" s="30">
        <f t="shared" si="7"/>
        <v>67</v>
      </c>
      <c r="AK39" s="37">
        <f t="shared" si="8"/>
        <v>67</v>
      </c>
      <c r="AL39" s="39">
        <f t="shared" si="9"/>
        <v>1.095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 t="s">
        <v>456</v>
      </c>
      <c r="D40" s="49"/>
      <c r="E40" s="49"/>
      <c r="F40" s="49"/>
      <c r="G40" s="53"/>
      <c r="H40" s="64"/>
      <c r="I40" s="25"/>
      <c r="J40" s="26"/>
      <c r="K40" s="26"/>
      <c r="L40" s="26"/>
      <c r="M40" s="62"/>
      <c r="N40" s="27">
        <f t="shared" si="0"/>
        <v>0</v>
      </c>
      <c r="O40" s="28">
        <v>1</v>
      </c>
      <c r="P40" s="29"/>
      <c r="Q40" s="30"/>
      <c r="R40" s="30"/>
      <c r="S40" s="30"/>
      <c r="T40" s="31"/>
      <c r="U40" s="32">
        <f t="shared" si="1"/>
        <v>0</v>
      </c>
      <c r="V40" s="68">
        <f t="shared" si="2"/>
        <v>0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2</v>
      </c>
      <c r="AI40" s="38">
        <v>65</v>
      </c>
      <c r="AJ40" s="30">
        <f t="shared" si="7"/>
        <v>67</v>
      </c>
      <c r="AK40" s="37">
        <f t="shared" si="8"/>
        <v>67</v>
      </c>
      <c r="AL40" s="39">
        <f t="shared" si="9"/>
        <v>1.095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 t="s">
        <v>448</v>
      </c>
      <c r="E41" s="49"/>
      <c r="F41" s="49"/>
      <c r="G41" s="53"/>
      <c r="H41" s="64"/>
      <c r="I41" s="25"/>
      <c r="J41" s="26"/>
      <c r="K41" s="26"/>
      <c r="L41" s="26"/>
      <c r="M41" s="62"/>
      <c r="N41" s="27">
        <f t="shared" si="0"/>
        <v>0</v>
      </c>
      <c r="O41" s="28">
        <v>1</v>
      </c>
      <c r="P41" s="29"/>
      <c r="Q41" s="30"/>
      <c r="R41" s="30"/>
      <c r="S41" s="30"/>
      <c r="T41" s="31"/>
      <c r="U41" s="32">
        <f t="shared" si="1"/>
        <v>0</v>
      </c>
      <c r="V41" s="68">
        <f t="shared" si="2"/>
        <v>0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2</v>
      </c>
      <c r="AI41" s="38">
        <v>65</v>
      </c>
      <c r="AJ41" s="30">
        <f t="shared" si="7"/>
        <v>67</v>
      </c>
      <c r="AK41" s="37">
        <f t="shared" si="8"/>
        <v>67</v>
      </c>
      <c r="AL41" s="39">
        <f t="shared" si="9"/>
        <v>1.095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163" t="s">
        <v>449</v>
      </c>
      <c r="D42" s="163" t="s">
        <v>436</v>
      </c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259"/>
      <c r="D43" s="49"/>
      <c r="E43" s="49"/>
      <c r="F43" s="49"/>
      <c r="G43" s="53"/>
      <c r="H43" s="64"/>
      <c r="I43" s="270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71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254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54">
    <mergeCell ref="A32:H32"/>
    <mergeCell ref="A36:H36"/>
    <mergeCell ref="A34:H34"/>
    <mergeCell ref="AG1:AH1"/>
    <mergeCell ref="AI1:AK1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W3:AE3"/>
    <mergeCell ref="AL3:AL4"/>
    <mergeCell ref="AX3:AX4"/>
    <mergeCell ref="AM3:AM4"/>
    <mergeCell ref="AN3:AN4"/>
    <mergeCell ref="AO3:AO4"/>
    <mergeCell ref="AP3:AP4"/>
    <mergeCell ref="AQ3:AQ4"/>
    <mergeCell ref="AR3:AR4"/>
    <mergeCell ref="AS3:AS4"/>
    <mergeCell ref="AT3:AT4"/>
    <mergeCell ref="A28:H28"/>
    <mergeCell ref="A30:H30"/>
    <mergeCell ref="AU3:AU4"/>
    <mergeCell ref="AV3:AV4"/>
    <mergeCell ref="AW3:AW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FF0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4748830000</v>
      </c>
      <c r="E1" s="340"/>
      <c r="F1" s="339"/>
      <c r="G1" s="340"/>
      <c r="H1" s="66" t="s">
        <v>29</v>
      </c>
      <c r="I1" s="341">
        <v>7160032000</v>
      </c>
      <c r="J1" s="341"/>
      <c r="K1" s="183" t="s">
        <v>487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470</v>
      </c>
      <c r="AH1" s="323"/>
      <c r="AI1" s="324">
        <f>D1</f>
        <v>4748830000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5223713000</v>
      </c>
      <c r="E2" s="328"/>
      <c r="F2" s="329"/>
      <c r="G2" s="330"/>
      <c r="H2" s="3" t="s">
        <v>28</v>
      </c>
      <c r="I2" s="331">
        <f>D2*1</f>
        <v>5223713000</v>
      </c>
      <c r="J2" s="329"/>
      <c r="K2" s="129" t="s">
        <v>46</v>
      </c>
      <c r="L2" s="130" t="s">
        <v>30</v>
      </c>
      <c r="M2" s="332">
        <v>45961.423611111109</v>
      </c>
      <c r="N2" s="332"/>
      <c r="O2" s="332"/>
      <c r="P2" s="332"/>
      <c r="Q2" s="131" t="s">
        <v>469</v>
      </c>
      <c r="R2" s="131"/>
      <c r="S2" s="131"/>
      <c r="T2" s="94"/>
      <c r="U2" s="132"/>
      <c r="V2" s="132"/>
      <c r="W2" s="133"/>
      <c r="X2" s="134"/>
      <c r="Y2" s="377">
        <v>854500000</v>
      </c>
      <c r="Z2" s="377"/>
      <c r="AA2" s="334">
        <f>I1</f>
        <v>7160032000</v>
      </c>
      <c r="AB2" s="335"/>
      <c r="AC2" s="336"/>
      <c r="AD2" s="337">
        <f>TRUNC(Y2/AA2,4)</f>
        <v>0.1193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38</v>
      </c>
      <c r="AS2" s="348">
        <f>AI1</f>
        <v>4748830000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34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35"/>
      <c r="AG3" s="235"/>
      <c r="AH3" s="235"/>
      <c r="AI3" s="235"/>
      <c r="AJ3" s="235"/>
      <c r="AK3" s="236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34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165" t="s">
        <v>58</v>
      </c>
      <c r="D5" s="51" t="s">
        <v>468</v>
      </c>
      <c r="E5" s="54"/>
      <c r="F5" s="52"/>
      <c r="G5" s="53"/>
      <c r="H5" s="139"/>
      <c r="I5" s="79">
        <v>0.6</v>
      </c>
      <c r="J5" s="225">
        <v>0.1651</v>
      </c>
      <c r="K5" s="26">
        <v>0.1</v>
      </c>
      <c r="L5" s="120"/>
      <c r="M5" s="99"/>
      <c r="N5" s="121">
        <f>SUM(I5:M5)</f>
        <v>0.86509999999999998</v>
      </c>
      <c r="O5" s="122">
        <v>1.1000000000000001</v>
      </c>
      <c r="P5" s="80">
        <v>15</v>
      </c>
      <c r="Q5" s="181">
        <v>15</v>
      </c>
      <c r="R5" s="80">
        <v>15</v>
      </c>
      <c r="S5" s="126"/>
      <c r="T5" s="100"/>
      <c r="U5" s="123">
        <f>ROUND(((P5*I5)+(Q5*J5)+(R5*K5)+(S5*L5)+(T5*M5))*O5,2)</f>
        <v>14.27</v>
      </c>
      <c r="V5" s="101">
        <f>IF(U5&gt;=15,15,U5)</f>
        <v>14.27</v>
      </c>
      <c r="W5" s="33">
        <v>75440266000</v>
      </c>
      <c r="X5" s="184">
        <v>1896430000</v>
      </c>
      <c r="Y5" s="33"/>
      <c r="Z5" s="90"/>
      <c r="AA5" s="102"/>
      <c r="AB5" s="124">
        <f>ROUND((((W5*I5)+(X5*J5)+(Y5*K5)+(Z5*L5)+(AA5*M5))/$I$2),2)*13</f>
        <v>113.49000000000001</v>
      </c>
      <c r="AC5" s="125">
        <f>IF(AB5&gt;=13,13,AB5)</f>
        <v>13</v>
      </c>
      <c r="AD5" s="240">
        <v>0</v>
      </c>
      <c r="AE5" s="123">
        <f>IF((AC5+AD5)&gt;=15,15,(AC5+AD5))</f>
        <v>13</v>
      </c>
      <c r="AF5" s="113">
        <f>1.5*I5</f>
        <v>0.89999999999999991</v>
      </c>
      <c r="AG5" s="114"/>
      <c r="AH5" s="115">
        <f>IF((V5+AE5+AF5)&gt;=30,30,(V5+AE5+AF5))</f>
        <v>28.169999999999998</v>
      </c>
      <c r="AI5" s="116">
        <v>65</v>
      </c>
      <c r="AJ5" s="44">
        <f>V5+AE5+AF5+AI5+AG5</f>
        <v>93.17</v>
      </c>
      <c r="AK5" s="115">
        <f>IF(AH5+AI5+AG5&gt;=95,95,AH5+AI5+AG5)</f>
        <v>93.17</v>
      </c>
      <c r="AL5" s="108">
        <f>-((50-((176+(45+(50-AH5)))))/200)</f>
        <v>0.96414999999999995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30">
        <v>85</v>
      </c>
      <c r="J6" s="104">
        <v>85</v>
      </c>
      <c r="K6" s="104"/>
      <c r="L6" s="104"/>
      <c r="M6" s="104"/>
      <c r="N6" s="143">
        <f>I6*I5+J6*J5+K6*K5+L6*L5+M6*M5</f>
        <v>65.033500000000004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/>
      <c r="B7" s="54"/>
      <c r="C7" s="50"/>
      <c r="D7" s="52"/>
      <c r="E7" s="54"/>
      <c r="F7" s="54"/>
      <c r="G7" s="53"/>
      <c r="H7" s="140"/>
      <c r="I7" s="79"/>
      <c r="J7" s="26"/>
      <c r="K7" s="26"/>
      <c r="L7" s="77"/>
      <c r="M7" s="78"/>
      <c r="N7" s="27">
        <f>SUM(I7:M7)</f>
        <v>0</v>
      </c>
      <c r="O7" s="28">
        <v>1</v>
      </c>
      <c r="P7" s="80"/>
      <c r="Q7" s="157"/>
      <c r="R7" s="80"/>
      <c r="S7" s="31"/>
      <c r="T7" s="89"/>
      <c r="U7" s="32">
        <f>ROUND(((P7*I7)+(Q7*J7)+(R7*K7)+(S7*L7)+(T7*M7))*O7,2)</f>
        <v>0</v>
      </c>
      <c r="V7" s="68">
        <f>IF(U7&gt;=15,15,U7)</f>
        <v>0</v>
      </c>
      <c r="W7" s="33"/>
      <c r="X7" s="33"/>
      <c r="Y7" s="33"/>
      <c r="Z7" s="45"/>
      <c r="AA7" s="35"/>
      <c r="AB7" s="36">
        <f>ROUND((((W7*I7)+(X7*J7)+(Y7*K7)+(Z7*L7)+(AA7*M7))/$I$2),2)*13</f>
        <v>0</v>
      </c>
      <c r="AC7" s="68">
        <f>IF(AB7&gt;=13,13,AB7)</f>
        <v>0</v>
      </c>
      <c r="AD7" s="63">
        <v>2</v>
      </c>
      <c r="AE7" s="32">
        <f>IF((AC7+AD7)&gt;=15,15,(AC7+AD7))</f>
        <v>2</v>
      </c>
      <c r="AF7" s="61"/>
      <c r="AG7" s="114"/>
      <c r="AH7" s="37">
        <f>IF((V7+AE7+AF7)&gt;=30,30,(V7+AE7+AF7))</f>
        <v>2</v>
      </c>
      <c r="AI7" s="38">
        <v>65</v>
      </c>
      <c r="AJ7" s="30">
        <f>V7+AE7+AF7+AI7+AG7</f>
        <v>67</v>
      </c>
      <c r="AK7" s="37">
        <f>IF(AH7+AI7+AG7&gt;=95,95,AH7+AI7+AG7)</f>
        <v>67</v>
      </c>
      <c r="AL7" s="39">
        <f>-((50-((176+(45+(50-AH7)))))/200)</f>
        <v>1.095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04"/>
      <c r="K8" s="104"/>
      <c r="L8" s="104"/>
      <c r="M8" s="104"/>
      <c r="N8" s="143">
        <f>I8*I7+J8*J7+K8*K7+L8*L7+M8*M7</f>
        <v>0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0"/>
      <c r="D9" s="163"/>
      <c r="E9" s="54"/>
      <c r="F9" s="54"/>
      <c r="G9" s="85"/>
      <c r="H9" s="146"/>
      <c r="I9" s="79"/>
      <c r="J9" s="152"/>
      <c r="K9" s="26"/>
      <c r="L9" s="77"/>
      <c r="M9" s="78"/>
      <c r="N9" s="27">
        <f>SUM(I9:M9)</f>
        <v>0</v>
      </c>
      <c r="O9" s="28">
        <v>1</v>
      </c>
      <c r="P9" s="80"/>
      <c r="Q9" s="157"/>
      <c r="R9" s="80"/>
      <c r="S9" s="30"/>
      <c r="T9" s="89"/>
      <c r="U9" s="32">
        <f>ROUND(((P9*I9)+(Q9*J9)+(R9*K9)+(S9*L9)+(T9*M9))*O9,2)</f>
        <v>0</v>
      </c>
      <c r="V9" s="68">
        <f>IF(U9&gt;=15,15,U9)</f>
        <v>0</v>
      </c>
      <c r="W9" s="33"/>
      <c r="X9" s="33"/>
      <c r="Y9" s="33"/>
      <c r="Z9" s="45"/>
      <c r="AA9" s="35"/>
      <c r="AB9" s="36">
        <f>ROUND((((W9*I9)+(X9*J9)+(Y9*K9)+(Z9*L9)+(AA9*M9))/$I$2),2)*13</f>
        <v>0</v>
      </c>
      <c r="AC9" s="68">
        <f>IF(AB9&gt;=13,13,AB9)</f>
        <v>0</v>
      </c>
      <c r="AD9" s="63">
        <v>2</v>
      </c>
      <c r="AE9" s="32">
        <f>IF((AC9+AD9)&gt;=15,15,(AC9+AD9))</f>
        <v>2</v>
      </c>
      <c r="AF9" s="233">
        <f>3*I9</f>
        <v>0</v>
      </c>
      <c r="AG9" s="114"/>
      <c r="AH9" s="37">
        <f>IF((V9+AE9+AF9)&gt;=30,30,(V9+AE9+AF9))</f>
        <v>2</v>
      </c>
      <c r="AI9" s="38">
        <v>65</v>
      </c>
      <c r="AJ9" s="30">
        <f>V9+AE9+AF9+AI9+AG9</f>
        <v>67</v>
      </c>
      <c r="AK9" s="37">
        <f>IF(AH9+AI9+AG9&gt;=95,95,AH9+AI9+AG9)</f>
        <v>67</v>
      </c>
      <c r="AL9" s="39">
        <f>-((50-((176+(45+(50-AH9)))))/200)</f>
        <v>1.095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230">
        <v>85</v>
      </c>
      <c r="J10" s="104">
        <v>85</v>
      </c>
      <c r="K10" s="104"/>
      <c r="L10" s="104"/>
      <c r="M10" s="104"/>
      <c r="N10" s="143">
        <f>I10*I9+J10*J9+K10*K9+L10*L9+M10*M9</f>
        <v>0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0"/>
      <c r="D11" s="51"/>
      <c r="E11" s="54"/>
      <c r="F11" s="54"/>
      <c r="G11" s="53"/>
      <c r="H11" s="140"/>
      <c r="I11" s="79"/>
      <c r="J11" s="26"/>
      <c r="K11" s="26"/>
      <c r="L11" s="91"/>
      <c r="M11" s="78"/>
      <c r="N11" s="27">
        <f t="shared" ref="N11:N42" si="0">SUM(I11:M11)</f>
        <v>0</v>
      </c>
      <c r="O11" s="28">
        <v>1</v>
      </c>
      <c r="P11" s="80"/>
      <c r="Q11" s="80"/>
      <c r="R11" s="56"/>
      <c r="S11" s="30"/>
      <c r="T11" s="89"/>
      <c r="U11" s="32">
        <f t="shared" ref="U11:U74" si="1">ROUND(((P11*I11)+(Q11*J11)+(R11*K11)+(S11*L11)+(T11*M11))*O11,2)</f>
        <v>0</v>
      </c>
      <c r="V11" s="68">
        <f t="shared" ref="V11:V74" si="2">IF(U11&gt;=15,15,U11)</f>
        <v>0</v>
      </c>
      <c r="W11" s="8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2</v>
      </c>
      <c r="AI11" s="38">
        <v>65</v>
      </c>
      <c r="AJ11" s="30">
        <f t="shared" ref="AJ11:AJ74" si="7">V11+AE11+AF11+AI11+AG11</f>
        <v>67</v>
      </c>
      <c r="AK11" s="37">
        <f t="shared" ref="AK11:AK74" si="8">IF(AH11+AI11+AG11&gt;=95,95,AH11+AI11+AG11)</f>
        <v>67</v>
      </c>
      <c r="AL11" s="39">
        <f t="shared" ref="AL11:AL74" si="9">-((50-((176+(45+(50-AH11)))))/200)</f>
        <v>1.095</v>
      </c>
      <c r="AM11" s="40"/>
      <c r="AN11" s="41">
        <f t="shared" ref="AN11:AO27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230">
        <v>85</v>
      </c>
      <c r="J12" s="104">
        <v>85</v>
      </c>
      <c r="K12" s="104"/>
      <c r="L12" s="104"/>
      <c r="M12" s="104"/>
      <c r="N12" s="143">
        <f>I12*I11+J12*J11+K12*K11+L12*L11+M12*M11</f>
        <v>0</v>
      </c>
      <c r="O12" s="28">
        <v>1</v>
      </c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23"/>
      <c r="C13" s="52"/>
      <c r="D13" s="51"/>
      <c r="E13" s="49"/>
      <c r="F13" s="54"/>
      <c r="G13" s="53"/>
      <c r="H13" s="140"/>
      <c r="I13" s="79"/>
      <c r="J13" s="106"/>
      <c r="K13" s="26"/>
      <c r="L13" s="77"/>
      <c r="M13" s="78"/>
      <c r="N13" s="27">
        <f t="shared" si="0"/>
        <v>0</v>
      </c>
      <c r="O13" s="28">
        <v>1</v>
      </c>
      <c r="P13" s="80"/>
      <c r="Q13" s="80"/>
      <c r="R13" s="81"/>
      <c r="S13" s="31"/>
      <c r="T13" s="89"/>
      <c r="U13" s="32">
        <f t="shared" si="1"/>
        <v>0</v>
      </c>
      <c r="V13" s="68">
        <f t="shared" si="2"/>
        <v>0</v>
      </c>
      <c r="W13" s="33"/>
      <c r="X13" s="33"/>
      <c r="Y13" s="33"/>
      <c r="Z13" s="45"/>
      <c r="AA13" s="35"/>
      <c r="AB13" s="36">
        <f t="shared" si="3"/>
        <v>0</v>
      </c>
      <c r="AC13" s="68">
        <f t="shared" si="4"/>
        <v>0</v>
      </c>
      <c r="AD13" s="63">
        <v>0</v>
      </c>
      <c r="AE13" s="32">
        <f t="shared" si="5"/>
        <v>0</v>
      </c>
      <c r="AF13" s="56">
        <f>0.5*J13</f>
        <v>0</v>
      </c>
      <c r="AG13" s="114"/>
      <c r="AH13" s="37">
        <f t="shared" si="6"/>
        <v>0</v>
      </c>
      <c r="AI13" s="38">
        <v>65</v>
      </c>
      <c r="AJ13" s="30">
        <f t="shared" si="7"/>
        <v>65</v>
      </c>
      <c r="AK13" s="37">
        <f t="shared" si="8"/>
        <v>65</v>
      </c>
      <c r="AL13" s="39">
        <f t="shared" si="9"/>
        <v>1.105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/>
      <c r="L14" s="104"/>
      <c r="M14" s="104"/>
      <c r="N14" s="143">
        <f>I14*I13+J14*J13+K14*K13+L14*L13+M14*M13</f>
        <v>0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63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76"/>
      <c r="C15" s="51"/>
      <c r="D15" s="51"/>
      <c r="E15" s="54"/>
      <c r="F15" s="54"/>
      <c r="G15" s="53"/>
      <c r="H15" s="140"/>
      <c r="I15" s="106"/>
      <c r="J15" s="96"/>
      <c r="K15" s="26"/>
      <c r="L15" s="26"/>
      <c r="M15" s="62"/>
      <c r="N15" s="27">
        <f t="shared" si="0"/>
        <v>0</v>
      </c>
      <c r="O15" s="28">
        <v>1</v>
      </c>
      <c r="P15" s="157"/>
      <c r="Q15" s="80"/>
      <c r="R15" s="80"/>
      <c r="S15" s="30"/>
      <c r="T15" s="31"/>
      <c r="U15" s="32">
        <f t="shared" si="1"/>
        <v>0</v>
      </c>
      <c r="V15" s="68">
        <f t="shared" si="2"/>
        <v>0</v>
      </c>
      <c r="W15" s="34"/>
      <c r="X15" s="33"/>
      <c r="Y15" s="57"/>
      <c r="Z15" s="58"/>
      <c r="AA15" s="35"/>
      <c r="AB15" s="36">
        <f t="shared" si="3"/>
        <v>0</v>
      </c>
      <c r="AC15" s="68">
        <f t="shared" si="4"/>
        <v>0</v>
      </c>
      <c r="AD15" s="63">
        <v>0</v>
      </c>
      <c r="AE15" s="32">
        <f t="shared" si="5"/>
        <v>0</v>
      </c>
      <c r="AF15" s="232"/>
      <c r="AG15" s="114"/>
      <c r="AH15" s="37">
        <f t="shared" si="6"/>
        <v>0</v>
      </c>
      <c r="AI15" s="38">
        <v>65</v>
      </c>
      <c r="AJ15" s="30">
        <f t="shared" si="7"/>
        <v>65</v>
      </c>
      <c r="AK15" s="37">
        <f t="shared" si="8"/>
        <v>65</v>
      </c>
      <c r="AL15" s="39">
        <f t="shared" si="9"/>
        <v>1.105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>
        <v>85</v>
      </c>
      <c r="L16" s="104"/>
      <c r="M16" s="104"/>
      <c r="N16" s="143">
        <f>I16*I15+J16*J15+K16*K15+L16*L15+M16*M15</f>
        <v>0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52"/>
      <c r="C17" s="168"/>
      <c r="D17" s="51"/>
      <c r="E17" s="54"/>
      <c r="F17" s="54"/>
      <c r="G17" s="53"/>
      <c r="H17" s="64"/>
      <c r="I17" s="79"/>
      <c r="J17" s="26"/>
      <c r="K17" s="26"/>
      <c r="L17" s="26"/>
      <c r="M17" s="62"/>
      <c r="N17" s="27">
        <f t="shared" si="0"/>
        <v>0</v>
      </c>
      <c r="O17" s="28">
        <v>1</v>
      </c>
      <c r="P17" s="29"/>
      <c r="Q17" s="30"/>
      <c r="R17" s="30"/>
      <c r="S17" s="30"/>
      <c r="T17" s="31"/>
      <c r="U17" s="32">
        <f t="shared" si="1"/>
        <v>0</v>
      </c>
      <c r="V17" s="68">
        <f t="shared" si="2"/>
        <v>0</v>
      </c>
      <c r="W17" s="82"/>
      <c r="X17" s="34"/>
      <c r="Y17" s="33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>
        <f>0.5*I17</f>
        <v>0</v>
      </c>
      <c r="AG17" s="114"/>
      <c r="AH17" s="37">
        <f t="shared" si="6"/>
        <v>2</v>
      </c>
      <c r="AI17" s="38">
        <v>65</v>
      </c>
      <c r="AJ17" s="30">
        <f t="shared" si="7"/>
        <v>67</v>
      </c>
      <c r="AK17" s="37">
        <f t="shared" si="8"/>
        <v>67</v>
      </c>
      <c r="AL17" s="39">
        <f t="shared" si="9"/>
        <v>1.095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43">
        <f>I18*I17+J18*J17+K18*K17+L18*L17+M18*M17</f>
        <v>0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/>
      <c r="B19" s="23"/>
      <c r="C19" s="163"/>
      <c r="D19" s="49"/>
      <c r="E19" s="49"/>
      <c r="F19" s="49"/>
      <c r="G19" s="53"/>
      <c r="H19" s="64"/>
      <c r="I19" s="25"/>
      <c r="J19" s="26"/>
      <c r="K19" s="26"/>
      <c r="L19" s="26"/>
      <c r="M19" s="62"/>
      <c r="N19" s="27">
        <f t="shared" si="0"/>
        <v>0</v>
      </c>
      <c r="O19" s="28">
        <v>1</v>
      </c>
      <c r="P19" s="29"/>
      <c r="Q19" s="30"/>
      <c r="R19" s="56"/>
      <c r="S19" s="30"/>
      <c r="T19" s="31"/>
      <c r="U19" s="32">
        <f t="shared" si="1"/>
        <v>0</v>
      </c>
      <c r="V19" s="68">
        <f t="shared" si="2"/>
        <v>0</v>
      </c>
      <c r="W19" s="75"/>
      <c r="X19" s="33"/>
      <c r="Y19" s="34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114"/>
      <c r="AH19" s="37">
        <f t="shared" si="6"/>
        <v>2</v>
      </c>
      <c r="AI19" s="38">
        <v>65</v>
      </c>
      <c r="AJ19" s="30">
        <f t="shared" si="7"/>
        <v>67</v>
      </c>
      <c r="AK19" s="37">
        <f t="shared" si="8"/>
        <v>67</v>
      </c>
      <c r="AL19" s="39">
        <f t="shared" si="9"/>
        <v>1.095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43">
        <f>I20*I19+J20*J19+K20*K19+L20*L19+M20*M19</f>
        <v>0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05"/>
      <c r="B21" s="49"/>
      <c r="C21" s="49"/>
      <c r="D21" s="51"/>
      <c r="E21" s="49"/>
      <c r="F21" s="49"/>
      <c r="G21" s="169"/>
      <c r="H21" s="64"/>
      <c r="I21" s="25">
        <v>0.7</v>
      </c>
      <c r="J21" s="26">
        <v>0.3</v>
      </c>
      <c r="K21" s="26"/>
      <c r="L21" s="26"/>
      <c r="M21" s="62"/>
      <c r="N21" s="27">
        <f t="shared" si="0"/>
        <v>1</v>
      </c>
      <c r="O21" s="28">
        <v>1</v>
      </c>
      <c r="P21" s="29"/>
      <c r="Q21" s="30"/>
      <c r="R21" s="30"/>
      <c r="S21" s="30"/>
      <c r="T21" s="31"/>
      <c r="U21" s="32">
        <f t="shared" si="1"/>
        <v>0</v>
      </c>
      <c r="V21" s="68">
        <f t="shared" si="2"/>
        <v>0</v>
      </c>
      <c r="W21" s="57"/>
      <c r="X21" s="60"/>
      <c r="Y21" s="45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114"/>
      <c r="AH21" s="37">
        <f t="shared" si="6"/>
        <v>2</v>
      </c>
      <c r="AI21" s="38">
        <v>65</v>
      </c>
      <c r="AJ21" s="30">
        <f t="shared" si="7"/>
        <v>67</v>
      </c>
      <c r="AK21" s="37">
        <f t="shared" si="8"/>
        <v>67</v>
      </c>
      <c r="AL21" s="39">
        <f t="shared" si="9"/>
        <v>1.095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/>
      <c r="L22" s="104"/>
      <c r="M22" s="104"/>
      <c r="N22" s="143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/>
      <c r="B23" s="49"/>
      <c r="C23" s="168"/>
      <c r="D23" s="51"/>
      <c r="E23" s="49"/>
      <c r="F23" s="49"/>
      <c r="G23" s="53"/>
      <c r="H23" s="64"/>
      <c r="I23" s="25">
        <v>0.7</v>
      </c>
      <c r="J23" s="26">
        <v>0.3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82"/>
      <c r="X23" s="58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114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230">
        <v>85</v>
      </c>
      <c r="J24" s="104">
        <v>85</v>
      </c>
      <c r="K24" s="104"/>
      <c r="L24" s="104"/>
      <c r="M24" s="104"/>
      <c r="N24" s="143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/>
      <c r="B25" s="49"/>
      <c r="C25" s="168"/>
      <c r="D25" s="164"/>
      <c r="E25" s="49"/>
      <c r="F25" s="49"/>
      <c r="G25" s="53"/>
      <c r="H25" s="140" t="s">
        <v>460</v>
      </c>
      <c r="I25" s="25">
        <v>0.7</v>
      </c>
      <c r="J25" s="193">
        <v>0.16950000000000001</v>
      </c>
      <c r="K25" s="26"/>
      <c r="L25" s="26"/>
      <c r="M25" s="62"/>
      <c r="N25" s="27">
        <f t="shared" si="0"/>
        <v>0.86949999999999994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13.04</v>
      </c>
      <c r="V25" s="68">
        <f t="shared" si="2"/>
        <v>13.04</v>
      </c>
      <c r="W25" s="82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192">
        <v>0</v>
      </c>
      <c r="AE25" s="32">
        <f t="shared" si="5"/>
        <v>0</v>
      </c>
      <c r="AF25" s="56">
        <f>3*I25</f>
        <v>2.0999999999999996</v>
      </c>
      <c r="AG25" s="114"/>
      <c r="AH25" s="37">
        <f t="shared" si="6"/>
        <v>15.139999999999999</v>
      </c>
      <c r="AI25" s="38">
        <v>65</v>
      </c>
      <c r="AJ25" s="30">
        <f t="shared" si="7"/>
        <v>80.14</v>
      </c>
      <c r="AK25" s="37">
        <f t="shared" si="8"/>
        <v>80.14</v>
      </c>
      <c r="AL25" s="39">
        <f t="shared" si="9"/>
        <v>1.0293000000000001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43</v>
      </c>
      <c r="B26" s="364"/>
      <c r="C26" s="364"/>
      <c r="D26" s="364"/>
      <c r="E26" s="364"/>
      <c r="F26" s="364"/>
      <c r="G26" s="364"/>
      <c r="H26" s="365"/>
      <c r="I26" s="230">
        <v>85</v>
      </c>
      <c r="J26" s="104">
        <v>85</v>
      </c>
      <c r="K26" s="104"/>
      <c r="L26" s="104"/>
      <c r="M26" s="104"/>
      <c r="N26" s="143">
        <f>I26*I25+J26*J25+K26*K25+L26*L25+M26*M25</f>
        <v>73.907499999999999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/>
      <c r="B27" s="49"/>
      <c r="C27" s="49"/>
      <c r="D27" s="51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114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43</v>
      </c>
      <c r="B28" s="364"/>
      <c r="C28" s="364"/>
      <c r="D28" s="364"/>
      <c r="E28" s="364"/>
      <c r="F28" s="364"/>
      <c r="G28" s="364"/>
      <c r="H28" s="365"/>
      <c r="I28" s="230">
        <v>85</v>
      </c>
      <c r="J28" s="104">
        <v>85</v>
      </c>
      <c r="K28" s="104"/>
      <c r="L28" s="104"/>
      <c r="M28" s="104"/>
      <c r="N28" s="143">
        <f>I28*I27+J28*J27+K28*K27+L28*L27+M28*M27</f>
        <v>85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/>
      <c r="B29" s="49"/>
      <c r="C29" s="49"/>
      <c r="D29" s="51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114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ref="AN29:AO50" si="13">100%+AM29</f>
        <v>1</v>
      </c>
      <c r="AO29" s="41">
        <f t="shared" si="13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230">
        <v>85</v>
      </c>
      <c r="J30" s="104">
        <v>85</v>
      </c>
      <c r="K30" s="104"/>
      <c r="L30" s="104"/>
      <c r="M30" s="104"/>
      <c r="N30" s="143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/>
      <c r="B31" s="49"/>
      <c r="C31" s="51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57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114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3"/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63" t="s">
        <v>43</v>
      </c>
      <c r="B32" s="364"/>
      <c r="C32" s="364"/>
      <c r="D32" s="364"/>
      <c r="E32" s="364"/>
      <c r="F32" s="364"/>
      <c r="G32" s="364"/>
      <c r="H32" s="365"/>
      <c r="I32" s="230">
        <v>85</v>
      </c>
      <c r="J32" s="104">
        <v>85</v>
      </c>
      <c r="K32" s="104"/>
      <c r="L32" s="104"/>
      <c r="M32" s="104"/>
      <c r="N32" s="143">
        <f>I32*I31+J32*J31+K32*K31+L32*L31+M32*M31</f>
        <v>85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/>
      <c r="B33" s="49"/>
      <c r="C33" s="165"/>
      <c r="D33" s="51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180">
        <v>11.8</v>
      </c>
      <c r="R33" s="30"/>
      <c r="S33" s="30"/>
      <c r="T33" s="31"/>
      <c r="U33" s="32">
        <f t="shared" si="1"/>
        <v>13.43</v>
      </c>
      <c r="V33" s="68">
        <f t="shared" si="2"/>
        <v>13.43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114"/>
      <c r="AH33" s="37">
        <f t="shared" si="6"/>
        <v>15.43</v>
      </c>
      <c r="AI33" s="38">
        <v>65</v>
      </c>
      <c r="AJ33" s="30">
        <f t="shared" si="7"/>
        <v>80.430000000000007</v>
      </c>
      <c r="AK33" s="37">
        <f t="shared" si="8"/>
        <v>80.430000000000007</v>
      </c>
      <c r="AL33" s="39">
        <f t="shared" si="9"/>
        <v>1.0278499999999999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230">
        <v>85</v>
      </c>
      <c r="J34" s="104">
        <v>85</v>
      </c>
      <c r="K34" s="104"/>
      <c r="L34" s="104"/>
      <c r="M34" s="104"/>
      <c r="N34" s="143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/>
      <c r="B35" s="49"/>
      <c r="C35" s="49"/>
      <c r="D35" s="51"/>
      <c r="E35" s="49"/>
      <c r="F35" s="49"/>
      <c r="G35" s="53"/>
      <c r="H35" s="203" t="s">
        <v>462</v>
      </c>
      <c r="I35" s="219">
        <v>0.47860000000000003</v>
      </c>
      <c r="J35" s="26">
        <v>0.49</v>
      </c>
      <c r="K35" s="26"/>
      <c r="L35" s="26"/>
      <c r="M35" s="62"/>
      <c r="N35" s="27">
        <f t="shared" si="0"/>
        <v>0.96860000000000002</v>
      </c>
      <c r="O35" s="28">
        <v>1</v>
      </c>
      <c r="P35" s="29">
        <v>15</v>
      </c>
      <c r="Q35" s="180">
        <v>11.8</v>
      </c>
      <c r="R35" s="30"/>
      <c r="S35" s="30"/>
      <c r="T35" s="31"/>
      <c r="U35" s="32">
        <f t="shared" si="1"/>
        <v>12.96</v>
      </c>
      <c r="V35" s="68">
        <f t="shared" si="2"/>
        <v>12.96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192">
        <v>1</v>
      </c>
      <c r="AE35" s="32">
        <f t="shared" si="5"/>
        <v>1</v>
      </c>
      <c r="AF35" s="56"/>
      <c r="AG35" s="114"/>
      <c r="AH35" s="37">
        <f t="shared" si="6"/>
        <v>13.96</v>
      </c>
      <c r="AI35" s="38">
        <v>65</v>
      </c>
      <c r="AJ35" s="30">
        <f t="shared" si="7"/>
        <v>78.960000000000008</v>
      </c>
      <c r="AK35" s="37">
        <f t="shared" si="8"/>
        <v>78.960000000000008</v>
      </c>
      <c r="AL35" s="39">
        <f t="shared" si="9"/>
        <v>1.0351999999999999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230">
        <v>85</v>
      </c>
      <c r="J36" s="104">
        <v>85</v>
      </c>
      <c r="K36" s="104"/>
      <c r="L36" s="104"/>
      <c r="M36" s="104"/>
      <c r="N36" s="143">
        <f>I36*I35+J36*J35+K36*K35+L36*L35+M36*M35</f>
        <v>82.331000000000003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49"/>
      <c r="B37" s="49"/>
      <c r="C37" s="165"/>
      <c r="D37" s="51"/>
      <c r="E37" s="49"/>
      <c r="F37" s="49"/>
      <c r="G37" s="53"/>
      <c r="H37" s="64"/>
      <c r="I37" s="25">
        <v>0.7</v>
      </c>
      <c r="J37" s="193">
        <v>0.1651</v>
      </c>
      <c r="K37" s="26"/>
      <c r="L37" s="26"/>
      <c r="M37" s="62"/>
      <c r="N37" s="27">
        <f t="shared" si="0"/>
        <v>0.86509999999999998</v>
      </c>
      <c r="O37" s="28">
        <v>1</v>
      </c>
      <c r="P37" s="29"/>
      <c r="Q37" s="30"/>
      <c r="R37" s="30"/>
      <c r="S37" s="30"/>
      <c r="T37" s="31"/>
      <c r="U37" s="32">
        <f t="shared" si="1"/>
        <v>0</v>
      </c>
      <c r="V37" s="68">
        <f t="shared" si="2"/>
        <v>0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2</v>
      </c>
      <c r="AI37" s="38">
        <v>65</v>
      </c>
      <c r="AJ37" s="30">
        <f t="shared" si="7"/>
        <v>67</v>
      </c>
      <c r="AK37" s="37">
        <f t="shared" si="8"/>
        <v>67</v>
      </c>
      <c r="AL37" s="39">
        <f t="shared" si="9"/>
        <v>1.095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/>
      <c r="J38" s="26"/>
      <c r="K38" s="26"/>
      <c r="L38" s="26"/>
      <c r="M38" s="62"/>
      <c r="N38" s="27">
        <f t="shared" si="0"/>
        <v>0</v>
      </c>
      <c r="O38" s="28">
        <v>1</v>
      </c>
      <c r="P38" s="29"/>
      <c r="Q38" s="30"/>
      <c r="R38" s="30"/>
      <c r="S38" s="30"/>
      <c r="T38" s="31"/>
      <c r="U38" s="32">
        <f t="shared" si="1"/>
        <v>0</v>
      </c>
      <c r="V38" s="68">
        <f t="shared" si="2"/>
        <v>0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2</v>
      </c>
      <c r="AI38" s="38">
        <v>65</v>
      </c>
      <c r="AJ38" s="30">
        <f t="shared" si="7"/>
        <v>67</v>
      </c>
      <c r="AK38" s="37">
        <f t="shared" si="8"/>
        <v>67</v>
      </c>
      <c r="AL38" s="39">
        <f t="shared" si="9"/>
        <v>1.095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/>
      <c r="J39" s="26"/>
      <c r="K39" s="26"/>
      <c r="L39" s="26"/>
      <c r="M39" s="62"/>
      <c r="N39" s="27">
        <f t="shared" si="0"/>
        <v>0</v>
      </c>
      <c r="O39" s="28">
        <v>1</v>
      </c>
      <c r="P39" s="29"/>
      <c r="Q39" s="30"/>
      <c r="R39" s="30"/>
      <c r="S39" s="30"/>
      <c r="T39" s="31"/>
      <c r="U39" s="32">
        <f t="shared" si="1"/>
        <v>0</v>
      </c>
      <c r="V39" s="68">
        <f t="shared" si="2"/>
        <v>0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2</v>
      </c>
      <c r="AI39" s="38">
        <v>65</v>
      </c>
      <c r="AJ39" s="30">
        <f t="shared" si="7"/>
        <v>67</v>
      </c>
      <c r="AK39" s="37">
        <f t="shared" si="8"/>
        <v>67</v>
      </c>
      <c r="AL39" s="39">
        <f t="shared" si="9"/>
        <v>1.095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 t="s">
        <v>456</v>
      </c>
      <c r="D40" s="49"/>
      <c r="E40" s="49"/>
      <c r="F40" s="49"/>
      <c r="G40" s="53"/>
      <c r="H40" s="64"/>
      <c r="I40" s="25"/>
      <c r="J40" s="26"/>
      <c r="K40" s="26"/>
      <c r="L40" s="26"/>
      <c r="M40" s="62"/>
      <c r="N40" s="27">
        <f t="shared" si="0"/>
        <v>0</v>
      </c>
      <c r="O40" s="28">
        <v>1</v>
      </c>
      <c r="P40" s="29"/>
      <c r="Q40" s="30"/>
      <c r="R40" s="30"/>
      <c r="S40" s="30"/>
      <c r="T40" s="31"/>
      <c r="U40" s="32">
        <f t="shared" si="1"/>
        <v>0</v>
      </c>
      <c r="V40" s="68">
        <f t="shared" si="2"/>
        <v>0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2</v>
      </c>
      <c r="AI40" s="38">
        <v>65</v>
      </c>
      <c r="AJ40" s="30">
        <f t="shared" si="7"/>
        <v>67</v>
      </c>
      <c r="AK40" s="37">
        <f t="shared" si="8"/>
        <v>67</v>
      </c>
      <c r="AL40" s="39">
        <f t="shared" si="9"/>
        <v>1.095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 t="s">
        <v>448</v>
      </c>
      <c r="E41" s="49"/>
      <c r="F41" s="49"/>
      <c r="G41" s="53"/>
      <c r="H41" s="64"/>
      <c r="I41" s="25"/>
      <c r="J41" s="26"/>
      <c r="K41" s="26"/>
      <c r="L41" s="26"/>
      <c r="M41" s="62"/>
      <c r="N41" s="27">
        <f t="shared" si="0"/>
        <v>0</v>
      </c>
      <c r="O41" s="28">
        <v>1</v>
      </c>
      <c r="P41" s="29"/>
      <c r="Q41" s="30"/>
      <c r="R41" s="30"/>
      <c r="S41" s="30"/>
      <c r="T41" s="31"/>
      <c r="U41" s="32">
        <f t="shared" si="1"/>
        <v>0</v>
      </c>
      <c r="V41" s="68">
        <f t="shared" si="2"/>
        <v>0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2</v>
      </c>
      <c r="AI41" s="38">
        <v>65</v>
      </c>
      <c r="AJ41" s="30">
        <f t="shared" si="7"/>
        <v>67</v>
      </c>
      <c r="AK41" s="37">
        <f t="shared" si="8"/>
        <v>67</v>
      </c>
      <c r="AL41" s="39">
        <f t="shared" si="9"/>
        <v>1.095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163" t="s">
        <v>449</v>
      </c>
      <c r="D42" s="163" t="s">
        <v>436</v>
      </c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54">
    <mergeCell ref="A30:H30"/>
    <mergeCell ref="A32:H32"/>
    <mergeCell ref="A34:H34"/>
    <mergeCell ref="A36:H36"/>
    <mergeCell ref="A18:H18"/>
    <mergeCell ref="A20:H20"/>
    <mergeCell ref="A22:H22"/>
    <mergeCell ref="A24:H24"/>
    <mergeCell ref="A26:H26"/>
    <mergeCell ref="A28:H28"/>
    <mergeCell ref="A16:H16"/>
    <mergeCell ref="AS3:AS4"/>
    <mergeCell ref="AT3:AT4"/>
    <mergeCell ref="AU3:AU4"/>
    <mergeCell ref="AV3:AV4"/>
    <mergeCell ref="A6:H6"/>
    <mergeCell ref="A8:H8"/>
    <mergeCell ref="A10:H10"/>
    <mergeCell ref="A12:H12"/>
    <mergeCell ref="A14:H14"/>
    <mergeCell ref="AW3:AW4"/>
    <mergeCell ref="AX3:AX4"/>
    <mergeCell ref="AM3:AM4"/>
    <mergeCell ref="AN3:AN4"/>
    <mergeCell ref="AO3:AO4"/>
    <mergeCell ref="AP3:AP4"/>
    <mergeCell ref="AQ3:AQ4"/>
    <mergeCell ref="AR3:AR4"/>
    <mergeCell ref="AS2:AT2"/>
    <mergeCell ref="A3:A4"/>
    <mergeCell ref="B3:B4"/>
    <mergeCell ref="C3:H3"/>
    <mergeCell ref="I3:M3"/>
    <mergeCell ref="N3:N4"/>
    <mergeCell ref="O3:O4"/>
    <mergeCell ref="P3:U3"/>
    <mergeCell ref="W3:AE3"/>
    <mergeCell ref="AL3:AL4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0000"/>
  </sheetPr>
  <dimension ref="A1:AX138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bestFit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4678177000</v>
      </c>
      <c r="E1" s="340"/>
      <c r="F1" s="339"/>
      <c r="G1" s="340"/>
      <c r="H1" s="66" t="s">
        <v>108</v>
      </c>
      <c r="I1" s="341">
        <v>5145064000</v>
      </c>
      <c r="J1" s="341"/>
      <c r="K1" s="183" t="s">
        <v>486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180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4813040000</v>
      </c>
      <c r="E2" s="328"/>
      <c r="F2" s="329"/>
      <c r="G2" s="330"/>
      <c r="H2" s="3" t="s">
        <v>28</v>
      </c>
      <c r="I2" s="331">
        <f>D2*1</f>
        <v>4813040000</v>
      </c>
      <c r="J2" s="329"/>
      <c r="K2" s="129" t="s">
        <v>114</v>
      </c>
      <c r="L2" s="130" t="s">
        <v>115</v>
      </c>
      <c r="M2" s="332">
        <v>45952.423611111109</v>
      </c>
      <c r="N2" s="332"/>
      <c r="O2" s="332"/>
      <c r="P2" s="332"/>
      <c r="Q2" s="131" t="s">
        <v>471</v>
      </c>
      <c r="R2" s="131"/>
      <c r="S2" s="131"/>
      <c r="T2" s="94"/>
      <c r="U2" s="132"/>
      <c r="V2" s="132"/>
      <c r="W2" s="133"/>
      <c r="X2" s="134"/>
      <c r="Y2" s="333">
        <v>4228600000</v>
      </c>
      <c r="Z2" s="333"/>
      <c r="AA2" s="334">
        <f>I1</f>
        <v>5145064000</v>
      </c>
      <c r="AB2" s="335"/>
      <c r="AC2" s="336"/>
      <c r="AD2" s="337">
        <f>TRUNC(Y2/AA2,4)</f>
        <v>0.82179999999999997</v>
      </c>
      <c r="AE2" s="338"/>
      <c r="AF2" s="135"/>
      <c r="AG2" s="322" t="s">
        <v>116</v>
      </c>
      <c r="AH2" s="323"/>
      <c r="AI2" s="324">
        <v>4678177000</v>
      </c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39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237"/>
      <c r="AG3" s="237"/>
      <c r="AH3" s="237"/>
      <c r="AI3" s="237"/>
      <c r="AJ3" s="237"/>
      <c r="AK3" s="238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239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473</v>
      </c>
      <c r="D5" s="50" t="s">
        <v>472</v>
      </c>
      <c r="E5" s="54"/>
      <c r="F5" s="52"/>
      <c r="G5" s="53"/>
      <c r="H5" s="191" t="s">
        <v>474</v>
      </c>
      <c r="I5" s="79">
        <v>0.7</v>
      </c>
      <c r="J5" s="193">
        <v>0.16450000000000001</v>
      </c>
      <c r="K5" s="26"/>
      <c r="L5" s="120"/>
      <c r="M5" s="99"/>
      <c r="N5" s="121">
        <f>SUM(I5:M5)</f>
        <v>0.86449999999999994</v>
      </c>
      <c r="O5" s="122">
        <v>1</v>
      </c>
      <c r="P5" s="80">
        <v>15</v>
      </c>
      <c r="Q5" s="181">
        <v>15</v>
      </c>
      <c r="R5" s="80"/>
      <c r="S5" s="126"/>
      <c r="T5" s="100"/>
      <c r="U5" s="196">
        <f>ROUND(((P5*I5)+(Q5*J5)+(R5*K5)+(S5*L5)+(T5*M5))*O5,2)</f>
        <v>12.97</v>
      </c>
      <c r="V5" s="101">
        <f>IF(U5&gt;=15,15,U5)</f>
        <v>12.97</v>
      </c>
      <c r="W5" s="33">
        <v>21672377000</v>
      </c>
      <c r="X5" s="184">
        <v>990389000</v>
      </c>
      <c r="Y5" s="33"/>
      <c r="Z5" s="90"/>
      <c r="AA5" s="102"/>
      <c r="AB5" s="124">
        <f>ROUND((((W5*I5)+(X5*J5)+(Y5*K5)+(Z5*L5)+(AA5*M5))/$I$2),2)*13</f>
        <v>41.47</v>
      </c>
      <c r="AC5" s="125">
        <f>IF(AB5&gt;=13,13,AB5)</f>
        <v>13</v>
      </c>
      <c r="AD5" s="192">
        <v>0</v>
      </c>
      <c r="AE5" s="123">
        <f>IF((AC5+AD5)&gt;=15,15,(AC5+AD5))</f>
        <v>13</v>
      </c>
      <c r="AF5" s="113">
        <f>1.5*I5</f>
        <v>1.0499999999999998</v>
      </c>
      <c r="AG5" s="114">
        <v>4.76</v>
      </c>
      <c r="AH5" s="115">
        <f>IF((V5+AE5+AF5)&gt;=30,30,(V5+AE5+AF5))</f>
        <v>27.02</v>
      </c>
      <c r="AI5" s="116">
        <v>65</v>
      </c>
      <c r="AJ5" s="44">
        <f>V5+AE5+AF5+AI5+AG5</f>
        <v>96.78</v>
      </c>
      <c r="AK5" s="115">
        <f>IF(AH5+AI5+AG5&gt;=95,95,AH5+AI5+AG5)</f>
        <v>95</v>
      </c>
      <c r="AL5" s="108">
        <f>-((50-((176+(45+(50-AH5)))))/200)</f>
        <v>0.9699000000000001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73.482499999999987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485</v>
      </c>
      <c r="D7" s="50" t="s">
        <v>483</v>
      </c>
      <c r="E7" s="52" t="s">
        <v>481</v>
      </c>
      <c r="F7" s="52"/>
      <c r="G7" s="85"/>
      <c r="H7" s="146" t="s">
        <v>484</v>
      </c>
      <c r="I7" s="79">
        <v>0.4</v>
      </c>
      <c r="J7" s="193">
        <v>0.22989999999999999</v>
      </c>
      <c r="K7" s="106">
        <v>0.3</v>
      </c>
      <c r="L7" s="77"/>
      <c r="M7" s="78"/>
      <c r="N7" s="27">
        <f>SUM(I7:M7)</f>
        <v>0.92989999999999995</v>
      </c>
      <c r="O7" s="28">
        <v>1</v>
      </c>
      <c r="P7" s="80">
        <v>15</v>
      </c>
      <c r="Q7" s="181">
        <v>15</v>
      </c>
      <c r="R7" s="80">
        <v>15</v>
      </c>
      <c r="S7" s="30"/>
      <c r="T7" s="89"/>
      <c r="U7" s="195">
        <f>ROUND(((P7*I7)+(Q7*J7)+(R7*K7)+(S7*L7)+(T7*M7))*O7,2)</f>
        <v>13.95</v>
      </c>
      <c r="V7" s="68">
        <f>IF(U7&gt;=15,15,U7)</f>
        <v>13.95</v>
      </c>
      <c r="W7" s="33">
        <v>6358933000</v>
      </c>
      <c r="X7" s="33">
        <v>555573000</v>
      </c>
      <c r="Y7" s="33">
        <v>7643696000</v>
      </c>
      <c r="Z7" s="45"/>
      <c r="AA7" s="35"/>
      <c r="AB7" s="36">
        <f>ROUND((((W7*I7)+(X7*J7)+(Y7*K7)+(Z7*L7)+(AA7*M7))/$I$2),2)*13</f>
        <v>13.39</v>
      </c>
      <c r="AC7" s="68">
        <f>IF(AB7&gt;=13,13,AB7)</f>
        <v>13</v>
      </c>
      <c r="AD7" s="192">
        <v>0</v>
      </c>
      <c r="AE7" s="32">
        <f>IF((AC7+AD7)&gt;=15,15,(AC7+AD7))</f>
        <v>13</v>
      </c>
      <c r="AF7" s="113"/>
      <c r="AG7" s="114">
        <v>4.76</v>
      </c>
      <c r="AH7" s="37">
        <f>IF((V7+AE7+AF7)&gt;=30,30,(V7+AE7+AF7))</f>
        <v>26.95</v>
      </c>
      <c r="AI7" s="38">
        <v>65</v>
      </c>
      <c r="AJ7" s="30">
        <f>V7+AE7+AF7+AI7+AG7</f>
        <v>96.710000000000008</v>
      </c>
      <c r="AK7" s="37">
        <f>IF(AH7+AI7+AG7&gt;=95,95,AH7+AI7+AG7)</f>
        <v>95</v>
      </c>
      <c r="AL7" s="39">
        <f>-((50-((176+(45+(50-AH7)))))/200)</f>
        <v>0.97025000000000006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>
        <v>85</v>
      </c>
      <c r="L8" s="104"/>
      <c r="M8" s="104"/>
      <c r="N8" s="107">
        <f>I8*I7+J8*J7+K8*K7+L8*L7+M8*M7</f>
        <v>79.041499999999999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2" t="s">
        <v>61</v>
      </c>
      <c r="D9" s="50" t="s">
        <v>479</v>
      </c>
      <c r="E9" s="54"/>
      <c r="F9" s="52"/>
      <c r="G9" s="53"/>
      <c r="H9" s="140" t="s">
        <v>482</v>
      </c>
      <c r="I9" s="79">
        <v>0.7</v>
      </c>
      <c r="J9" s="193">
        <v>0.2097</v>
      </c>
      <c r="K9" s="26"/>
      <c r="L9" s="26"/>
      <c r="M9" s="78"/>
      <c r="N9" s="27">
        <f>SUM(I9:M9)</f>
        <v>0.90969999999999995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13.65</v>
      </c>
      <c r="V9" s="68">
        <f>IF(U9&gt;=15,15,U9)</f>
        <v>13.65</v>
      </c>
      <c r="W9" s="33">
        <v>11716746000</v>
      </c>
      <c r="X9" s="33">
        <v>607126000</v>
      </c>
      <c r="Y9" s="33"/>
      <c r="Z9" s="33"/>
      <c r="AA9" s="35"/>
      <c r="AB9" s="36">
        <f>ROUND((((W9*I9)+(X9*J9)+(Y9*K9)+(Z9*L9)+(AA9*M9))/$I$2),2)*13</f>
        <v>22.49</v>
      </c>
      <c r="AC9" s="68">
        <f>IF(AB9&gt;=13,13,AB9)</f>
        <v>13</v>
      </c>
      <c r="AD9" s="192">
        <v>0</v>
      </c>
      <c r="AE9" s="32">
        <f>IF((AC9+AD9)&gt;=15,15,(AC9+AD9))</f>
        <v>13</v>
      </c>
      <c r="AF9" s="61"/>
      <c r="AG9" s="114">
        <v>4.76</v>
      </c>
      <c r="AH9" s="37">
        <f>IF((V9+AE9+AF9)&gt;=30,30,(V9+AE9+AF9))</f>
        <v>26.65</v>
      </c>
      <c r="AI9" s="38">
        <v>65</v>
      </c>
      <c r="AJ9" s="30">
        <f>V9+AE9+AF9+AI9+AG9</f>
        <v>96.410000000000011</v>
      </c>
      <c r="AK9" s="37">
        <f>IF(AH9+AI9+AG9&gt;=95,95,AH9+AI9+AG9)</f>
        <v>95</v>
      </c>
      <c r="AL9" s="39">
        <f>-((50-((176+(45+(50-AH9)))))/200)</f>
        <v>0.97175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/>
      <c r="L10" s="104"/>
      <c r="M10" s="104"/>
      <c r="N10" s="107">
        <f>I10*I9+J10*J9+K10*K9+L10*L9+M10*M9</f>
        <v>77.3245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2" t="s">
        <v>476</v>
      </c>
      <c r="D11" s="50" t="s">
        <v>477</v>
      </c>
      <c r="E11" s="54"/>
      <c r="F11" s="52"/>
      <c r="G11" s="53"/>
      <c r="H11" s="140"/>
      <c r="I11" s="105">
        <v>0.7</v>
      </c>
      <c r="J11" s="106">
        <v>0.3</v>
      </c>
      <c r="K11" s="26"/>
      <c r="L11" s="106"/>
      <c r="M11" s="78"/>
      <c r="N11" s="27">
        <f t="shared" ref="N11:N44" si="0">SUM(I11:M11)</f>
        <v>1</v>
      </c>
      <c r="O11" s="28">
        <v>1</v>
      </c>
      <c r="P11" s="80">
        <v>15</v>
      </c>
      <c r="Q11" s="80">
        <v>15</v>
      </c>
      <c r="R11" s="56"/>
      <c r="S11" s="30"/>
      <c r="T11" s="89"/>
      <c r="U11" s="32">
        <f t="shared" ref="U11:U76" si="1">ROUND(((P11*I11)+(Q11*J11)+(R11*K11)+(S11*L11)+(T11*M11))*O11,2)</f>
        <v>15</v>
      </c>
      <c r="V11" s="68">
        <f t="shared" ref="V11:V76" si="2">IF(U11&gt;=15,15,U11)</f>
        <v>15</v>
      </c>
      <c r="W11" s="33">
        <v>7038779000</v>
      </c>
      <c r="X11" s="33">
        <v>1974999000</v>
      </c>
      <c r="Y11" s="33"/>
      <c r="Z11" s="33"/>
      <c r="AA11" s="35"/>
      <c r="AB11" s="36">
        <f t="shared" ref="AB11:AB76" si="3">ROUND((((W11*I11)+(X11*J11)+(Y11*K11)+(Z11*L11)+(AA11*M11))/$I$2),2)*13</f>
        <v>14.95</v>
      </c>
      <c r="AC11" s="68">
        <f t="shared" ref="AC11:AC76" si="4">IF(AB11&gt;=13,13,AB11)</f>
        <v>13</v>
      </c>
      <c r="AD11" s="192">
        <v>1.5</v>
      </c>
      <c r="AE11" s="32">
        <f t="shared" ref="AE11:AE76" si="5">IF((AC11+AD11)&gt;=15,15,(AC11+AD11))</f>
        <v>14.5</v>
      </c>
      <c r="AF11" s="61"/>
      <c r="AG11" s="114">
        <v>4.76</v>
      </c>
      <c r="AH11" s="37">
        <f t="shared" ref="AH11:AH76" si="6">IF((V11+AE11+AF11)&gt;=30,30,(V11+AE11+AF11))</f>
        <v>29.5</v>
      </c>
      <c r="AI11" s="38">
        <v>65</v>
      </c>
      <c r="AJ11" s="30">
        <f t="shared" ref="AJ11:AJ76" si="7">V11+AE11+AF11+AI11+AG11</f>
        <v>99.26</v>
      </c>
      <c r="AK11" s="37">
        <f t="shared" ref="AK11:AK76" si="8">IF(AH11+AI11+AG11&gt;=95,95,AH11+AI11+AG11)</f>
        <v>95</v>
      </c>
      <c r="AL11" s="39">
        <f t="shared" ref="AL11:AL76" si="9">-((50-((176+(45+(50-AH11)))))/200)</f>
        <v>0.95750000000000002</v>
      </c>
      <c r="AM11" s="40"/>
      <c r="AN11" s="41">
        <f t="shared" ref="AN11:AO32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6" si="11">AR11+AS11+AT11+AU11+AV11</f>
        <v>0</v>
      </c>
      <c r="AX11" s="71">
        <f t="shared" ref="AX11:AX76" si="12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185">
        <v>85</v>
      </c>
      <c r="J12" s="104">
        <v>85</v>
      </c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194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76"/>
      <c r="C13" s="52"/>
      <c r="D13" s="50"/>
      <c r="E13" s="54"/>
      <c r="F13" s="54"/>
      <c r="G13" s="53"/>
      <c r="H13" s="140"/>
      <c r="I13" s="79"/>
      <c r="J13" s="106"/>
      <c r="K13" s="26"/>
      <c r="L13" s="77"/>
      <c r="M13" s="78"/>
      <c r="N13" s="27">
        <f t="shared" si="0"/>
        <v>0</v>
      </c>
      <c r="O13" s="198">
        <v>1</v>
      </c>
      <c r="P13" s="80">
        <v>15</v>
      </c>
      <c r="Q13" s="80">
        <v>15</v>
      </c>
      <c r="R13" s="80"/>
      <c r="S13" s="31"/>
      <c r="T13" s="89"/>
      <c r="U13" s="32">
        <f t="shared" si="1"/>
        <v>0</v>
      </c>
      <c r="V13" s="68">
        <f t="shared" si="2"/>
        <v>0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192">
        <v>0</v>
      </c>
      <c r="AE13" s="32">
        <f t="shared" si="5"/>
        <v>0</v>
      </c>
      <c r="AF13" s="61"/>
      <c r="AG13" s="114">
        <v>4.76</v>
      </c>
      <c r="AH13" s="37">
        <f t="shared" si="6"/>
        <v>0</v>
      </c>
      <c r="AI13" s="38">
        <v>65</v>
      </c>
      <c r="AJ13" s="30">
        <f t="shared" si="7"/>
        <v>69.760000000000005</v>
      </c>
      <c r="AK13" s="37">
        <f t="shared" si="8"/>
        <v>69.760000000000005</v>
      </c>
      <c r="AL13" s="39">
        <f t="shared" si="9"/>
        <v>1.105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185">
        <v>85</v>
      </c>
      <c r="J14" s="104">
        <v>85</v>
      </c>
      <c r="K14" s="104"/>
      <c r="L14" s="104"/>
      <c r="M14" s="104"/>
      <c r="N14" s="107">
        <f>I14*I13+J14*J13+K14*K13+L14*L13+M14*M13</f>
        <v>0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52"/>
      <c r="D15" s="50"/>
      <c r="E15" s="54"/>
      <c r="F15" s="49"/>
      <c r="G15" s="53"/>
      <c r="H15" s="140"/>
      <c r="I15" s="79"/>
      <c r="J15" s="106"/>
      <c r="K15" s="26"/>
      <c r="L15" s="77"/>
      <c r="M15" s="78"/>
      <c r="N15" s="27">
        <f t="shared" si="0"/>
        <v>0</v>
      </c>
      <c r="O15" s="197">
        <v>1.1000000000000001</v>
      </c>
      <c r="P15" s="80">
        <v>15</v>
      </c>
      <c r="Q15" s="154">
        <v>14.9</v>
      </c>
      <c r="R15" s="80"/>
      <c r="S15" s="31"/>
      <c r="T15" s="89"/>
      <c r="U15" s="32">
        <f t="shared" si="1"/>
        <v>0</v>
      </c>
      <c r="V15" s="68">
        <f t="shared" si="2"/>
        <v>0</v>
      </c>
      <c r="W15" s="33">
        <v>11716746000</v>
      </c>
      <c r="X15" s="33">
        <v>555573000</v>
      </c>
      <c r="Y15" s="34"/>
      <c r="Z15" s="45"/>
      <c r="AA15" s="35"/>
      <c r="AB15" s="36">
        <f t="shared" si="3"/>
        <v>0</v>
      </c>
      <c r="AC15" s="68">
        <f t="shared" si="4"/>
        <v>0</v>
      </c>
      <c r="AD15" s="192">
        <v>0</v>
      </c>
      <c r="AE15" s="32">
        <f t="shared" si="5"/>
        <v>0</v>
      </c>
      <c r="AF15" s="61"/>
      <c r="AG15" s="114">
        <v>4.76</v>
      </c>
      <c r="AH15" s="37">
        <f t="shared" si="6"/>
        <v>0</v>
      </c>
      <c r="AI15" s="38">
        <v>65</v>
      </c>
      <c r="AJ15" s="30">
        <f t="shared" si="7"/>
        <v>69.760000000000005</v>
      </c>
      <c r="AK15" s="37">
        <f t="shared" si="8"/>
        <v>69.760000000000005</v>
      </c>
      <c r="AL15" s="39">
        <f t="shared" si="9"/>
        <v>1.105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163</v>
      </c>
      <c r="B16" s="364"/>
      <c r="C16" s="364"/>
      <c r="D16" s="364"/>
      <c r="E16" s="364"/>
      <c r="F16" s="364"/>
      <c r="G16" s="364"/>
      <c r="H16" s="365"/>
      <c r="I16" s="185">
        <v>85</v>
      </c>
      <c r="J16" s="104">
        <v>85</v>
      </c>
      <c r="K16" s="104">
        <v>85</v>
      </c>
      <c r="L16" s="104"/>
      <c r="M16" s="104"/>
      <c r="N16" s="107">
        <f>I16*I15+J16*J15+K16*K15+L16*L15+M16*M15</f>
        <v>0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23"/>
      <c r="C17" s="52"/>
      <c r="D17" s="50"/>
      <c r="E17" s="186"/>
      <c r="F17" s="186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33"/>
      <c r="X17" s="33"/>
      <c r="Y17" s="33"/>
      <c r="Z17" s="45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114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76"/>
      <c r="C18" s="52" t="s">
        <v>61</v>
      </c>
      <c r="D18" s="52"/>
      <c r="E18" s="186"/>
      <c r="F18" s="49"/>
      <c r="G18" s="53"/>
      <c r="H18" s="64"/>
      <c r="I18" s="79">
        <v>0.51</v>
      </c>
      <c r="J18" s="26">
        <v>0.49</v>
      </c>
      <c r="K18" s="26"/>
      <c r="L18" s="77"/>
      <c r="M18" s="78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1"/>
      <c r="T18" s="89"/>
      <c r="U18" s="32">
        <f t="shared" si="1"/>
        <v>15</v>
      </c>
      <c r="V18" s="68">
        <f t="shared" si="2"/>
        <v>15</v>
      </c>
      <c r="W18" s="34"/>
      <c r="X18" s="34"/>
      <c r="Y18" s="34"/>
      <c r="Z18" s="45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114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76"/>
      <c r="C19" s="52" t="s">
        <v>480</v>
      </c>
      <c r="D19" s="50" t="s">
        <v>475</v>
      </c>
      <c r="E19" s="186"/>
      <c r="F19" s="186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0"/>
      <c r="T19" s="31"/>
      <c r="U19" s="32">
        <f t="shared" si="1"/>
        <v>15</v>
      </c>
      <c r="V19" s="68">
        <f t="shared" si="2"/>
        <v>15</v>
      </c>
      <c r="W19" s="84"/>
      <c r="X19" s="58"/>
      <c r="Y19" s="57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0" t="s">
        <v>478</v>
      </c>
      <c r="D20" s="49"/>
      <c r="E20" s="49"/>
      <c r="F20" s="186"/>
      <c r="G20" s="53"/>
      <c r="H20" s="64"/>
      <c r="I20" s="79">
        <v>0.51</v>
      </c>
      <c r="J20" s="26">
        <v>0.49</v>
      </c>
      <c r="K20" s="83"/>
      <c r="L20" s="26"/>
      <c r="M20" s="62"/>
      <c r="N20" s="27">
        <f t="shared" si="0"/>
        <v>1</v>
      </c>
      <c r="O20" s="28">
        <v>1</v>
      </c>
      <c r="P20" s="80">
        <v>15</v>
      </c>
      <c r="Q20" s="80">
        <v>15</v>
      </c>
      <c r="R20" s="81"/>
      <c r="S20" s="30"/>
      <c r="T20" s="31"/>
      <c r="U20" s="32">
        <f t="shared" si="1"/>
        <v>15</v>
      </c>
      <c r="V20" s="68">
        <f t="shared" si="2"/>
        <v>15</v>
      </c>
      <c r="W20" s="82"/>
      <c r="X20" s="33"/>
      <c r="Y20" s="33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52"/>
      <c r="C21" s="52"/>
      <c r="D21" s="52"/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30"/>
      <c r="S21" s="30"/>
      <c r="T21" s="31"/>
      <c r="U21" s="32">
        <f t="shared" si="1"/>
        <v>15</v>
      </c>
      <c r="V21" s="68">
        <f t="shared" si="2"/>
        <v>15</v>
      </c>
      <c r="W21" s="82"/>
      <c r="X21" s="34"/>
      <c r="Y21" s="33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22"/>
      <c r="B22" s="52"/>
      <c r="C22" s="52"/>
      <c r="D22" s="52"/>
      <c r="E22" s="52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82"/>
      <c r="X22" s="34"/>
      <c r="Y22" s="34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22"/>
      <c r="B23" s="23"/>
      <c r="C23" s="49"/>
      <c r="D23" s="52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56"/>
      <c r="S23" s="30"/>
      <c r="T23" s="31"/>
      <c r="U23" s="32">
        <f t="shared" si="1"/>
        <v>15</v>
      </c>
      <c r="V23" s="68">
        <f t="shared" si="2"/>
        <v>15</v>
      </c>
      <c r="W23" s="75"/>
      <c r="X23" s="33"/>
      <c r="Y23" s="34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ref="AN33:AO52" si="13">100%+AM33</f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ref="N45:N108" si="14">SUM(I45:M45)</f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ref="AN53:AO72" si="15">100%+AM53</f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ref="AN73:AO92" si="16">100%+AM73</f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ref="U77:U138" si="17">ROUND(((P77*I77)+(Q77*J77)+(R77*K77)+(S77*L77)+(T77*M77))*O77,2)</f>
        <v>15</v>
      </c>
      <c r="V77" s="68">
        <f t="shared" ref="V77:V138" si="18">IF(U77&gt;=15,15,U77)</f>
        <v>15</v>
      </c>
      <c r="W77" s="57"/>
      <c r="X77" s="60"/>
      <c r="Y77" s="45"/>
      <c r="Z77" s="48"/>
      <c r="AA77" s="35"/>
      <c r="AB77" s="36">
        <f t="shared" ref="AB77:AB138" si="19">ROUND((((W77*I77)+(X77*J77)+(Y77*K77)+(Z77*L77)+(AA77*M77))/$I$2),2)*13</f>
        <v>0</v>
      </c>
      <c r="AC77" s="68">
        <f t="shared" ref="AC77:AC138" si="20">IF(AB77&gt;=13,13,AB77)</f>
        <v>0</v>
      </c>
      <c r="AD77" s="63">
        <v>2</v>
      </c>
      <c r="AE77" s="32">
        <f t="shared" ref="AE77:AE138" si="21">IF((AC77+AD77)&gt;=15,15,(AC77+AD77))</f>
        <v>2</v>
      </c>
      <c r="AF77" s="56"/>
      <c r="AG77" s="56"/>
      <c r="AH77" s="37">
        <f t="shared" ref="AH77:AH138" si="22">IF((V77+AE77+AF77)&gt;=30,30,(V77+AE77+AF77))</f>
        <v>17</v>
      </c>
      <c r="AI77" s="38">
        <v>65</v>
      </c>
      <c r="AJ77" s="30">
        <f t="shared" ref="AJ77:AJ138" si="23">V77+AE77+AF77+AI77+AG77</f>
        <v>82</v>
      </c>
      <c r="AK77" s="37">
        <f t="shared" ref="AK77:AK138" si="24">IF(AH77+AI77+AG77&gt;=95,95,AH77+AI77+AG77)</f>
        <v>82</v>
      </c>
      <c r="AL77" s="39">
        <f t="shared" ref="AL77:AL138" si="25">-((50-((176+(45+(50-AH77)))))/200)</f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ref="AW77:AW138" si="26">AR77+AS77+AT77+AU77+AV77</f>
        <v>0</v>
      </c>
      <c r="AX77" s="71">
        <f t="shared" ref="AX77:AX138" si="27">(AR77*I77)+(AS77*J77)+(AT77*K77)+(AU77*L77)+(AV77*M77)</f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ref="AN93:AO112" si="28">100%+AM93</f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12" customFormat="1" ht="64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47.2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ref="N109:N138" si="29">SUM(I109:M109)</f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57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12" customFormat="1" ht="47.2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ref="AN113:AO132" si="30">100%+AM113</f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53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1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ref="AN133:AO138" si="31">100%+AM133</f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</sheetData>
  <mergeCells count="46"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AM3:AM4"/>
    <mergeCell ref="AN3:AN4"/>
    <mergeCell ref="AO3:AO4"/>
    <mergeCell ref="AP3:AP4"/>
    <mergeCell ref="AG2:AH2"/>
    <mergeCell ref="AI2:AK2"/>
    <mergeCell ref="A14:H14"/>
    <mergeCell ref="A16:H16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7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10.109375" style="1" bestFit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489</v>
      </c>
      <c r="D1" s="339">
        <v>3241780000</v>
      </c>
      <c r="E1" s="340"/>
      <c r="F1" s="339"/>
      <c r="G1" s="340"/>
      <c r="H1" s="66" t="s">
        <v>490</v>
      </c>
      <c r="I1" s="341">
        <v>5499824000</v>
      </c>
      <c r="J1" s="341"/>
      <c r="K1" s="142" t="s">
        <v>584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491</v>
      </c>
      <c r="Z1" s="342"/>
      <c r="AA1" s="343" t="s">
        <v>492</v>
      </c>
      <c r="AB1" s="344"/>
      <c r="AC1" s="345"/>
      <c r="AD1" s="346" t="s">
        <v>32</v>
      </c>
      <c r="AE1" s="347"/>
      <c r="AF1" s="55"/>
      <c r="AG1" s="322" t="s">
        <v>493</v>
      </c>
      <c r="AH1" s="323"/>
      <c r="AI1" s="324">
        <v>3241780000</v>
      </c>
      <c r="AJ1" s="325"/>
      <c r="AK1" s="325"/>
      <c r="AL1" s="69" t="s">
        <v>494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495</v>
      </c>
      <c r="D2" s="327">
        <v>3565958000</v>
      </c>
      <c r="E2" s="328"/>
      <c r="F2" s="329"/>
      <c r="G2" s="330"/>
      <c r="H2" s="3" t="s">
        <v>496</v>
      </c>
      <c r="I2" s="331">
        <f>D2*1</f>
        <v>3565958000</v>
      </c>
      <c r="J2" s="329"/>
      <c r="K2" s="129" t="s">
        <v>497</v>
      </c>
      <c r="L2" s="130" t="s">
        <v>498</v>
      </c>
      <c r="M2" s="332">
        <v>45964.708333333336</v>
      </c>
      <c r="N2" s="332"/>
      <c r="O2" s="332"/>
      <c r="P2" s="332"/>
      <c r="Q2" s="131" t="s">
        <v>499</v>
      </c>
      <c r="R2" s="131"/>
      <c r="S2" s="131"/>
      <c r="T2" s="94"/>
      <c r="U2" s="132"/>
      <c r="V2" s="132"/>
      <c r="W2" s="133"/>
      <c r="X2" s="134"/>
      <c r="Y2" s="377">
        <v>1988526000</v>
      </c>
      <c r="Z2" s="377"/>
      <c r="AA2" s="334">
        <f>I1</f>
        <v>5499824000</v>
      </c>
      <c r="AB2" s="335"/>
      <c r="AC2" s="336"/>
      <c r="AD2" s="337">
        <f>TRUNC(Y2/AA2,4)</f>
        <v>0.36149999999999999</v>
      </c>
      <c r="AE2" s="338"/>
      <c r="AF2" s="135"/>
      <c r="AG2" s="322" t="s">
        <v>500</v>
      </c>
      <c r="AH2" s="323"/>
      <c r="AI2" s="324"/>
      <c r="AJ2" s="325"/>
      <c r="AK2" s="325"/>
      <c r="AL2" s="10"/>
      <c r="AM2" s="10"/>
      <c r="AN2" s="11" t="s">
        <v>501</v>
      </c>
      <c r="AP2" s="1"/>
      <c r="AQ2" s="136"/>
      <c r="AR2" s="137" t="s">
        <v>502</v>
      </c>
      <c r="AS2" s="348">
        <f>AI1</f>
        <v>3241780000</v>
      </c>
      <c r="AT2" s="349"/>
      <c r="AW2" s="72"/>
    </row>
    <row r="3" spans="1:50" s="12" customFormat="1" ht="24.95" customHeight="1" thickBot="1" x14ac:dyDescent="0.2">
      <c r="A3" s="350" t="s">
        <v>503</v>
      </c>
      <c r="B3" s="352" t="s">
        <v>504</v>
      </c>
      <c r="C3" s="354" t="s">
        <v>505</v>
      </c>
      <c r="D3" s="355"/>
      <c r="E3" s="355"/>
      <c r="F3" s="355"/>
      <c r="G3" s="355"/>
      <c r="H3" s="356"/>
      <c r="I3" s="354" t="s">
        <v>506</v>
      </c>
      <c r="J3" s="355"/>
      <c r="K3" s="355"/>
      <c r="L3" s="355"/>
      <c r="M3" s="356"/>
      <c r="N3" s="357" t="s">
        <v>507</v>
      </c>
      <c r="O3" s="359" t="s">
        <v>508</v>
      </c>
      <c r="P3" s="354" t="s">
        <v>509</v>
      </c>
      <c r="Q3" s="355"/>
      <c r="R3" s="361"/>
      <c r="S3" s="361"/>
      <c r="T3" s="355"/>
      <c r="U3" s="356"/>
      <c r="V3" s="241"/>
      <c r="W3" s="354" t="s">
        <v>510</v>
      </c>
      <c r="X3" s="355"/>
      <c r="Y3" s="355"/>
      <c r="Z3" s="355"/>
      <c r="AA3" s="355"/>
      <c r="AB3" s="355"/>
      <c r="AC3" s="355"/>
      <c r="AD3" s="355"/>
      <c r="AE3" s="356"/>
      <c r="AF3" s="242"/>
      <c r="AG3" s="242"/>
      <c r="AH3" s="242"/>
      <c r="AI3" s="242"/>
      <c r="AJ3" s="242"/>
      <c r="AK3" s="243"/>
      <c r="AL3" s="370" t="s">
        <v>511</v>
      </c>
      <c r="AM3" s="366" t="s">
        <v>512</v>
      </c>
      <c r="AN3" s="372" t="s">
        <v>513</v>
      </c>
      <c r="AO3" s="374" t="s">
        <v>514</v>
      </c>
      <c r="AP3" s="376" t="s">
        <v>515</v>
      </c>
      <c r="AQ3" s="362" t="s">
        <v>516</v>
      </c>
      <c r="AR3" s="366" t="s">
        <v>517</v>
      </c>
      <c r="AS3" s="362" t="s">
        <v>518</v>
      </c>
      <c r="AT3" s="362" t="s">
        <v>519</v>
      </c>
      <c r="AU3" s="362" t="s">
        <v>520</v>
      </c>
      <c r="AV3" s="368" t="s">
        <v>521</v>
      </c>
      <c r="AW3" s="362" t="s">
        <v>522</v>
      </c>
      <c r="AX3" s="362" t="s">
        <v>523</v>
      </c>
    </row>
    <row r="4" spans="1:50" s="12" customFormat="1" ht="39.75" customHeight="1" thickBot="1" x14ac:dyDescent="0.2">
      <c r="A4" s="351"/>
      <c r="B4" s="353"/>
      <c r="C4" s="13" t="s">
        <v>524</v>
      </c>
      <c r="D4" s="14" t="s">
        <v>525</v>
      </c>
      <c r="E4" s="15" t="s">
        <v>526</v>
      </c>
      <c r="F4" s="15" t="s">
        <v>527</v>
      </c>
      <c r="G4" s="16" t="s">
        <v>528</v>
      </c>
      <c r="H4" s="241"/>
      <c r="I4" s="17" t="s">
        <v>524</v>
      </c>
      <c r="J4" s="18" t="s">
        <v>525</v>
      </c>
      <c r="K4" s="14" t="s">
        <v>529</v>
      </c>
      <c r="L4" s="14" t="s">
        <v>527</v>
      </c>
      <c r="M4" s="19" t="s">
        <v>528</v>
      </c>
      <c r="N4" s="358"/>
      <c r="O4" s="360"/>
      <c r="P4" s="17" t="s">
        <v>524</v>
      </c>
      <c r="Q4" s="18" t="s">
        <v>525</v>
      </c>
      <c r="R4" s="14" t="s">
        <v>529</v>
      </c>
      <c r="S4" s="14" t="s">
        <v>527</v>
      </c>
      <c r="T4" s="19" t="s">
        <v>528</v>
      </c>
      <c r="U4" s="20" t="s">
        <v>530</v>
      </c>
      <c r="V4" s="21" t="s">
        <v>531</v>
      </c>
      <c r="W4" s="97" t="s">
        <v>532</v>
      </c>
      <c r="X4" s="18" t="s">
        <v>525</v>
      </c>
      <c r="Y4" s="18" t="s">
        <v>529</v>
      </c>
      <c r="Z4" s="18" t="s">
        <v>527</v>
      </c>
      <c r="AA4" s="19" t="s">
        <v>528</v>
      </c>
      <c r="AB4" s="65" t="s">
        <v>533</v>
      </c>
      <c r="AC4" s="127" t="s">
        <v>534</v>
      </c>
      <c r="AD4" s="128" t="s">
        <v>535</v>
      </c>
      <c r="AE4" s="128" t="s">
        <v>536</v>
      </c>
      <c r="AF4" s="117" t="s">
        <v>537</v>
      </c>
      <c r="AG4" s="117" t="s">
        <v>538</v>
      </c>
      <c r="AH4" s="118" t="s">
        <v>539</v>
      </c>
      <c r="AI4" s="119" t="s">
        <v>540</v>
      </c>
      <c r="AJ4" s="119"/>
      <c r="AK4" s="119" t="s">
        <v>541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/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59183685000</v>
      </c>
      <c r="X5" s="92"/>
      <c r="Y5" s="33"/>
      <c r="Z5" s="90"/>
      <c r="AA5" s="102"/>
      <c r="AB5" s="124">
        <f>ROUND((((W5*I5)+(X5*J5)+(Y5*K5)+(Z5*L5)+(AA5*M5))/$I$2),2)*13</f>
        <v>215.8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>
        <v>4.4800000000000004</v>
      </c>
      <c r="AH5" s="115">
        <f>IF((V5+AE5+AF5)&gt;=30,30,(V5+AE5+AF5))</f>
        <v>30</v>
      </c>
      <c r="AI5" s="116">
        <v>65</v>
      </c>
      <c r="AJ5" s="44">
        <f>V5+AE5+AF5+AI5+AG5</f>
        <v>99.48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542</v>
      </c>
      <c r="B6" s="364"/>
      <c r="C6" s="364"/>
      <c r="D6" s="364"/>
      <c r="E6" s="364"/>
      <c r="F6" s="364"/>
      <c r="G6" s="364"/>
      <c r="H6" s="365"/>
      <c r="I6" s="145">
        <v>93.38</v>
      </c>
      <c r="J6" s="104"/>
      <c r="K6" s="104"/>
      <c r="L6" s="104"/>
      <c r="M6" s="104"/>
      <c r="N6" s="143">
        <f>I6*I5+J6*J5+K6*K5+L6*L5+M6*M5</f>
        <v>93.38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/>
      <c r="C7" s="164" t="s">
        <v>86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/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/>
      <c r="Y7" s="33"/>
      <c r="Z7" s="45"/>
      <c r="AA7" s="35"/>
      <c r="AB7" s="36">
        <f>ROUND((((W7*I7)+(X7*J7)+(Y7*K7)+(Z7*L7)+(AA7*M7))/$I$2),2)*13</f>
        <v>54.6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4.4800000000000004</v>
      </c>
      <c r="AH7" s="37">
        <f>IF((V7+AE7+AF7)&gt;=30,30,(V7+AE7+AF7))</f>
        <v>30</v>
      </c>
      <c r="AI7" s="38">
        <v>65</v>
      </c>
      <c r="AJ7" s="30">
        <f>V7+AE7+AF7+AI7+AG7</f>
        <v>99.48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542</v>
      </c>
      <c r="B8" s="364"/>
      <c r="C8" s="364"/>
      <c r="D8" s="364"/>
      <c r="E8" s="364"/>
      <c r="F8" s="364"/>
      <c r="G8" s="364"/>
      <c r="H8" s="365"/>
      <c r="I8" s="104">
        <v>85</v>
      </c>
      <c r="J8" s="156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/>
      <c r="C9" s="164" t="s">
        <v>543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39361754000</v>
      </c>
      <c r="X9" s="33"/>
      <c r="Y9" s="33"/>
      <c r="Z9" s="45"/>
      <c r="AA9" s="35"/>
      <c r="AB9" s="36">
        <f>ROUND((((W9*I9)+(X9*J9)+(Y9*K9)+(Z9*L9)+(AA9*M9))/$I$2),2)*13</f>
        <v>143.51999999999998</v>
      </c>
      <c r="AC9" s="68">
        <f>IF(AB9&gt;=13,13,AB9)</f>
        <v>13</v>
      </c>
      <c r="AD9" s="63">
        <v>5</v>
      </c>
      <c r="AE9" s="32">
        <f>IF((AC9+AD9)&gt;=15,15,(AC9+AD9))</f>
        <v>15</v>
      </c>
      <c r="AF9" s="61"/>
      <c r="AG9" s="114">
        <v>4.4800000000000004</v>
      </c>
      <c r="AH9" s="37">
        <f>IF((V9+AE9+AF9)&gt;=30,30,(V9+AE9+AF9))</f>
        <v>30</v>
      </c>
      <c r="AI9" s="38">
        <v>65</v>
      </c>
      <c r="AJ9" s="30">
        <f>V9+AE9+AF9+AI9+AG9</f>
        <v>99.48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542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/>
      <c r="K10" s="104"/>
      <c r="L10" s="104"/>
      <c r="M10" s="104"/>
      <c r="N10" s="107">
        <f>I10*I9+J10*J9+K10*K9+L10*L9+M10*M9</f>
        <v>90.73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/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 t="shared" ref="N11:N53" si="0"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 t="shared" ref="U11:U85" si="1">ROUND(((P11*I11)+(Q11*J11)+(R11*K11)+(S11*L11)+(T11*M11))*O11,2)</f>
        <v>15</v>
      </c>
      <c r="V11" s="68">
        <f t="shared" ref="V11:V85" si="2">IF(U11&gt;=15,15,U11)</f>
        <v>15</v>
      </c>
      <c r="W11" s="171">
        <v>34748832000</v>
      </c>
      <c r="X11" s="33"/>
      <c r="Y11" s="33"/>
      <c r="Z11" s="45"/>
      <c r="AA11" s="35"/>
      <c r="AB11" s="36">
        <f t="shared" ref="AB11:AB85" si="3">ROUND((((W11*I11)+(X11*J11)+(Y11*K11)+(Z11*L11)+(AA11*M11))/$I$2),2)*13</f>
        <v>126.62</v>
      </c>
      <c r="AC11" s="68">
        <f t="shared" ref="AC11:AC85" si="4">IF(AB11&gt;=13,13,AB11)</f>
        <v>13</v>
      </c>
      <c r="AD11" s="63">
        <v>2</v>
      </c>
      <c r="AE11" s="32">
        <f t="shared" ref="AE11:AE85" si="5">IF((AC11+AD11)&gt;=15,15,(AC11+AD11))</f>
        <v>15</v>
      </c>
      <c r="AF11" s="170"/>
      <c r="AG11" s="114">
        <v>4.4800000000000004</v>
      </c>
      <c r="AH11" s="37">
        <f t="shared" ref="AH11:AH85" si="6">IF((V11+AE11+AF11)&gt;=30,30,(V11+AE11+AF11))</f>
        <v>30</v>
      </c>
      <c r="AI11" s="38">
        <v>65</v>
      </c>
      <c r="AJ11" s="30">
        <f t="shared" ref="AJ11:AJ85" si="7">V11+AE11+AF11+AI11+AG11</f>
        <v>99.48</v>
      </c>
      <c r="AK11" s="37">
        <f t="shared" ref="AK11:AK85" si="8">IF(AH11+AI11+AG11&gt;=95,95,AH11+AI11+AG11)</f>
        <v>95</v>
      </c>
      <c r="AL11" s="39">
        <f t="shared" ref="AL11:AL85" si="9">-((50-((176+(45+(50-AH11)))))/200)</f>
        <v>0.95499999999999996</v>
      </c>
      <c r="AM11" s="40"/>
      <c r="AN11" s="41">
        <f t="shared" ref="AN11:AO39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85" si="11">AR11+AS11+AT11+AU11+AV11</f>
        <v>0</v>
      </c>
      <c r="AX11" s="71">
        <f t="shared" ref="AX11:AX85" si="12">(AR11*I11)+(AS11*J11)+(AT11*K11)+(AU11*L11)+(AV11*M11)</f>
        <v>0</v>
      </c>
    </row>
    <row r="12" spans="1:50" s="42" customFormat="1" ht="21.95" customHeight="1" thickBot="1" x14ac:dyDescent="0.2">
      <c r="A12" s="363" t="s">
        <v>542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/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7"/>
      <c r="R13" s="80"/>
      <c r="S13" s="31"/>
      <c r="T13" s="33"/>
      <c r="U13" s="32">
        <f t="shared" si="1"/>
        <v>15</v>
      </c>
      <c r="V13" s="68">
        <f t="shared" si="2"/>
        <v>15</v>
      </c>
      <c r="W13" s="171">
        <v>57539030000</v>
      </c>
      <c r="X13" s="33"/>
      <c r="Y13" s="34"/>
      <c r="Z13" s="45"/>
      <c r="AA13" s="35"/>
      <c r="AB13" s="36">
        <f t="shared" si="3"/>
        <v>209.82</v>
      </c>
      <c r="AC13" s="68">
        <f t="shared" si="4"/>
        <v>13</v>
      </c>
      <c r="AD13" s="63">
        <v>2</v>
      </c>
      <c r="AE13" s="32">
        <f t="shared" si="5"/>
        <v>15</v>
      </c>
      <c r="AF13" s="170"/>
      <c r="AG13" s="114">
        <v>4.4800000000000004</v>
      </c>
      <c r="AH13" s="37">
        <f t="shared" si="6"/>
        <v>30</v>
      </c>
      <c r="AI13" s="38">
        <v>65</v>
      </c>
      <c r="AJ13" s="30">
        <f t="shared" si="7"/>
        <v>99.48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542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165" t="s">
        <v>90</v>
      </c>
      <c r="D15" s="50" t="s">
        <v>544</v>
      </c>
      <c r="E15" s="49"/>
      <c r="F15" s="49"/>
      <c r="G15" s="53"/>
      <c r="H15" s="140"/>
      <c r="I15" s="79">
        <v>0.51</v>
      </c>
      <c r="J15" s="106">
        <v>0.49</v>
      </c>
      <c r="K15" s="9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0"/>
      <c r="S15" s="31"/>
      <c r="T15" s="89"/>
      <c r="U15" s="32">
        <f t="shared" si="1"/>
        <v>15</v>
      </c>
      <c r="V15" s="68">
        <f t="shared" si="2"/>
        <v>15</v>
      </c>
      <c r="W15" s="172">
        <v>32826052000</v>
      </c>
      <c r="X15" s="33">
        <v>17523143000</v>
      </c>
      <c r="Y15" s="33"/>
      <c r="Z15" s="45"/>
      <c r="AA15" s="35"/>
      <c r="AB15" s="36">
        <f t="shared" si="3"/>
        <v>92.3</v>
      </c>
      <c r="AC15" s="68">
        <f t="shared" si="4"/>
        <v>13</v>
      </c>
      <c r="AD15" s="63">
        <v>2</v>
      </c>
      <c r="AE15" s="32">
        <f t="shared" si="5"/>
        <v>15</v>
      </c>
      <c r="AF15" s="61"/>
      <c r="AG15" s="114">
        <v>4.4800000000000004</v>
      </c>
      <c r="AH15" s="37">
        <f t="shared" si="6"/>
        <v>30</v>
      </c>
      <c r="AI15" s="38">
        <v>65</v>
      </c>
      <c r="AJ15" s="30">
        <f t="shared" si="7"/>
        <v>99.48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542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165" t="s">
        <v>545</v>
      </c>
      <c r="D17" s="164" t="s">
        <v>546</v>
      </c>
      <c r="E17" s="49"/>
      <c r="F17" s="49"/>
      <c r="G17" s="53"/>
      <c r="H17" s="86"/>
      <c r="I17" s="79">
        <v>0.65</v>
      </c>
      <c r="J17" s="26">
        <v>0.35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172">
        <v>39588420000</v>
      </c>
      <c r="X17" s="173">
        <v>4102925000</v>
      </c>
      <c r="Y17" s="33"/>
      <c r="Z17" s="45"/>
      <c r="AA17" s="35"/>
      <c r="AB17" s="36">
        <f t="shared" si="3"/>
        <v>99.06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>
        <v>4.4800000000000004</v>
      </c>
      <c r="AH17" s="37">
        <f t="shared" si="6"/>
        <v>30</v>
      </c>
      <c r="AI17" s="38">
        <v>65</v>
      </c>
      <c r="AJ17" s="30">
        <f t="shared" si="7"/>
        <v>99.48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542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177" t="s">
        <v>582</v>
      </c>
      <c r="C19" s="168" t="s">
        <v>547</v>
      </c>
      <c r="D19" s="166" t="s">
        <v>548</v>
      </c>
      <c r="E19" s="51"/>
      <c r="F19" s="49"/>
      <c r="G19" s="53"/>
      <c r="H19" s="203" t="s">
        <v>583</v>
      </c>
      <c r="I19" s="79">
        <v>0.7</v>
      </c>
      <c r="J19" s="193">
        <v>0.25719999999999998</v>
      </c>
      <c r="K19" s="106"/>
      <c r="L19" s="26"/>
      <c r="M19" s="62"/>
      <c r="N19" s="27">
        <f t="shared" si="0"/>
        <v>0.95719999999999994</v>
      </c>
      <c r="O19" s="28">
        <v>1</v>
      </c>
      <c r="P19" s="80">
        <v>15</v>
      </c>
      <c r="Q19" s="80">
        <v>15</v>
      </c>
      <c r="R19" s="157"/>
      <c r="S19" s="30"/>
      <c r="T19" s="31"/>
      <c r="U19" s="32">
        <f t="shared" si="1"/>
        <v>14.36</v>
      </c>
      <c r="V19" s="68">
        <f t="shared" si="2"/>
        <v>14.36</v>
      </c>
      <c r="W19" s="57">
        <v>328448752000</v>
      </c>
      <c r="X19" s="172">
        <v>708518000</v>
      </c>
      <c r="Y19" s="57"/>
      <c r="Z19" s="48"/>
      <c r="AA19" s="35"/>
      <c r="AB19" s="36">
        <f t="shared" si="3"/>
        <v>838.89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4.4800000000000004</v>
      </c>
      <c r="AH19" s="37">
        <f t="shared" si="6"/>
        <v>29.36</v>
      </c>
      <c r="AI19" s="38">
        <v>65</v>
      </c>
      <c r="AJ19" s="30">
        <f t="shared" si="7"/>
        <v>98.84</v>
      </c>
      <c r="AK19" s="37">
        <f t="shared" si="8"/>
        <v>95</v>
      </c>
      <c r="AL19" s="39">
        <f t="shared" si="9"/>
        <v>0.95819999999999994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542</v>
      </c>
      <c r="B20" s="364"/>
      <c r="C20" s="364"/>
      <c r="D20" s="364"/>
      <c r="E20" s="364"/>
      <c r="F20" s="364"/>
      <c r="G20" s="364"/>
      <c r="H20" s="365"/>
      <c r="I20" s="145">
        <v>93.38</v>
      </c>
      <c r="J20" s="104">
        <v>85</v>
      </c>
      <c r="K20" s="104"/>
      <c r="L20" s="104"/>
      <c r="M20" s="104"/>
      <c r="N20" s="107">
        <f>I20*I19+J20*J19+K20*K19+L20*L19+M20*M19</f>
        <v>87.227999999999994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/>
      <c r="C21" s="168" t="s">
        <v>550</v>
      </c>
      <c r="D21" s="163" t="s">
        <v>551</v>
      </c>
      <c r="E21" s="49"/>
      <c r="F21" s="168"/>
      <c r="G21" s="53"/>
      <c r="H21" s="140" t="s">
        <v>580</v>
      </c>
      <c r="I21" s="215">
        <v>0.53769999999999996</v>
      </c>
      <c r="J21" s="96">
        <v>0.45</v>
      </c>
      <c r="K21" s="83"/>
      <c r="L21" s="26"/>
      <c r="M21" s="62"/>
      <c r="N21" s="27">
        <f t="shared" si="0"/>
        <v>0.98770000000000002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14.82</v>
      </c>
      <c r="V21" s="68">
        <f t="shared" si="2"/>
        <v>14.82</v>
      </c>
      <c r="W21" s="172">
        <v>3664456000</v>
      </c>
      <c r="X21" s="172">
        <v>4319931000</v>
      </c>
      <c r="Y21" s="172"/>
      <c r="Z21" s="172"/>
      <c r="AA21" s="35"/>
      <c r="AB21" s="36">
        <f t="shared" si="3"/>
        <v>14.3</v>
      </c>
      <c r="AC21" s="68">
        <f t="shared" si="4"/>
        <v>13</v>
      </c>
      <c r="AD21" s="192">
        <v>1.5</v>
      </c>
      <c r="AE21" s="32">
        <f t="shared" si="5"/>
        <v>14.5</v>
      </c>
      <c r="AF21" s="56"/>
      <c r="AG21" s="114">
        <v>4.4800000000000004</v>
      </c>
      <c r="AH21" s="37">
        <f t="shared" si="6"/>
        <v>29.32</v>
      </c>
      <c r="AI21" s="38">
        <v>65</v>
      </c>
      <c r="AJ21" s="30">
        <f t="shared" si="7"/>
        <v>98.8</v>
      </c>
      <c r="AK21" s="37">
        <f t="shared" si="8"/>
        <v>95</v>
      </c>
      <c r="AL21" s="39">
        <f t="shared" si="9"/>
        <v>0.95840000000000003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542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83.954499999999996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/>
      <c r="C23" s="168" t="s">
        <v>552</v>
      </c>
      <c r="D23" s="163" t="s">
        <v>553</v>
      </c>
      <c r="E23" s="151"/>
      <c r="F23" s="49"/>
      <c r="G23" s="53"/>
      <c r="H23" s="140" t="s">
        <v>578</v>
      </c>
      <c r="I23" s="105">
        <v>0.7</v>
      </c>
      <c r="J23" s="193">
        <v>0.29349999999999998</v>
      </c>
      <c r="K23" s="26"/>
      <c r="L23" s="26"/>
      <c r="M23" s="62"/>
      <c r="N23" s="27">
        <f t="shared" si="0"/>
        <v>0.99349999999999994</v>
      </c>
      <c r="O23" s="28">
        <v>1</v>
      </c>
      <c r="P23" s="29">
        <v>15</v>
      </c>
      <c r="Q23" s="181">
        <v>15</v>
      </c>
      <c r="R23" s="181"/>
      <c r="S23" s="30"/>
      <c r="T23" s="31"/>
      <c r="U23" s="32">
        <f t="shared" si="1"/>
        <v>14.9</v>
      </c>
      <c r="V23" s="68">
        <f t="shared" si="2"/>
        <v>14.9</v>
      </c>
      <c r="W23" s="82">
        <v>10737437000</v>
      </c>
      <c r="X23" s="172">
        <v>1281708000</v>
      </c>
      <c r="Y23" s="33"/>
      <c r="Z23" s="48"/>
      <c r="AA23" s="35"/>
      <c r="AB23" s="36">
        <f t="shared" si="3"/>
        <v>28.73</v>
      </c>
      <c r="AC23" s="68">
        <f t="shared" si="4"/>
        <v>13</v>
      </c>
      <c r="AD23" s="192">
        <v>1.5</v>
      </c>
      <c r="AE23" s="32">
        <f t="shared" si="5"/>
        <v>14.5</v>
      </c>
      <c r="AF23" s="56"/>
      <c r="AG23" s="114">
        <v>4.4800000000000004</v>
      </c>
      <c r="AH23" s="37">
        <f t="shared" si="6"/>
        <v>29.4</v>
      </c>
      <c r="AI23" s="38">
        <v>65</v>
      </c>
      <c r="AJ23" s="30">
        <f t="shared" si="7"/>
        <v>98.88000000000001</v>
      </c>
      <c r="AK23" s="37">
        <f t="shared" si="8"/>
        <v>95</v>
      </c>
      <c r="AL23" s="39">
        <f t="shared" si="9"/>
        <v>0.95799999999999996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542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56">
        <v>85</v>
      </c>
      <c r="K24" s="104"/>
      <c r="L24" s="104"/>
      <c r="M24" s="104"/>
      <c r="N24" s="107">
        <f>I24*I23+J24*J23+K24*K23+L24*L23+M24*M23</f>
        <v>84.447499999999991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76"/>
      <c r="C25" s="165" t="s">
        <v>554</v>
      </c>
      <c r="D25" s="51" t="s">
        <v>555</v>
      </c>
      <c r="E25" s="52"/>
      <c r="F25" s="49"/>
      <c r="G25" s="53"/>
      <c r="H25" s="140"/>
      <c r="I25" s="244">
        <v>0.7</v>
      </c>
      <c r="J25" s="106">
        <v>0.3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56"/>
      <c r="S25" s="30"/>
      <c r="T25" s="31"/>
      <c r="U25" s="32">
        <f t="shared" si="1"/>
        <v>15</v>
      </c>
      <c r="V25" s="68">
        <f t="shared" si="2"/>
        <v>15</v>
      </c>
      <c r="W25" s="82">
        <v>11882803000</v>
      </c>
      <c r="X25" s="33">
        <v>6971585000</v>
      </c>
      <c r="Y25" s="172"/>
      <c r="Z25" s="48"/>
      <c r="AA25" s="35"/>
      <c r="AB25" s="36">
        <f t="shared" si="3"/>
        <v>37.96</v>
      </c>
      <c r="AC25" s="68">
        <f t="shared" si="4"/>
        <v>13</v>
      </c>
      <c r="AD25" s="63">
        <v>2</v>
      </c>
      <c r="AE25" s="32">
        <f t="shared" si="5"/>
        <v>15</v>
      </c>
      <c r="AF25" s="56"/>
      <c r="AG25" s="114">
        <v>4.4800000000000004</v>
      </c>
      <c r="AH25" s="37">
        <f t="shared" si="6"/>
        <v>30</v>
      </c>
      <c r="AI25" s="38">
        <v>65</v>
      </c>
      <c r="AJ25" s="30">
        <f t="shared" si="7"/>
        <v>99.48</v>
      </c>
      <c r="AK25" s="37">
        <f t="shared" si="8"/>
        <v>95</v>
      </c>
      <c r="AL25" s="39">
        <f t="shared" si="9"/>
        <v>0.95499999999999996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542</v>
      </c>
      <c r="B26" s="364"/>
      <c r="C26" s="364"/>
      <c r="D26" s="364"/>
      <c r="E26" s="364"/>
      <c r="F26" s="364"/>
      <c r="G26" s="364"/>
      <c r="H26" s="365"/>
      <c r="I26" s="156">
        <v>85</v>
      </c>
      <c r="J26" s="104">
        <v>85</v>
      </c>
      <c r="K26" s="104"/>
      <c r="L26" s="104"/>
      <c r="M26" s="104"/>
      <c r="N26" s="107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76"/>
      <c r="C27" s="52" t="s">
        <v>556</v>
      </c>
      <c r="D27" s="163" t="s">
        <v>557</v>
      </c>
      <c r="E27" s="165"/>
      <c r="F27" s="49"/>
      <c r="G27" s="53"/>
      <c r="H27" s="140" t="s">
        <v>579</v>
      </c>
      <c r="I27" s="219">
        <v>0.43809999999999999</v>
      </c>
      <c r="J27" s="96">
        <v>0.49</v>
      </c>
      <c r="K27" s="106"/>
      <c r="L27" s="26"/>
      <c r="M27" s="62"/>
      <c r="N27" s="27">
        <f t="shared" si="0"/>
        <v>0.92809999999999993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13.92</v>
      </c>
      <c r="V27" s="68">
        <f t="shared" si="2"/>
        <v>13.92</v>
      </c>
      <c r="W27" s="57">
        <v>7486618000</v>
      </c>
      <c r="X27" s="60">
        <v>1956642000</v>
      </c>
      <c r="Y27" s="45"/>
      <c r="Z27" s="48"/>
      <c r="AA27" s="35"/>
      <c r="AB27" s="36">
        <f t="shared" si="3"/>
        <v>15.469999999999999</v>
      </c>
      <c r="AC27" s="68">
        <f t="shared" si="4"/>
        <v>13</v>
      </c>
      <c r="AD27" s="192">
        <v>0</v>
      </c>
      <c r="AE27" s="32">
        <f t="shared" si="5"/>
        <v>13</v>
      </c>
      <c r="AF27" s="56"/>
      <c r="AG27" s="114">
        <v>4.4800000000000004</v>
      </c>
      <c r="AH27" s="37">
        <f t="shared" si="6"/>
        <v>26.92</v>
      </c>
      <c r="AI27" s="38">
        <v>65</v>
      </c>
      <c r="AJ27" s="30">
        <f t="shared" si="7"/>
        <v>96.4</v>
      </c>
      <c r="AK27" s="37">
        <f t="shared" si="8"/>
        <v>95</v>
      </c>
      <c r="AL27" s="39">
        <f t="shared" si="9"/>
        <v>0.97039999999999993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542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/>
      <c r="L28" s="104"/>
      <c r="M28" s="104"/>
      <c r="N28" s="107">
        <f>I28*I27+J28*J27+K28*K27+L28*L27+M28*M27</f>
        <v>78.888499999999993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76"/>
      <c r="C29" s="168" t="s">
        <v>577</v>
      </c>
      <c r="D29" s="218" t="s">
        <v>559</v>
      </c>
      <c r="E29" s="168"/>
      <c r="F29" s="49"/>
      <c r="G29" s="53"/>
      <c r="H29" s="140"/>
      <c r="I29" s="25">
        <v>0.6</v>
      </c>
      <c r="J29" s="106">
        <v>0.4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181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>
        <v>21781049000</v>
      </c>
      <c r="X29" s="60">
        <v>3231169000</v>
      </c>
      <c r="Y29" s="45"/>
      <c r="Z29" s="48"/>
      <c r="AA29" s="35"/>
      <c r="AB29" s="36">
        <f t="shared" si="3"/>
        <v>52.39</v>
      </c>
      <c r="AC29" s="68">
        <f t="shared" si="4"/>
        <v>13</v>
      </c>
      <c r="AD29" s="63">
        <v>2</v>
      </c>
      <c r="AE29" s="32">
        <f t="shared" si="5"/>
        <v>15</v>
      </c>
      <c r="AF29" s="56"/>
      <c r="AG29" s="114"/>
      <c r="AH29" s="37">
        <f t="shared" si="6"/>
        <v>30</v>
      </c>
      <c r="AI29" s="38">
        <v>65</v>
      </c>
      <c r="AJ29" s="30">
        <f t="shared" si="7"/>
        <v>95</v>
      </c>
      <c r="AK29" s="37">
        <f t="shared" si="8"/>
        <v>95</v>
      </c>
      <c r="AL29" s="39">
        <f t="shared" si="9"/>
        <v>0.95499999999999996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542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/>
      <c r="L30" s="104"/>
      <c r="M30" s="104"/>
      <c r="N30" s="107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76"/>
      <c r="C31" s="168" t="s">
        <v>560</v>
      </c>
      <c r="D31" s="50" t="s">
        <v>561</v>
      </c>
      <c r="E31" s="103"/>
      <c r="F31" s="49"/>
      <c r="G31" s="53"/>
      <c r="H31" s="64"/>
      <c r="I31" s="25">
        <v>0.7</v>
      </c>
      <c r="J31" s="26">
        <v>0.3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618668065000</v>
      </c>
      <c r="X31" s="60">
        <v>1810832000</v>
      </c>
      <c r="Y31" s="45"/>
      <c r="Z31" s="48"/>
      <c r="AA31" s="35"/>
      <c r="AB31" s="36">
        <f t="shared" si="3"/>
        <v>1580.8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/>
      <c r="AH31" s="37">
        <f t="shared" si="6"/>
        <v>30</v>
      </c>
      <c r="AI31" s="38">
        <v>65</v>
      </c>
      <c r="AJ31" s="30">
        <f t="shared" si="7"/>
        <v>95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205">
        <v>15</v>
      </c>
      <c r="B32" s="177" t="s">
        <v>582</v>
      </c>
      <c r="C32" s="49" t="s">
        <v>562</v>
      </c>
      <c r="D32" s="51" t="s">
        <v>564</v>
      </c>
      <c r="E32" s="52"/>
      <c r="F32" s="49"/>
      <c r="G32" s="53"/>
      <c r="H32" s="140" t="s">
        <v>581</v>
      </c>
      <c r="I32" s="25">
        <v>0.7</v>
      </c>
      <c r="J32" s="193">
        <v>0.26519999999999999</v>
      </c>
      <c r="K32" s="26"/>
      <c r="L32" s="26"/>
      <c r="M32" s="62"/>
      <c r="N32" s="27">
        <f t="shared" si="0"/>
        <v>0.96519999999999995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14.48</v>
      </c>
      <c r="V32" s="68">
        <f t="shared" si="2"/>
        <v>14.48</v>
      </c>
      <c r="W32" s="57">
        <v>227887155000</v>
      </c>
      <c r="X32" s="60">
        <v>3358650000</v>
      </c>
      <c r="Y32" s="45"/>
      <c r="Z32" s="48"/>
      <c r="AA32" s="35"/>
      <c r="AB32" s="36">
        <f t="shared" si="3"/>
        <v>584.74</v>
      </c>
      <c r="AC32" s="68">
        <f t="shared" si="4"/>
        <v>13</v>
      </c>
      <c r="AD32" s="63">
        <v>2</v>
      </c>
      <c r="AE32" s="32">
        <f t="shared" si="5"/>
        <v>15</v>
      </c>
      <c r="AF32" s="56"/>
      <c r="AG32" s="114"/>
      <c r="AH32" s="37">
        <f t="shared" si="6"/>
        <v>29.48</v>
      </c>
      <c r="AI32" s="38">
        <v>65</v>
      </c>
      <c r="AJ32" s="30">
        <f t="shared" si="7"/>
        <v>94.48</v>
      </c>
      <c r="AK32" s="37">
        <f t="shared" si="8"/>
        <v>94.48</v>
      </c>
      <c r="AL32" s="39">
        <f t="shared" si="9"/>
        <v>0.9575999999999999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21.95" customHeight="1" thickBot="1" x14ac:dyDescent="0.2">
      <c r="A33" s="363" t="s">
        <v>542</v>
      </c>
      <c r="B33" s="364"/>
      <c r="C33" s="364"/>
      <c r="D33" s="364"/>
      <c r="E33" s="364"/>
      <c r="F33" s="364"/>
      <c r="G33" s="364"/>
      <c r="H33" s="365"/>
      <c r="I33" s="153">
        <v>85</v>
      </c>
      <c r="J33" s="104">
        <v>85</v>
      </c>
      <c r="K33" s="104"/>
      <c r="L33" s="104"/>
      <c r="M33" s="104"/>
      <c r="N33" s="107">
        <f>I33*I32+J33*J32+K33*K32+L33*L32+M33*M32</f>
        <v>82.041999999999987</v>
      </c>
      <c r="O33" s="28"/>
      <c r="P33" s="29"/>
      <c r="Q33" s="30"/>
      <c r="R33" s="30"/>
      <c r="S33" s="31"/>
      <c r="T33" s="89"/>
      <c r="U33" s="32"/>
      <c r="V33" s="68"/>
      <c r="W33" s="98"/>
      <c r="X33" s="45"/>
      <c r="Y33" s="93"/>
      <c r="Z33" s="45"/>
      <c r="AA33" s="35"/>
      <c r="AB33" s="36"/>
      <c r="AC33" s="68"/>
      <c r="AD33" s="32"/>
      <c r="AE33" s="32"/>
      <c r="AF33" s="61"/>
      <c r="AG33" s="56"/>
      <c r="AH33" s="37"/>
      <c r="AI33" s="38"/>
      <c r="AJ33" s="30"/>
      <c r="AK33" s="37"/>
      <c r="AL33" s="39"/>
      <c r="AM33" s="40"/>
      <c r="AN33" s="41"/>
      <c r="AO33" s="41"/>
      <c r="AP33" s="43"/>
      <c r="AQ33" s="70"/>
      <c r="AR33" s="58"/>
      <c r="AS33" s="58"/>
      <c r="AT33" s="58"/>
      <c r="AU33" s="58"/>
      <c r="AV33" s="59"/>
      <c r="AW33" s="71"/>
      <c r="AX33" s="71"/>
    </row>
    <row r="34" spans="1:50" s="42" customFormat="1" ht="46.5" customHeight="1" thickBot="1" x14ac:dyDescent="0.2">
      <c r="A34" s="205">
        <v>16</v>
      </c>
      <c r="B34" s="76"/>
      <c r="C34" s="165" t="s">
        <v>565</v>
      </c>
      <c r="D34" s="51" t="s">
        <v>566</v>
      </c>
      <c r="E34" s="49"/>
      <c r="F34" s="49"/>
      <c r="G34" s="53"/>
      <c r="H34" s="203"/>
      <c r="I34" s="25">
        <v>0.6</v>
      </c>
      <c r="J34" s="96">
        <v>0.4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>
        <v>12436699000</v>
      </c>
      <c r="X34" s="60">
        <v>3388596000</v>
      </c>
      <c r="Y34" s="45"/>
      <c r="Z34" s="48"/>
      <c r="AA34" s="35"/>
      <c r="AB34" s="36">
        <f t="shared" si="3"/>
        <v>32.11</v>
      </c>
      <c r="AC34" s="68">
        <f t="shared" si="4"/>
        <v>13</v>
      </c>
      <c r="AD34" s="63">
        <v>2</v>
      </c>
      <c r="AE34" s="32">
        <f t="shared" si="5"/>
        <v>15</v>
      </c>
      <c r="AF34" s="56"/>
      <c r="AG34" s="114">
        <v>4.4800000000000004</v>
      </c>
      <c r="AH34" s="37">
        <f t="shared" si="6"/>
        <v>30</v>
      </c>
      <c r="AI34" s="38">
        <v>65</v>
      </c>
      <c r="AJ34" s="30">
        <f t="shared" si="7"/>
        <v>99.48</v>
      </c>
      <c r="AK34" s="37">
        <f t="shared" si="8"/>
        <v>95</v>
      </c>
      <c r="AL34" s="39">
        <f t="shared" si="9"/>
        <v>0.95499999999999996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21.95" customHeight="1" thickBot="1" x14ac:dyDescent="0.2">
      <c r="A35" s="363" t="s">
        <v>542</v>
      </c>
      <c r="B35" s="364"/>
      <c r="C35" s="364"/>
      <c r="D35" s="364"/>
      <c r="E35" s="364"/>
      <c r="F35" s="364"/>
      <c r="G35" s="364"/>
      <c r="H35" s="365"/>
      <c r="I35" s="153">
        <v>85</v>
      </c>
      <c r="J35" s="104">
        <v>85</v>
      </c>
      <c r="K35" s="104"/>
      <c r="L35" s="104"/>
      <c r="M35" s="104"/>
      <c r="N35" s="107">
        <f>I35*I34+J35*J34+K35*K34+L35*L34+M35*M34</f>
        <v>85</v>
      </c>
      <c r="O35" s="28"/>
      <c r="P35" s="29"/>
      <c r="Q35" s="30"/>
      <c r="R35" s="30"/>
      <c r="S35" s="31"/>
      <c r="T35" s="89"/>
      <c r="U35" s="32"/>
      <c r="V35" s="68"/>
      <c r="W35" s="98"/>
      <c r="X35" s="45"/>
      <c r="Y35" s="93"/>
      <c r="Z35" s="45"/>
      <c r="AA35" s="35"/>
      <c r="AB35" s="36"/>
      <c r="AC35" s="68"/>
      <c r="AD35" s="32"/>
      <c r="AE35" s="32"/>
      <c r="AF35" s="61"/>
      <c r="AG35" s="56"/>
      <c r="AH35" s="37"/>
      <c r="AI35" s="38"/>
      <c r="AJ35" s="30"/>
      <c r="AK35" s="37"/>
      <c r="AL35" s="39"/>
      <c r="AM35" s="40"/>
      <c r="AN35" s="41"/>
      <c r="AO35" s="41"/>
      <c r="AP35" s="43"/>
      <c r="AQ35" s="70"/>
      <c r="AR35" s="58"/>
      <c r="AS35" s="58"/>
      <c r="AT35" s="58"/>
      <c r="AU35" s="58"/>
      <c r="AV35" s="59"/>
      <c r="AW35" s="71"/>
      <c r="AX35" s="71"/>
    </row>
    <row r="36" spans="1:50" s="42" customFormat="1" ht="46.5" customHeight="1" thickBot="1" x14ac:dyDescent="0.2">
      <c r="A36" s="205">
        <v>17</v>
      </c>
      <c r="B36" s="76"/>
      <c r="C36" s="50" t="s">
        <v>567</v>
      </c>
      <c r="D36" s="52" t="s">
        <v>568</v>
      </c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>
        <v>3425675000</v>
      </c>
      <c r="X36" s="60">
        <v>80267427000</v>
      </c>
      <c r="Y36" s="45"/>
      <c r="Z36" s="48"/>
      <c r="AA36" s="35"/>
      <c r="AB36" s="36">
        <f t="shared" si="3"/>
        <v>149.76</v>
      </c>
      <c r="AC36" s="68">
        <f t="shared" si="4"/>
        <v>13</v>
      </c>
      <c r="AD36" s="63">
        <v>2</v>
      </c>
      <c r="AE36" s="32">
        <f t="shared" si="5"/>
        <v>15</v>
      </c>
      <c r="AF36" s="56"/>
      <c r="AG36" s="114"/>
      <c r="AH36" s="37">
        <f t="shared" si="6"/>
        <v>30</v>
      </c>
      <c r="AI36" s="38">
        <v>65</v>
      </c>
      <c r="AJ36" s="30">
        <f t="shared" si="7"/>
        <v>95</v>
      </c>
      <c r="AK36" s="37">
        <f t="shared" si="8"/>
        <v>95</v>
      </c>
      <c r="AL36" s="39">
        <f t="shared" si="9"/>
        <v>0.95499999999999996</v>
      </c>
      <c r="AM36" s="40"/>
      <c r="AN36" s="41">
        <f t="shared" si="10"/>
        <v>1</v>
      </c>
      <c r="AO36" s="41">
        <f t="shared" si="10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205">
        <v>18</v>
      </c>
      <c r="B37" s="76"/>
      <c r="C37" s="49" t="s">
        <v>576</v>
      </c>
      <c r="D37" s="163" t="s">
        <v>569</v>
      </c>
      <c r="E37" s="49"/>
      <c r="F37" s="49"/>
      <c r="G37" s="53"/>
      <c r="H37" s="140"/>
      <c r="I37" s="223">
        <v>0.51</v>
      </c>
      <c r="J37" s="10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>
        <v>23278347000</v>
      </c>
      <c r="X37" s="173">
        <v>14643377000</v>
      </c>
      <c r="Y37" s="173"/>
      <c r="Z37" s="48"/>
      <c r="AA37" s="35"/>
      <c r="AB37" s="36">
        <f t="shared" si="3"/>
        <v>69.42</v>
      </c>
      <c r="AC37" s="68">
        <f t="shared" si="4"/>
        <v>13</v>
      </c>
      <c r="AD37" s="63">
        <v>2</v>
      </c>
      <c r="AE37" s="32">
        <f t="shared" si="5"/>
        <v>15</v>
      </c>
      <c r="AF37" s="56"/>
      <c r="AG37" s="114">
        <v>4.4800000000000004</v>
      </c>
      <c r="AH37" s="37">
        <f t="shared" si="6"/>
        <v>30</v>
      </c>
      <c r="AI37" s="38">
        <v>65</v>
      </c>
      <c r="AJ37" s="30">
        <f t="shared" si="7"/>
        <v>99.48</v>
      </c>
      <c r="AK37" s="37">
        <f t="shared" si="8"/>
        <v>95</v>
      </c>
      <c r="AL37" s="39">
        <f t="shared" si="9"/>
        <v>0.95499999999999996</v>
      </c>
      <c r="AM37" s="40"/>
      <c r="AN37" s="41">
        <f t="shared" si="10"/>
        <v>1</v>
      </c>
      <c r="AO37" s="41">
        <f t="shared" si="10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21.95" customHeight="1" thickBot="1" x14ac:dyDescent="0.2">
      <c r="A38" s="378" t="s">
        <v>542</v>
      </c>
      <c r="B38" s="379"/>
      <c r="C38" s="379"/>
      <c r="D38" s="379"/>
      <c r="E38" s="379"/>
      <c r="F38" s="379"/>
      <c r="G38" s="379"/>
      <c r="H38" s="365"/>
      <c r="I38" s="153">
        <v>85</v>
      </c>
      <c r="J38" s="104">
        <v>85</v>
      </c>
      <c r="K38" s="104"/>
      <c r="L38" s="104"/>
      <c r="M38" s="104"/>
      <c r="N38" s="107">
        <f>I38*I37+J38*J37+K38*K37+L38*L37+M38*M37</f>
        <v>85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19</v>
      </c>
      <c r="B39" s="76"/>
      <c r="C39" s="168" t="s">
        <v>570</v>
      </c>
      <c r="D39" s="51" t="s">
        <v>571</v>
      </c>
      <c r="E39" s="168"/>
      <c r="F39" s="49"/>
      <c r="G39" s="53"/>
      <c r="H39" s="140"/>
      <c r="I39" s="25">
        <v>0.6</v>
      </c>
      <c r="J39" s="106">
        <v>0.4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173">
        <v>229675529000</v>
      </c>
      <c r="X39" s="60">
        <v>13574466000</v>
      </c>
      <c r="Y39" s="45"/>
      <c r="Z39" s="48"/>
      <c r="AA39" s="35"/>
      <c r="AB39" s="36">
        <f t="shared" si="3"/>
        <v>522.21</v>
      </c>
      <c r="AC39" s="68">
        <f t="shared" si="4"/>
        <v>13</v>
      </c>
      <c r="AD39" s="63">
        <v>2</v>
      </c>
      <c r="AE39" s="32">
        <f t="shared" si="5"/>
        <v>15</v>
      </c>
      <c r="AF39" s="56"/>
      <c r="AG39" s="114">
        <v>4.4800000000000004</v>
      </c>
      <c r="AH39" s="37">
        <f t="shared" si="6"/>
        <v>30</v>
      </c>
      <c r="AI39" s="38">
        <v>65</v>
      </c>
      <c r="AJ39" s="30">
        <f t="shared" si="7"/>
        <v>99.48</v>
      </c>
      <c r="AK39" s="37">
        <f t="shared" si="8"/>
        <v>95</v>
      </c>
      <c r="AL39" s="39">
        <f t="shared" si="9"/>
        <v>0.95499999999999996</v>
      </c>
      <c r="AM39" s="40"/>
      <c r="AN39" s="41">
        <f t="shared" si="10"/>
        <v>1</v>
      </c>
      <c r="AO39" s="41">
        <f t="shared" si="10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21.95" customHeight="1" thickBot="1" x14ac:dyDescent="0.2">
      <c r="A40" s="363" t="s">
        <v>542</v>
      </c>
      <c r="B40" s="364"/>
      <c r="C40" s="364"/>
      <c r="D40" s="364"/>
      <c r="E40" s="364"/>
      <c r="F40" s="364"/>
      <c r="G40" s="364"/>
      <c r="H40" s="365"/>
      <c r="I40" s="153">
        <v>85</v>
      </c>
      <c r="J40" s="104">
        <v>85</v>
      </c>
      <c r="K40" s="104"/>
      <c r="L40" s="104"/>
      <c r="M40" s="104"/>
      <c r="N40" s="107">
        <f>I40*I39+J40*J39+K40*K39+L40*L39+M40*M39</f>
        <v>85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205"/>
      <c r="B41" s="76"/>
      <c r="C41" s="52"/>
      <c r="D41" s="49"/>
      <c r="E41" s="49"/>
      <c r="F41" s="49"/>
      <c r="G41" s="53"/>
      <c r="H41" s="140"/>
      <c r="I41" s="25"/>
      <c r="J41" s="106"/>
      <c r="K41" s="26"/>
      <c r="L41" s="26"/>
      <c r="M41" s="62"/>
      <c r="N41" s="27">
        <f t="shared" si="0"/>
        <v>0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0</v>
      </c>
      <c r="V41" s="68">
        <f t="shared" si="2"/>
        <v>0</v>
      </c>
      <c r="W41" s="172"/>
      <c r="X41" s="45"/>
      <c r="Y41" s="45"/>
      <c r="Z41" s="48"/>
      <c r="AA41" s="35"/>
      <c r="AB41" s="36">
        <f t="shared" si="3"/>
        <v>0</v>
      </c>
      <c r="AC41" s="68">
        <f t="shared" si="4"/>
        <v>0</v>
      </c>
      <c r="AD41" s="63"/>
      <c r="AE41" s="32">
        <f t="shared" si="5"/>
        <v>0</v>
      </c>
      <c r="AF41" s="56"/>
      <c r="AG41" s="114"/>
      <c r="AH41" s="37">
        <f t="shared" si="6"/>
        <v>0</v>
      </c>
      <c r="AI41" s="38">
        <v>65</v>
      </c>
      <c r="AJ41" s="30">
        <f t="shared" si="7"/>
        <v>65</v>
      </c>
      <c r="AK41" s="37">
        <f t="shared" si="8"/>
        <v>65</v>
      </c>
      <c r="AL41" s="39">
        <f t="shared" si="9"/>
        <v>1.105</v>
      </c>
      <c r="AM41" s="40"/>
      <c r="AN41" s="41">
        <f t="shared" ref="AN41:AO61" si="13">100%+AM41</f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21.95" customHeight="1" thickBot="1" x14ac:dyDescent="0.2">
      <c r="A42" s="363" t="s">
        <v>542</v>
      </c>
      <c r="B42" s="364"/>
      <c r="C42" s="364"/>
      <c r="D42" s="364"/>
      <c r="E42" s="364"/>
      <c r="F42" s="364"/>
      <c r="G42" s="364"/>
      <c r="H42" s="365"/>
      <c r="I42" s="153">
        <v>85</v>
      </c>
      <c r="J42" s="104">
        <v>85</v>
      </c>
      <c r="K42" s="104">
        <v>85</v>
      </c>
      <c r="L42" s="104"/>
      <c r="M42" s="104"/>
      <c r="N42" s="107">
        <f>I42*I41+J42*J41+K42*K41+L42*L41+M42*M41</f>
        <v>0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49"/>
      <c r="B43" s="49"/>
      <c r="C43" s="49"/>
      <c r="D43" s="165" t="s">
        <v>572</v>
      </c>
      <c r="E43" s="168" t="s">
        <v>573</v>
      </c>
      <c r="F43" s="49"/>
      <c r="G43" s="53"/>
      <c r="H43" s="64"/>
      <c r="I43" s="25"/>
      <c r="J43" s="26"/>
      <c r="K43" s="26"/>
      <c r="L43" s="26"/>
      <c r="M43" s="62"/>
      <c r="N43" s="27">
        <f t="shared" si="0"/>
        <v>0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0</v>
      </c>
      <c r="V43" s="68">
        <f t="shared" si="2"/>
        <v>0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2</v>
      </c>
      <c r="AI43" s="38">
        <v>65</v>
      </c>
      <c r="AJ43" s="30">
        <f t="shared" si="7"/>
        <v>67</v>
      </c>
      <c r="AK43" s="37">
        <f t="shared" si="8"/>
        <v>67</v>
      </c>
      <c r="AL43" s="39">
        <f t="shared" si="9"/>
        <v>1.095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 t="s">
        <v>574</v>
      </c>
      <c r="E44" s="49"/>
      <c r="F44" s="49"/>
      <c r="G44" s="53"/>
      <c r="H44" s="64"/>
      <c r="I44" s="25"/>
      <c r="J44" s="26"/>
      <c r="K44" s="26"/>
      <c r="L44" s="26"/>
      <c r="M44" s="62"/>
      <c r="N44" s="27">
        <f t="shared" si="0"/>
        <v>0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0</v>
      </c>
      <c r="V44" s="68">
        <f t="shared" si="2"/>
        <v>0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2</v>
      </c>
      <c r="AI44" s="38">
        <v>65</v>
      </c>
      <c r="AJ44" s="30">
        <f t="shared" si="7"/>
        <v>67</v>
      </c>
      <c r="AK44" s="37">
        <f t="shared" si="8"/>
        <v>67</v>
      </c>
      <c r="AL44" s="39">
        <f t="shared" si="9"/>
        <v>1.095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140"/>
      <c r="I45" s="25"/>
      <c r="J45" s="26"/>
      <c r="K45" s="26"/>
      <c r="L45" s="26"/>
      <c r="M45" s="62"/>
      <c r="N45" s="27">
        <f t="shared" si="0"/>
        <v>0</v>
      </c>
      <c r="O45" s="197">
        <v>1.1000000000000001</v>
      </c>
      <c r="P45" s="29">
        <v>15</v>
      </c>
      <c r="Q45" s="30">
        <v>15</v>
      </c>
      <c r="R45" s="30"/>
      <c r="S45" s="30"/>
      <c r="T45" s="31"/>
      <c r="U45" s="32">
        <f t="shared" si="1"/>
        <v>0</v>
      </c>
      <c r="V45" s="68">
        <f t="shared" si="2"/>
        <v>0</v>
      </c>
      <c r="W45" s="57">
        <v>1945512000</v>
      </c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2</v>
      </c>
      <c r="AI45" s="38">
        <v>65</v>
      </c>
      <c r="AJ45" s="30">
        <f t="shared" si="7"/>
        <v>67</v>
      </c>
      <c r="AK45" s="37">
        <f t="shared" si="8"/>
        <v>67</v>
      </c>
      <c r="AL45" s="39">
        <f t="shared" si="9"/>
        <v>1.095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 t="s">
        <v>353</v>
      </c>
      <c r="D46" s="50" t="s">
        <v>563</v>
      </c>
      <c r="E46" s="51" t="s">
        <v>549</v>
      </c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 t="s">
        <v>558</v>
      </c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 t="s">
        <v>575</v>
      </c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0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0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0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0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ref="N54:N117" si="14">SUM(I54:M54)</f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3"/>
        <v>1</v>
      </c>
      <c r="AO55" s="41">
        <f t="shared" si="13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3"/>
        <v>1</v>
      </c>
      <c r="AO56" s="41">
        <f t="shared" si="13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3"/>
        <v>1</v>
      </c>
      <c r="AO57" s="41">
        <f t="shared" si="13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3"/>
        <v>1</v>
      </c>
      <c r="AO58" s="41">
        <f t="shared" si="13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3"/>
        <v>1</v>
      </c>
      <c r="AO59" s="41">
        <f t="shared" si="13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3"/>
        <v>1</v>
      </c>
      <c r="AO60" s="41">
        <f t="shared" si="13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3"/>
        <v>1</v>
      </c>
      <c r="AO61" s="41">
        <f t="shared" si="13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ref="AN62:AO81" si="15">100%+AM62</f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5"/>
        <v>1</v>
      </c>
      <c r="AO75" s="41">
        <f t="shared" si="15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5"/>
        <v>1</v>
      </c>
      <c r="AO76" s="41">
        <f t="shared" si="15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5"/>
        <v>1</v>
      </c>
      <c r="AO77" s="41">
        <f t="shared" si="15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5"/>
        <v>1</v>
      </c>
      <c r="AO78" s="41">
        <f t="shared" si="15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5"/>
        <v>1</v>
      </c>
      <c r="AO79" s="41">
        <f t="shared" si="15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5"/>
        <v>1</v>
      </c>
      <c r="AO80" s="41">
        <f t="shared" si="15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"/>
        <v>15</v>
      </c>
      <c r="V81" s="68">
        <f t="shared" si="2"/>
        <v>15</v>
      </c>
      <c r="W81" s="57"/>
      <c r="X81" s="60"/>
      <c r="Y81" s="45"/>
      <c r="Z81" s="48"/>
      <c r="AA81" s="35"/>
      <c r="AB81" s="36">
        <f t="shared" si="3"/>
        <v>0</v>
      </c>
      <c r="AC81" s="68">
        <f t="shared" si="4"/>
        <v>0</v>
      </c>
      <c r="AD81" s="63">
        <v>2</v>
      </c>
      <c r="AE81" s="32">
        <f t="shared" si="5"/>
        <v>2</v>
      </c>
      <c r="AF81" s="56"/>
      <c r="AG81" s="56"/>
      <c r="AH81" s="37">
        <f t="shared" si="6"/>
        <v>17</v>
      </c>
      <c r="AI81" s="38">
        <v>65</v>
      </c>
      <c r="AJ81" s="30">
        <f t="shared" si="7"/>
        <v>82</v>
      </c>
      <c r="AK81" s="37">
        <f t="shared" si="8"/>
        <v>82</v>
      </c>
      <c r="AL81" s="39">
        <f t="shared" si="9"/>
        <v>1.02</v>
      </c>
      <c r="AM81" s="40"/>
      <c r="AN81" s="41">
        <f t="shared" si="15"/>
        <v>1</v>
      </c>
      <c r="AO81" s="41">
        <f t="shared" si="15"/>
        <v>2</v>
      </c>
      <c r="AP81" s="43"/>
      <c r="AQ81" s="70"/>
      <c r="AR81" s="58"/>
      <c r="AS81" s="58"/>
      <c r="AT81" s="58"/>
      <c r="AU81" s="58"/>
      <c r="AV81" s="59"/>
      <c r="AW81" s="71">
        <f t="shared" si="11"/>
        <v>0</v>
      </c>
      <c r="AX81" s="71">
        <f t="shared" si="12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"/>
        <v>15</v>
      </c>
      <c r="V82" s="68">
        <f t="shared" si="2"/>
        <v>15</v>
      </c>
      <c r="W82" s="57"/>
      <c r="X82" s="60"/>
      <c r="Y82" s="45"/>
      <c r="Z82" s="48"/>
      <c r="AA82" s="35"/>
      <c r="AB82" s="36">
        <f t="shared" si="3"/>
        <v>0</v>
      </c>
      <c r="AC82" s="68">
        <f t="shared" si="4"/>
        <v>0</v>
      </c>
      <c r="AD82" s="63">
        <v>2</v>
      </c>
      <c r="AE82" s="32">
        <f t="shared" si="5"/>
        <v>2</v>
      </c>
      <c r="AF82" s="56"/>
      <c r="AG82" s="56"/>
      <c r="AH82" s="37">
        <f t="shared" si="6"/>
        <v>17</v>
      </c>
      <c r="AI82" s="38">
        <v>65</v>
      </c>
      <c r="AJ82" s="30">
        <f t="shared" si="7"/>
        <v>82</v>
      </c>
      <c r="AK82" s="37">
        <f t="shared" si="8"/>
        <v>82</v>
      </c>
      <c r="AL82" s="39">
        <f t="shared" si="9"/>
        <v>1.02</v>
      </c>
      <c r="AM82" s="40"/>
      <c r="AN82" s="41">
        <f t="shared" ref="AN82:AO101" si="16">100%+AM82</f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11"/>
        <v>0</v>
      </c>
      <c r="AX82" s="71">
        <f t="shared" si="12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"/>
        <v>15</v>
      </c>
      <c r="V83" s="68">
        <f t="shared" si="2"/>
        <v>15</v>
      </c>
      <c r="W83" s="57"/>
      <c r="X83" s="60"/>
      <c r="Y83" s="45"/>
      <c r="Z83" s="48"/>
      <c r="AA83" s="35"/>
      <c r="AB83" s="36">
        <f t="shared" si="3"/>
        <v>0</v>
      </c>
      <c r="AC83" s="68">
        <f t="shared" si="4"/>
        <v>0</v>
      </c>
      <c r="AD83" s="63">
        <v>2</v>
      </c>
      <c r="AE83" s="32">
        <f t="shared" si="5"/>
        <v>2</v>
      </c>
      <c r="AF83" s="56"/>
      <c r="AG83" s="56"/>
      <c r="AH83" s="37">
        <f t="shared" si="6"/>
        <v>17</v>
      </c>
      <c r="AI83" s="38">
        <v>65</v>
      </c>
      <c r="AJ83" s="30">
        <f t="shared" si="7"/>
        <v>82</v>
      </c>
      <c r="AK83" s="37">
        <f t="shared" si="8"/>
        <v>82</v>
      </c>
      <c r="AL83" s="39">
        <f t="shared" si="9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11"/>
        <v>0</v>
      </c>
      <c r="AX83" s="71">
        <f t="shared" si="12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"/>
        <v>15</v>
      </c>
      <c r="V84" s="68">
        <f t="shared" si="2"/>
        <v>15</v>
      </c>
      <c r="W84" s="57"/>
      <c r="X84" s="60"/>
      <c r="Y84" s="45"/>
      <c r="Z84" s="48"/>
      <c r="AA84" s="35"/>
      <c r="AB84" s="36">
        <f t="shared" si="3"/>
        <v>0</v>
      </c>
      <c r="AC84" s="68">
        <f t="shared" si="4"/>
        <v>0</v>
      </c>
      <c r="AD84" s="63">
        <v>2</v>
      </c>
      <c r="AE84" s="32">
        <f t="shared" si="5"/>
        <v>2</v>
      </c>
      <c r="AF84" s="56"/>
      <c r="AG84" s="56"/>
      <c r="AH84" s="37">
        <f t="shared" si="6"/>
        <v>17</v>
      </c>
      <c r="AI84" s="38">
        <v>65</v>
      </c>
      <c r="AJ84" s="30">
        <f t="shared" si="7"/>
        <v>82</v>
      </c>
      <c r="AK84" s="37">
        <f t="shared" si="8"/>
        <v>82</v>
      </c>
      <c r="AL84" s="39">
        <f t="shared" si="9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11"/>
        <v>0</v>
      </c>
      <c r="AX84" s="71">
        <f t="shared" si="12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"/>
        <v>15</v>
      </c>
      <c r="V85" s="68">
        <f t="shared" si="2"/>
        <v>15</v>
      </c>
      <c r="W85" s="57"/>
      <c r="X85" s="60"/>
      <c r="Y85" s="45"/>
      <c r="Z85" s="48"/>
      <c r="AA85" s="35"/>
      <c r="AB85" s="36">
        <f t="shared" si="3"/>
        <v>0</v>
      </c>
      <c r="AC85" s="68">
        <f t="shared" si="4"/>
        <v>0</v>
      </c>
      <c r="AD85" s="63">
        <v>2</v>
      </c>
      <c r="AE85" s="32">
        <f t="shared" si="5"/>
        <v>2</v>
      </c>
      <c r="AF85" s="56"/>
      <c r="AG85" s="56"/>
      <c r="AH85" s="37">
        <f t="shared" si="6"/>
        <v>17</v>
      </c>
      <c r="AI85" s="38">
        <v>65</v>
      </c>
      <c r="AJ85" s="30">
        <f t="shared" si="7"/>
        <v>82</v>
      </c>
      <c r="AK85" s="37">
        <f t="shared" si="8"/>
        <v>82</v>
      </c>
      <c r="AL85" s="39">
        <f t="shared" si="9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11"/>
        <v>0</v>
      </c>
      <c r="AX85" s="71">
        <f t="shared" si="12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ref="U86:U147" si="17">ROUND(((P86*I86)+(Q86*J86)+(R86*K86)+(S86*L86)+(T86*M86))*O86,2)</f>
        <v>15</v>
      </c>
      <c r="V86" s="68">
        <f t="shared" ref="V86:V147" si="18">IF(U86&gt;=15,15,U86)</f>
        <v>15</v>
      </c>
      <c r="W86" s="57"/>
      <c r="X86" s="60"/>
      <c r="Y86" s="45"/>
      <c r="Z86" s="48"/>
      <c r="AA86" s="35"/>
      <c r="AB86" s="36">
        <f t="shared" ref="AB86:AB147" si="19">ROUND((((W86*I86)+(X86*J86)+(Y86*K86)+(Z86*L86)+(AA86*M86))/$I$2),2)*13</f>
        <v>0</v>
      </c>
      <c r="AC86" s="68">
        <f t="shared" ref="AC86:AC147" si="20">IF(AB86&gt;=13,13,AB86)</f>
        <v>0</v>
      </c>
      <c r="AD86" s="63">
        <v>2</v>
      </c>
      <c r="AE86" s="32">
        <f t="shared" ref="AE86:AE147" si="21">IF((AC86+AD86)&gt;=15,15,(AC86+AD86))</f>
        <v>2</v>
      </c>
      <c r="AF86" s="56"/>
      <c r="AG86" s="56"/>
      <c r="AH86" s="37">
        <f t="shared" ref="AH86:AH147" si="22">IF((V86+AE86+AF86)&gt;=30,30,(V86+AE86+AF86))</f>
        <v>17</v>
      </c>
      <c r="AI86" s="38">
        <v>65</v>
      </c>
      <c r="AJ86" s="30">
        <f t="shared" ref="AJ86:AJ147" si="23">V86+AE86+AF86+AI86+AG86</f>
        <v>82</v>
      </c>
      <c r="AK86" s="37">
        <f t="shared" ref="AK86:AK147" si="24">IF(AH86+AI86+AG86&gt;=95,95,AH86+AI86+AG86)</f>
        <v>82</v>
      </c>
      <c r="AL86" s="39">
        <f t="shared" ref="AL86:AL147" si="25">-((50-((176+(45+(50-AH86)))))/200)</f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ref="AW86:AW147" si="26">AR86+AS86+AT86+AU86+AV86</f>
        <v>0</v>
      </c>
      <c r="AX86" s="71">
        <f t="shared" ref="AX86:AX147" si="27">(AR86*I86)+(AS86*J86)+(AT86*K86)+(AU86*L86)+(AV86*M86)</f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16"/>
        <v>1</v>
      </c>
      <c r="AO95" s="41">
        <f t="shared" si="16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16"/>
        <v>1</v>
      </c>
      <c r="AO96" s="41">
        <f t="shared" si="16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16"/>
        <v>1</v>
      </c>
      <c r="AO97" s="41">
        <f t="shared" si="16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16"/>
        <v>1</v>
      </c>
      <c r="AO98" s="41">
        <f t="shared" si="16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16"/>
        <v>1</v>
      </c>
      <c r="AO99" s="41">
        <f t="shared" si="16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16"/>
        <v>1</v>
      </c>
      <c r="AO100" s="41">
        <f t="shared" si="16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16"/>
        <v>1</v>
      </c>
      <c r="AO101" s="41">
        <f t="shared" si="16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ref="AN102:AO121" si="28">100%+AM102</f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64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4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4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14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14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14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28"/>
        <v>1</v>
      </c>
      <c r="AO115" s="41">
        <f t="shared" si="28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14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28"/>
        <v>1</v>
      </c>
      <c r="AO116" s="41">
        <f t="shared" si="28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14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28"/>
        <v>1</v>
      </c>
      <c r="AO117" s="41">
        <f t="shared" si="28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ref="N118:N147" si="29">SUM(I118:M118)</f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28"/>
        <v>1</v>
      </c>
      <c r="AO118" s="41">
        <f t="shared" si="28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57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28"/>
        <v>1</v>
      </c>
      <c r="AO119" s="41">
        <f t="shared" si="28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28"/>
        <v>1</v>
      </c>
      <c r="AO120" s="41">
        <f t="shared" si="28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28"/>
        <v>1</v>
      </c>
      <c r="AO121" s="41">
        <f t="shared" si="28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ref="AN122:AO141" si="30">100%+AM122</f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53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6.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1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4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0"/>
        <v>1</v>
      </c>
      <c r="AO135" s="41">
        <f t="shared" si="3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0"/>
        <v>1</v>
      </c>
      <c r="AO136" s="41">
        <f t="shared" si="3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1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0"/>
        <v>1</v>
      </c>
      <c r="AO137" s="41">
        <f t="shared" si="30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0"/>
        <v>1</v>
      </c>
      <c r="AO138" s="41">
        <f t="shared" si="30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12" customFormat="1" ht="47.2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0"/>
        <v>1</v>
      </c>
      <c r="AO139" s="41">
        <f t="shared" si="30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42" customFormat="1" ht="46.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0"/>
        <v>1</v>
      </c>
      <c r="AO140" s="41">
        <f t="shared" si="30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  <row r="141" spans="1:50" s="42" customFormat="1" ht="46.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29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7"/>
        <v>15</v>
      </c>
      <c r="V141" s="68">
        <f t="shared" si="18"/>
        <v>15</v>
      </c>
      <c r="W141" s="57"/>
      <c r="X141" s="60"/>
      <c r="Y141" s="45"/>
      <c r="Z141" s="48"/>
      <c r="AA141" s="35"/>
      <c r="AB141" s="36">
        <f t="shared" si="19"/>
        <v>0</v>
      </c>
      <c r="AC141" s="68">
        <f t="shared" si="20"/>
        <v>0</v>
      </c>
      <c r="AD141" s="63">
        <v>2</v>
      </c>
      <c r="AE141" s="32">
        <f t="shared" si="21"/>
        <v>2</v>
      </c>
      <c r="AF141" s="56"/>
      <c r="AG141" s="56"/>
      <c r="AH141" s="37">
        <f t="shared" si="22"/>
        <v>17</v>
      </c>
      <c r="AI141" s="38">
        <v>65</v>
      </c>
      <c r="AJ141" s="30">
        <f t="shared" si="23"/>
        <v>82</v>
      </c>
      <c r="AK141" s="37">
        <f t="shared" si="24"/>
        <v>82</v>
      </c>
      <c r="AL141" s="39">
        <f t="shared" si="25"/>
        <v>1.02</v>
      </c>
      <c r="AM141" s="40"/>
      <c r="AN141" s="41">
        <f t="shared" si="30"/>
        <v>1</v>
      </c>
      <c r="AO141" s="41">
        <f t="shared" si="30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6"/>
        <v>0</v>
      </c>
      <c r="AX141" s="71">
        <f t="shared" si="27"/>
        <v>0</v>
      </c>
    </row>
    <row r="142" spans="1:50" s="42" customFormat="1" ht="47.2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29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7"/>
        <v>15</v>
      </c>
      <c r="V142" s="68">
        <f t="shared" si="18"/>
        <v>15</v>
      </c>
      <c r="W142" s="57"/>
      <c r="X142" s="60"/>
      <c r="Y142" s="45"/>
      <c r="Z142" s="48"/>
      <c r="AA142" s="35"/>
      <c r="AB142" s="36">
        <f t="shared" si="19"/>
        <v>0</v>
      </c>
      <c r="AC142" s="68">
        <f t="shared" si="20"/>
        <v>0</v>
      </c>
      <c r="AD142" s="63">
        <v>2</v>
      </c>
      <c r="AE142" s="32">
        <f t="shared" si="21"/>
        <v>2</v>
      </c>
      <c r="AF142" s="56"/>
      <c r="AG142" s="56"/>
      <c r="AH142" s="37">
        <f t="shared" si="22"/>
        <v>17</v>
      </c>
      <c r="AI142" s="38">
        <v>65</v>
      </c>
      <c r="AJ142" s="30">
        <f t="shared" si="23"/>
        <v>82</v>
      </c>
      <c r="AK142" s="37">
        <f t="shared" si="24"/>
        <v>82</v>
      </c>
      <c r="AL142" s="39">
        <f t="shared" si="25"/>
        <v>1.02</v>
      </c>
      <c r="AM142" s="40"/>
      <c r="AN142" s="41">
        <f t="shared" ref="AN142:AO147" si="31">100%+AM142</f>
        <v>1</v>
      </c>
      <c r="AO142" s="41">
        <f t="shared" si="31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6"/>
        <v>0</v>
      </c>
      <c r="AX142" s="71">
        <f t="shared" si="27"/>
        <v>0</v>
      </c>
    </row>
    <row r="143" spans="1:50" s="12" customFormat="1" ht="47.25" customHeight="1" thickBot="1" x14ac:dyDescent="0.2">
      <c r="A143" s="49"/>
      <c r="B143" s="49"/>
      <c r="C143" s="49"/>
      <c r="D143" s="49"/>
      <c r="E143" s="49"/>
      <c r="F143" s="49"/>
      <c r="G143" s="53"/>
      <c r="H143" s="64"/>
      <c r="I143" s="25">
        <v>0.51</v>
      </c>
      <c r="J143" s="26">
        <v>0.49</v>
      </c>
      <c r="K143" s="26"/>
      <c r="L143" s="26"/>
      <c r="M143" s="62"/>
      <c r="N143" s="27">
        <f t="shared" si="29"/>
        <v>1</v>
      </c>
      <c r="O143" s="28">
        <v>1</v>
      </c>
      <c r="P143" s="29">
        <v>15</v>
      </c>
      <c r="Q143" s="30">
        <v>15</v>
      </c>
      <c r="R143" s="30"/>
      <c r="S143" s="30"/>
      <c r="T143" s="31"/>
      <c r="U143" s="32">
        <f t="shared" si="17"/>
        <v>15</v>
      </c>
      <c r="V143" s="68">
        <f t="shared" si="18"/>
        <v>15</v>
      </c>
      <c r="W143" s="57"/>
      <c r="X143" s="60"/>
      <c r="Y143" s="45"/>
      <c r="Z143" s="48"/>
      <c r="AA143" s="35"/>
      <c r="AB143" s="36">
        <f t="shared" si="19"/>
        <v>0</v>
      </c>
      <c r="AC143" s="68">
        <f t="shared" si="20"/>
        <v>0</v>
      </c>
      <c r="AD143" s="63">
        <v>2</v>
      </c>
      <c r="AE143" s="32">
        <f t="shared" si="21"/>
        <v>2</v>
      </c>
      <c r="AF143" s="56"/>
      <c r="AG143" s="56"/>
      <c r="AH143" s="37">
        <f t="shared" si="22"/>
        <v>17</v>
      </c>
      <c r="AI143" s="38">
        <v>65</v>
      </c>
      <c r="AJ143" s="30">
        <f t="shared" si="23"/>
        <v>82</v>
      </c>
      <c r="AK143" s="37">
        <f t="shared" si="24"/>
        <v>82</v>
      </c>
      <c r="AL143" s="39">
        <f t="shared" si="25"/>
        <v>1.02</v>
      </c>
      <c r="AM143" s="40"/>
      <c r="AN143" s="41">
        <f t="shared" si="31"/>
        <v>1</v>
      </c>
      <c r="AO143" s="41">
        <f t="shared" si="31"/>
        <v>2</v>
      </c>
      <c r="AP143" s="43"/>
      <c r="AQ143" s="70"/>
      <c r="AR143" s="58"/>
      <c r="AS143" s="58"/>
      <c r="AT143" s="58"/>
      <c r="AU143" s="58"/>
      <c r="AV143" s="59"/>
      <c r="AW143" s="71">
        <f t="shared" si="26"/>
        <v>0</v>
      </c>
      <c r="AX143" s="71">
        <f t="shared" si="27"/>
        <v>0</v>
      </c>
    </row>
    <row r="144" spans="1:50" s="42" customFormat="1" ht="46.5" customHeight="1" thickBot="1" x14ac:dyDescent="0.2">
      <c r="A144" s="49"/>
      <c r="B144" s="49"/>
      <c r="C144" s="49"/>
      <c r="D144" s="49"/>
      <c r="E144" s="49"/>
      <c r="F144" s="49"/>
      <c r="G144" s="53"/>
      <c r="H144" s="64"/>
      <c r="I144" s="25">
        <v>0.51</v>
      </c>
      <c r="J144" s="26">
        <v>0.49</v>
      </c>
      <c r="K144" s="26"/>
      <c r="L144" s="26"/>
      <c r="M144" s="62"/>
      <c r="N144" s="27">
        <f t="shared" si="29"/>
        <v>1</v>
      </c>
      <c r="O144" s="28">
        <v>1</v>
      </c>
      <c r="P144" s="29">
        <v>15</v>
      </c>
      <c r="Q144" s="30">
        <v>15</v>
      </c>
      <c r="R144" s="30"/>
      <c r="S144" s="30"/>
      <c r="T144" s="31"/>
      <c r="U144" s="32">
        <f t="shared" si="17"/>
        <v>15</v>
      </c>
      <c r="V144" s="68">
        <f t="shared" si="18"/>
        <v>15</v>
      </c>
      <c r="W144" s="57"/>
      <c r="X144" s="60"/>
      <c r="Y144" s="45"/>
      <c r="Z144" s="48"/>
      <c r="AA144" s="35"/>
      <c r="AB144" s="36">
        <f t="shared" si="19"/>
        <v>0</v>
      </c>
      <c r="AC144" s="68">
        <f t="shared" si="20"/>
        <v>0</v>
      </c>
      <c r="AD144" s="63">
        <v>2</v>
      </c>
      <c r="AE144" s="32">
        <f t="shared" si="21"/>
        <v>2</v>
      </c>
      <c r="AF144" s="56"/>
      <c r="AG144" s="56"/>
      <c r="AH144" s="37">
        <f t="shared" si="22"/>
        <v>17</v>
      </c>
      <c r="AI144" s="38">
        <v>65</v>
      </c>
      <c r="AJ144" s="30">
        <f t="shared" si="23"/>
        <v>82</v>
      </c>
      <c r="AK144" s="37">
        <f t="shared" si="24"/>
        <v>82</v>
      </c>
      <c r="AL144" s="39">
        <f t="shared" si="25"/>
        <v>1.02</v>
      </c>
      <c r="AM144" s="40"/>
      <c r="AN144" s="41">
        <f t="shared" si="31"/>
        <v>1</v>
      </c>
      <c r="AO144" s="41">
        <f t="shared" si="31"/>
        <v>2</v>
      </c>
      <c r="AP144" s="43"/>
      <c r="AQ144" s="70"/>
      <c r="AR144" s="58"/>
      <c r="AS144" s="58"/>
      <c r="AT144" s="58"/>
      <c r="AU144" s="58"/>
      <c r="AV144" s="59"/>
      <c r="AW144" s="71">
        <f t="shared" si="26"/>
        <v>0</v>
      </c>
      <c r="AX144" s="71">
        <f t="shared" si="27"/>
        <v>0</v>
      </c>
    </row>
    <row r="145" spans="1:50" s="12" customFormat="1" ht="47.25" customHeight="1" thickBot="1" x14ac:dyDescent="0.2">
      <c r="A145" s="49"/>
      <c r="B145" s="49"/>
      <c r="C145" s="49"/>
      <c r="D145" s="49"/>
      <c r="E145" s="49"/>
      <c r="F145" s="49"/>
      <c r="G145" s="53"/>
      <c r="H145" s="64"/>
      <c r="I145" s="25">
        <v>0.51</v>
      </c>
      <c r="J145" s="26">
        <v>0.49</v>
      </c>
      <c r="K145" s="26"/>
      <c r="L145" s="26"/>
      <c r="M145" s="62"/>
      <c r="N145" s="27">
        <f t="shared" si="29"/>
        <v>1</v>
      </c>
      <c r="O145" s="28">
        <v>1</v>
      </c>
      <c r="P145" s="29">
        <v>15</v>
      </c>
      <c r="Q145" s="30">
        <v>15</v>
      </c>
      <c r="R145" s="30"/>
      <c r="S145" s="30"/>
      <c r="T145" s="31"/>
      <c r="U145" s="32">
        <f t="shared" si="17"/>
        <v>15</v>
      </c>
      <c r="V145" s="68">
        <f t="shared" si="18"/>
        <v>15</v>
      </c>
      <c r="W145" s="57"/>
      <c r="X145" s="60"/>
      <c r="Y145" s="45"/>
      <c r="Z145" s="48"/>
      <c r="AA145" s="35"/>
      <c r="AB145" s="36">
        <f t="shared" si="19"/>
        <v>0</v>
      </c>
      <c r="AC145" s="68">
        <f t="shared" si="20"/>
        <v>0</v>
      </c>
      <c r="AD145" s="63">
        <v>2</v>
      </c>
      <c r="AE145" s="32">
        <f t="shared" si="21"/>
        <v>2</v>
      </c>
      <c r="AF145" s="56"/>
      <c r="AG145" s="56"/>
      <c r="AH145" s="37">
        <f t="shared" si="22"/>
        <v>17</v>
      </c>
      <c r="AI145" s="38">
        <v>65</v>
      </c>
      <c r="AJ145" s="30">
        <f t="shared" si="23"/>
        <v>82</v>
      </c>
      <c r="AK145" s="37">
        <f t="shared" si="24"/>
        <v>82</v>
      </c>
      <c r="AL145" s="39">
        <f t="shared" si="25"/>
        <v>1.02</v>
      </c>
      <c r="AM145" s="40"/>
      <c r="AN145" s="41">
        <f t="shared" si="31"/>
        <v>1</v>
      </c>
      <c r="AO145" s="41">
        <f t="shared" si="31"/>
        <v>2</v>
      </c>
      <c r="AP145" s="43"/>
      <c r="AQ145" s="70"/>
      <c r="AR145" s="58"/>
      <c r="AS145" s="58"/>
      <c r="AT145" s="58"/>
      <c r="AU145" s="58"/>
      <c r="AV145" s="59"/>
      <c r="AW145" s="71">
        <f t="shared" si="26"/>
        <v>0</v>
      </c>
      <c r="AX145" s="71">
        <f t="shared" si="27"/>
        <v>0</v>
      </c>
    </row>
    <row r="146" spans="1:50" s="42" customFormat="1" ht="47.25" customHeight="1" thickBot="1" x14ac:dyDescent="0.2">
      <c r="A146" s="49"/>
      <c r="B146" s="49"/>
      <c r="C146" s="49"/>
      <c r="D146" s="49"/>
      <c r="E146" s="49"/>
      <c r="F146" s="49"/>
      <c r="G146" s="53"/>
      <c r="H146" s="64"/>
      <c r="I146" s="25">
        <v>0.51</v>
      </c>
      <c r="J146" s="26">
        <v>0.49</v>
      </c>
      <c r="K146" s="26"/>
      <c r="L146" s="26"/>
      <c r="M146" s="62"/>
      <c r="N146" s="27">
        <f t="shared" si="29"/>
        <v>1</v>
      </c>
      <c r="O146" s="28">
        <v>1</v>
      </c>
      <c r="P146" s="29">
        <v>15</v>
      </c>
      <c r="Q146" s="30">
        <v>15</v>
      </c>
      <c r="R146" s="30"/>
      <c r="S146" s="30"/>
      <c r="T146" s="31"/>
      <c r="U146" s="32">
        <f t="shared" si="17"/>
        <v>15</v>
      </c>
      <c r="V146" s="68">
        <f t="shared" si="18"/>
        <v>15</v>
      </c>
      <c r="W146" s="57"/>
      <c r="X146" s="60"/>
      <c r="Y146" s="45"/>
      <c r="Z146" s="48"/>
      <c r="AA146" s="35"/>
      <c r="AB146" s="36">
        <f t="shared" si="19"/>
        <v>0</v>
      </c>
      <c r="AC146" s="68">
        <f t="shared" si="20"/>
        <v>0</v>
      </c>
      <c r="AD146" s="63">
        <v>2</v>
      </c>
      <c r="AE146" s="32">
        <f t="shared" si="21"/>
        <v>2</v>
      </c>
      <c r="AF146" s="56"/>
      <c r="AG146" s="56"/>
      <c r="AH146" s="37">
        <f t="shared" si="22"/>
        <v>17</v>
      </c>
      <c r="AI146" s="38">
        <v>65</v>
      </c>
      <c r="AJ146" s="30">
        <f t="shared" si="23"/>
        <v>82</v>
      </c>
      <c r="AK146" s="37">
        <f t="shared" si="24"/>
        <v>82</v>
      </c>
      <c r="AL146" s="39">
        <f t="shared" si="25"/>
        <v>1.02</v>
      </c>
      <c r="AM146" s="40"/>
      <c r="AN146" s="41">
        <f t="shared" si="31"/>
        <v>1</v>
      </c>
      <c r="AO146" s="41">
        <f t="shared" si="31"/>
        <v>2</v>
      </c>
      <c r="AP146" s="43"/>
      <c r="AQ146" s="70"/>
      <c r="AR146" s="58"/>
      <c r="AS146" s="58"/>
      <c r="AT146" s="58"/>
      <c r="AU146" s="58"/>
      <c r="AV146" s="59"/>
      <c r="AW146" s="71">
        <f t="shared" si="26"/>
        <v>0</v>
      </c>
      <c r="AX146" s="71">
        <f t="shared" si="27"/>
        <v>0</v>
      </c>
    </row>
    <row r="147" spans="1:50" s="42" customFormat="1" ht="46.5" customHeight="1" thickBot="1" x14ac:dyDescent="0.2">
      <c r="A147" s="49"/>
      <c r="B147" s="49"/>
      <c r="C147" s="49"/>
      <c r="D147" s="49"/>
      <c r="E147" s="49"/>
      <c r="F147" s="49"/>
      <c r="G147" s="53"/>
      <c r="H147" s="64"/>
      <c r="I147" s="25">
        <v>0.51</v>
      </c>
      <c r="J147" s="26">
        <v>0.49</v>
      </c>
      <c r="K147" s="26"/>
      <c r="L147" s="26"/>
      <c r="M147" s="62"/>
      <c r="N147" s="27">
        <f t="shared" si="29"/>
        <v>1</v>
      </c>
      <c r="O147" s="28">
        <v>1</v>
      </c>
      <c r="P147" s="29">
        <v>15</v>
      </c>
      <c r="Q147" s="30">
        <v>15</v>
      </c>
      <c r="R147" s="30"/>
      <c r="S147" s="30"/>
      <c r="T147" s="31"/>
      <c r="U147" s="32">
        <f t="shared" si="17"/>
        <v>15</v>
      </c>
      <c r="V147" s="68">
        <f t="shared" si="18"/>
        <v>15</v>
      </c>
      <c r="W147" s="57"/>
      <c r="X147" s="60"/>
      <c r="Y147" s="45"/>
      <c r="Z147" s="48"/>
      <c r="AA147" s="35"/>
      <c r="AB147" s="36">
        <f t="shared" si="19"/>
        <v>0</v>
      </c>
      <c r="AC147" s="68">
        <f t="shared" si="20"/>
        <v>0</v>
      </c>
      <c r="AD147" s="63">
        <v>2</v>
      </c>
      <c r="AE147" s="32">
        <f t="shared" si="21"/>
        <v>2</v>
      </c>
      <c r="AF147" s="56"/>
      <c r="AG147" s="56"/>
      <c r="AH147" s="37">
        <f t="shared" si="22"/>
        <v>17</v>
      </c>
      <c r="AI147" s="38">
        <v>65</v>
      </c>
      <c r="AJ147" s="30">
        <f t="shared" si="23"/>
        <v>82</v>
      </c>
      <c r="AK147" s="37">
        <f t="shared" si="24"/>
        <v>82</v>
      </c>
      <c r="AL147" s="39">
        <f t="shared" si="25"/>
        <v>1.02</v>
      </c>
      <c r="AM147" s="40"/>
      <c r="AN147" s="41">
        <f t="shared" si="31"/>
        <v>1</v>
      </c>
      <c r="AO147" s="41">
        <f t="shared" si="31"/>
        <v>2</v>
      </c>
      <c r="AP147" s="43"/>
      <c r="AQ147" s="70"/>
      <c r="AR147" s="58"/>
      <c r="AS147" s="58"/>
      <c r="AT147" s="58"/>
      <c r="AU147" s="58"/>
      <c r="AV147" s="59"/>
      <c r="AW147" s="71">
        <f t="shared" si="26"/>
        <v>0</v>
      </c>
      <c r="AX147" s="71">
        <f t="shared" si="27"/>
        <v>0</v>
      </c>
    </row>
  </sheetData>
  <mergeCells count="58">
    <mergeCell ref="A38:H38"/>
    <mergeCell ref="A40:H40"/>
    <mergeCell ref="A42:H42"/>
    <mergeCell ref="A26:H26"/>
    <mergeCell ref="A28:H28"/>
    <mergeCell ref="A30:H30"/>
    <mergeCell ref="A33:H33"/>
    <mergeCell ref="A35:H35"/>
    <mergeCell ref="A14:H14"/>
    <mergeCell ref="A16:H16"/>
    <mergeCell ref="A18:H18"/>
    <mergeCell ref="A20:H20"/>
    <mergeCell ref="A22:H22"/>
    <mergeCell ref="A24:H24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3612713536</v>
      </c>
      <c r="E1" s="340"/>
      <c r="F1" s="339"/>
      <c r="G1" s="340"/>
      <c r="H1" s="66" t="s">
        <v>108</v>
      </c>
      <c r="I1" s="341">
        <v>6235738889</v>
      </c>
      <c r="J1" s="341"/>
      <c r="K1" s="183" t="s">
        <v>701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>
        <v>3612713536</v>
      </c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3973985000</v>
      </c>
      <c r="E2" s="328"/>
      <c r="F2" s="329"/>
      <c r="G2" s="330"/>
      <c r="H2" s="3" t="s">
        <v>28</v>
      </c>
      <c r="I2" s="331">
        <f>D2*1</f>
        <v>3973985000</v>
      </c>
      <c r="J2" s="329"/>
      <c r="K2" s="129" t="s">
        <v>114</v>
      </c>
      <c r="L2" s="130" t="s">
        <v>115</v>
      </c>
      <c r="M2" s="332">
        <v>45959.625</v>
      </c>
      <c r="N2" s="332"/>
      <c r="O2" s="332"/>
      <c r="P2" s="332"/>
      <c r="Q2" s="131" t="s">
        <v>585</v>
      </c>
      <c r="R2" s="131"/>
      <c r="S2" s="131"/>
      <c r="T2" s="94"/>
      <c r="U2" s="132"/>
      <c r="V2" s="132"/>
      <c r="W2" s="133"/>
      <c r="X2" s="134"/>
      <c r="Y2" s="333">
        <v>1900000000</v>
      </c>
      <c r="Z2" s="333"/>
      <c r="AA2" s="334">
        <f>I1</f>
        <v>6235738889</v>
      </c>
      <c r="AB2" s="335"/>
      <c r="AC2" s="336"/>
      <c r="AD2" s="337">
        <f>TRUNC(Y2/AA2,4)</f>
        <v>0.30459999999999998</v>
      </c>
      <c r="AE2" s="338"/>
      <c r="AF2" s="135"/>
      <c r="AG2" s="322" t="s">
        <v>116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3612713536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47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245"/>
      <c r="AG3" s="245"/>
      <c r="AH3" s="245"/>
      <c r="AI3" s="245"/>
      <c r="AJ3" s="245"/>
      <c r="AK3" s="246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247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588</v>
      </c>
      <c r="D5" s="52"/>
      <c r="E5" s="54"/>
      <c r="F5" s="52"/>
      <c r="G5" s="53"/>
      <c r="H5" s="139"/>
      <c r="I5" s="79">
        <v>1</v>
      </c>
      <c r="J5" s="2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39588420000</v>
      </c>
      <c r="X5" s="184"/>
      <c r="Y5" s="33"/>
      <c r="Z5" s="90"/>
      <c r="AA5" s="102"/>
      <c r="AB5" s="124">
        <f>ROUND((((W5*I5)+(X5*J5)+(Y5*K5)+(Z5*L5)+(AA5*M5))/$I$2),2)*13</f>
        <v>129.48000000000002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0.64</v>
      </c>
      <c r="AH5" s="115">
        <f>IF((V5+AE5+AF5)&gt;=30,30,(V5+AE5+AF5))</f>
        <v>30</v>
      </c>
      <c r="AI5" s="116">
        <v>65</v>
      </c>
      <c r="AJ5" s="44">
        <f>V5+AE5+AF5+AI5+AG5</f>
        <v>95.64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50</v>
      </c>
      <c r="D7" s="50" t="s">
        <v>587</v>
      </c>
      <c r="E7" s="52"/>
      <c r="F7" s="54"/>
      <c r="G7" s="85"/>
      <c r="H7" s="146" t="s">
        <v>591</v>
      </c>
      <c r="I7" s="79">
        <v>0.7</v>
      </c>
      <c r="J7" s="26">
        <v>0.3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0">
        <v>15</v>
      </c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>
        <v>9733078000</v>
      </c>
      <c r="Y7" s="33"/>
      <c r="Z7" s="45"/>
      <c r="AA7" s="35"/>
      <c r="AB7" s="36">
        <f>ROUND((((W7*I7)+(X7*J7)+(Y7*K7)+(Z7*L7)+(AA7*M7))/$I$2),2)*13</f>
        <v>43.81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0.64</v>
      </c>
      <c r="AH7" s="37">
        <f>IF((V7+AE7+AF7)&gt;=30,30,(V7+AE7+AF7))</f>
        <v>30</v>
      </c>
      <c r="AI7" s="38">
        <v>65</v>
      </c>
      <c r="AJ7" s="30">
        <f>V7+AE7+AF7+AI7+AG7</f>
        <v>95.64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2" t="s">
        <v>80</v>
      </c>
      <c r="D9" s="50" t="s">
        <v>586</v>
      </c>
      <c r="E9" s="52"/>
      <c r="F9" s="54"/>
      <c r="G9" s="53"/>
      <c r="H9" s="140"/>
      <c r="I9" s="79">
        <v>0.51</v>
      </c>
      <c r="J9" s="26">
        <v>0.49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39361754000</v>
      </c>
      <c r="X9" s="33">
        <v>3482331000</v>
      </c>
      <c r="Y9" s="33"/>
      <c r="Z9" s="45"/>
      <c r="AA9" s="35"/>
      <c r="AB9" s="36">
        <f>ROUND((((W9*I9)+(X9*J9)+(Y9*K9)+(Z9*L9)+(AA9*M9))/$I$2),2)*13</f>
        <v>71.240000000000009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0.64</v>
      </c>
      <c r="AH9" s="37">
        <f>IF((V9+AE9+AF9)&gt;=30,30,(V9+AE9+AF9))</f>
        <v>30</v>
      </c>
      <c r="AI9" s="38">
        <v>65</v>
      </c>
      <c r="AJ9" s="30">
        <f>V9+AE9+AF9+AI9+AG9</f>
        <v>95.64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2" t="s">
        <v>592</v>
      </c>
      <c r="D11" s="50" t="s">
        <v>589</v>
      </c>
      <c r="E11" s="52" t="s">
        <v>594</v>
      </c>
      <c r="F11" s="54"/>
      <c r="G11" s="53"/>
      <c r="H11" s="140" t="s">
        <v>590</v>
      </c>
      <c r="I11" s="79">
        <v>0.6</v>
      </c>
      <c r="J11" s="193">
        <v>0.2056</v>
      </c>
      <c r="K11" s="26">
        <v>0.1</v>
      </c>
      <c r="L11" s="91"/>
      <c r="M11" s="78"/>
      <c r="N11" s="27">
        <f t="shared" ref="N11:N42" si="0">SUM(I11:M11)</f>
        <v>0.90559999999999996</v>
      </c>
      <c r="O11" s="197">
        <v>1.1000000000000001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14.94</v>
      </c>
      <c r="V11" s="68">
        <f t="shared" ref="V11:V74" si="2">IF(U11&gt;=15,15,U11)</f>
        <v>14.94</v>
      </c>
      <c r="W11" s="33">
        <v>59183685000</v>
      </c>
      <c r="X11" s="33">
        <v>1590440000</v>
      </c>
      <c r="Y11" s="33">
        <v>8139504000</v>
      </c>
      <c r="Z11" s="45"/>
      <c r="AA11" s="35"/>
      <c r="AB11" s="36">
        <f t="shared" ref="AB11:AB74" si="3">ROUND((((W11*I11)+(X11*J11)+(Y11*K11)+(Z11*L11)+(AA11*M11))/$I$2),2)*13</f>
        <v>119.86000000000001</v>
      </c>
      <c r="AC11" s="68">
        <f t="shared" ref="AC11:AC74" si="4">IF(AB11&gt;=13,13,AB11)</f>
        <v>13</v>
      </c>
      <c r="AD11" s="192">
        <v>1</v>
      </c>
      <c r="AE11" s="32">
        <f t="shared" ref="AE11:AE74" si="5">IF((AC11+AD11)&gt;=15,15,(AC11+AD11))</f>
        <v>14</v>
      </c>
      <c r="AF11" s="61">
        <f>1.5*I11</f>
        <v>0.89999999999999991</v>
      </c>
      <c r="AG11" s="114">
        <v>0.64</v>
      </c>
      <c r="AH11" s="37">
        <f t="shared" ref="AH11:AH74" si="6">IF((V11+AE11+AF11)&gt;=30,30,(V11+AE11+AF11))</f>
        <v>29.839999999999996</v>
      </c>
      <c r="AI11" s="38">
        <v>65</v>
      </c>
      <c r="AJ11" s="30">
        <f t="shared" ref="AJ11:AJ74" si="7">V11+AE11+AF11+AI11+AG11</f>
        <v>95.48</v>
      </c>
      <c r="AK11" s="37">
        <f t="shared" ref="AK11:AK74" si="8">IF(AH11+AI11+AG11&gt;=95,95,AH11+AI11+AG11)</f>
        <v>95</v>
      </c>
      <c r="AL11" s="39">
        <f t="shared" ref="AL11:AL74" si="9">-((50-((176+(45+(50-AH11)))))/200)</f>
        <v>0.95579999999999998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224">
        <v>93.38</v>
      </c>
      <c r="J12" s="104">
        <v>85</v>
      </c>
      <c r="K12" s="104">
        <v>85</v>
      </c>
      <c r="L12" s="104"/>
      <c r="M12" s="104"/>
      <c r="N12" s="107">
        <f>I12*I11+J12*J11+K12*K11+L12*L11+M12*M11</f>
        <v>82.003999999999991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23"/>
      <c r="C13" s="52"/>
      <c r="D13" s="52"/>
      <c r="E13" s="52"/>
      <c r="F13" s="54"/>
      <c r="G13" s="53"/>
      <c r="H13" s="86"/>
      <c r="I13" s="79">
        <v>0.7</v>
      </c>
      <c r="J13" s="193">
        <v>0.29099999999999998</v>
      </c>
      <c r="K13" s="26"/>
      <c r="L13" s="77"/>
      <c r="M13" s="78"/>
      <c r="N13" s="27">
        <f t="shared" si="0"/>
        <v>0.99099999999999988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14.87</v>
      </c>
      <c r="V13" s="68">
        <f t="shared" si="2"/>
        <v>14.87</v>
      </c>
      <c r="W13" s="33">
        <v>59183685000</v>
      </c>
      <c r="X13" s="33"/>
      <c r="Y13" s="34"/>
      <c r="Z13" s="45"/>
      <c r="AA13" s="35"/>
      <c r="AB13" s="36">
        <f t="shared" si="3"/>
        <v>135.46</v>
      </c>
      <c r="AC13" s="68">
        <f t="shared" si="4"/>
        <v>13</v>
      </c>
      <c r="AD13" s="192">
        <v>1.5</v>
      </c>
      <c r="AE13" s="32">
        <f t="shared" si="5"/>
        <v>14.5</v>
      </c>
      <c r="AF13" s="61"/>
      <c r="AG13" s="114">
        <v>0.64</v>
      </c>
      <c r="AH13" s="37">
        <f t="shared" si="6"/>
        <v>29.369999999999997</v>
      </c>
      <c r="AI13" s="38">
        <v>65</v>
      </c>
      <c r="AJ13" s="30">
        <f t="shared" si="7"/>
        <v>95.01</v>
      </c>
      <c r="AK13" s="37">
        <f t="shared" si="8"/>
        <v>95</v>
      </c>
      <c r="AL13" s="39">
        <f t="shared" si="9"/>
        <v>0.95814999999999995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/>
      <c r="L14" s="104"/>
      <c r="M14" s="104"/>
      <c r="N14" s="107">
        <f>I14*I13+J14*J13+K14*K13+L14*L13+M14*M13</f>
        <v>84.234999999999985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52"/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52" t="s">
        <v>593</v>
      </c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5">
    <mergeCell ref="A14:H14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12:H12"/>
    <mergeCell ref="AQ3:AQ4"/>
    <mergeCell ref="AR3:AR4"/>
    <mergeCell ref="AS3:AS4"/>
    <mergeCell ref="AT3:AT4"/>
    <mergeCell ref="W3:AE3"/>
    <mergeCell ref="AL3:AL4"/>
    <mergeCell ref="AM3:AM4"/>
    <mergeCell ref="AN3:AN4"/>
    <mergeCell ref="AO3:AO4"/>
    <mergeCell ref="AP3:AP4"/>
    <mergeCell ref="AW3:AW4"/>
    <mergeCell ref="AX3:AX4"/>
    <mergeCell ref="A6:H6"/>
    <mergeCell ref="A8:H8"/>
    <mergeCell ref="A10:H10"/>
    <mergeCell ref="AU3:AU4"/>
    <mergeCell ref="AV3:AV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3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4774800000</v>
      </c>
      <c r="E1" s="340"/>
      <c r="F1" s="339"/>
      <c r="G1" s="340"/>
      <c r="H1" s="66" t="s">
        <v>29</v>
      </c>
      <c r="I1" s="341">
        <v>6574862800</v>
      </c>
      <c r="J1" s="341"/>
      <c r="K1" s="183" t="s">
        <v>689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f>D1</f>
        <v>4774800000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5252280000</v>
      </c>
      <c r="E2" s="328"/>
      <c r="F2" s="329"/>
      <c r="G2" s="330"/>
      <c r="H2" s="3" t="s">
        <v>28</v>
      </c>
      <c r="I2" s="331">
        <f>D2*1</f>
        <v>5252280000</v>
      </c>
      <c r="J2" s="329"/>
      <c r="K2" s="129" t="s">
        <v>46</v>
      </c>
      <c r="L2" s="130" t="s">
        <v>30</v>
      </c>
      <c r="M2" s="332">
        <v>45966.708333333336</v>
      </c>
      <c r="N2" s="332"/>
      <c r="O2" s="332"/>
      <c r="P2" s="332"/>
      <c r="Q2" s="131" t="s">
        <v>427</v>
      </c>
      <c r="R2" s="131"/>
      <c r="S2" s="131"/>
      <c r="T2" s="94"/>
      <c r="U2" s="132"/>
      <c r="V2" s="132"/>
      <c r="W2" s="133"/>
      <c r="X2" s="134"/>
      <c r="Y2" s="377">
        <v>2623000000</v>
      </c>
      <c r="Z2" s="377"/>
      <c r="AA2" s="334">
        <f>I1</f>
        <v>6574862800</v>
      </c>
      <c r="AB2" s="335"/>
      <c r="AC2" s="336"/>
      <c r="AD2" s="337">
        <f>TRUNC(Y2/AA2,4)</f>
        <v>0.39889999999999998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38</v>
      </c>
      <c r="AS2" s="348">
        <f>AI1</f>
        <v>4774800000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50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48"/>
      <c r="AG3" s="248"/>
      <c r="AH3" s="248"/>
      <c r="AI3" s="248"/>
      <c r="AJ3" s="248"/>
      <c r="AK3" s="249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50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428</v>
      </c>
      <c r="D5" s="52"/>
      <c r="E5" s="54"/>
      <c r="F5" s="52"/>
      <c r="G5" s="53"/>
      <c r="H5" s="139"/>
      <c r="I5" s="79">
        <v>1</v>
      </c>
      <c r="J5" s="231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75440266000</v>
      </c>
      <c r="X5" s="184"/>
      <c r="Y5" s="33"/>
      <c r="Z5" s="90"/>
      <c r="AA5" s="102"/>
      <c r="AB5" s="124">
        <f>ROUND((((W5*I5)+(X5*J5)+(Y5*K5)+(Z5*L5)+(AA5*M5))/$I$2),2)*13</f>
        <v>186.68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/>
      <c r="AH5" s="115">
        <f>IF((V5+AE5+AF5)&gt;=30,30,(V5+AE5+AF5))</f>
        <v>30</v>
      </c>
      <c r="AI5" s="116">
        <v>65</v>
      </c>
      <c r="AJ5" s="44">
        <f>V5+AE5+AF5+AI5+AG5</f>
        <v>95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30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0" t="s">
        <v>429</v>
      </c>
      <c r="D7" s="52"/>
      <c r="E7" s="54"/>
      <c r="F7" s="54"/>
      <c r="G7" s="53"/>
      <c r="H7" s="140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57"/>
      <c r="R7" s="80"/>
      <c r="S7" s="31"/>
      <c r="T7" s="89"/>
      <c r="U7" s="32">
        <f>ROUND(((P7*I7)+(Q7*J7)+(R7*K7)+(S7*L7)+(T7*M7))*O7,2)</f>
        <v>15</v>
      </c>
      <c r="V7" s="68">
        <f>IF(U7&gt;=15,15,U7)</f>
        <v>15</v>
      </c>
      <c r="W7" s="33">
        <v>17928117000</v>
      </c>
      <c r="X7" s="33"/>
      <c r="Y7" s="33"/>
      <c r="Z7" s="45"/>
      <c r="AA7" s="35"/>
      <c r="AB7" s="36">
        <f>ROUND((((W7*I7)+(X7*J7)+(Y7*K7)+(Z7*L7)+(AA7*M7))/$I$2),2)*13</f>
        <v>44.33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/>
      <c r="AH7" s="37">
        <f>IF((V7+AE7+AF7)&gt;=30,30,(V7+AE7+AF7))</f>
        <v>30</v>
      </c>
      <c r="AI7" s="38">
        <v>65</v>
      </c>
      <c r="AJ7" s="30">
        <f>V7+AE7+AF7+AI7+AG7</f>
        <v>95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04"/>
      <c r="K8" s="104"/>
      <c r="L8" s="104"/>
      <c r="M8" s="104"/>
      <c r="N8" s="143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283"/>
      <c r="C9" s="50" t="s">
        <v>595</v>
      </c>
      <c r="D9" s="259" t="s">
        <v>642</v>
      </c>
      <c r="E9" s="251"/>
      <c r="F9" s="54"/>
      <c r="G9" s="85"/>
      <c r="H9" s="146"/>
      <c r="I9" s="280">
        <v>0.61</v>
      </c>
      <c r="J9" s="257">
        <v>0.39</v>
      </c>
      <c r="K9" s="252"/>
      <c r="L9" s="77"/>
      <c r="M9" s="78"/>
      <c r="N9" s="27">
        <f>SUM(I9:M9)</f>
        <v>1</v>
      </c>
      <c r="O9" s="28">
        <v>1</v>
      </c>
      <c r="P9" s="80">
        <v>15</v>
      </c>
      <c r="Q9" s="253">
        <v>15</v>
      </c>
      <c r="R9" s="253"/>
      <c r="S9" s="30"/>
      <c r="T9" s="89"/>
      <c r="U9" s="32">
        <f>ROUND(((P9*I9)+(Q9*J9)+(R9*K9)+(S9*L9)+(T9*M9))*O9,2)</f>
        <v>15</v>
      </c>
      <c r="V9" s="68">
        <f>IF(U9&gt;=15,15,U9)</f>
        <v>15</v>
      </c>
      <c r="W9" s="33">
        <v>13410300000</v>
      </c>
      <c r="X9" s="254">
        <v>2925617000</v>
      </c>
      <c r="Y9" s="255"/>
      <c r="Z9" s="45"/>
      <c r="AA9" s="35"/>
      <c r="AB9" s="36">
        <f>ROUND((((W9*I9)+(X9*J9)+(Y9*K9)+(Z9*L9)+(AA9*M9))/$I$2),2)*13</f>
        <v>23.01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233"/>
      <c r="AG9" s="114"/>
      <c r="AH9" s="37">
        <f>IF((V9+AE9+AF9)&gt;=30,30,(V9+AE9+AF9))</f>
        <v>30</v>
      </c>
      <c r="AI9" s="38">
        <v>65</v>
      </c>
      <c r="AJ9" s="30">
        <f>V9+AE9+AF9+AI9+AG9</f>
        <v>95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230">
        <v>85</v>
      </c>
      <c r="J10" s="104">
        <v>85</v>
      </c>
      <c r="K10" s="104"/>
      <c r="L10" s="104"/>
      <c r="M10" s="104"/>
      <c r="N10" s="143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82"/>
      <c r="C11" s="50" t="s">
        <v>596</v>
      </c>
      <c r="D11" s="279" t="s">
        <v>626</v>
      </c>
      <c r="E11" s="54"/>
      <c r="F11" s="54"/>
      <c r="G11" s="53"/>
      <c r="H11" s="140" t="s">
        <v>627</v>
      </c>
      <c r="I11" s="278">
        <v>0.64180000000000004</v>
      </c>
      <c r="J11" s="266">
        <v>0.34</v>
      </c>
      <c r="K11" s="26"/>
      <c r="L11" s="91"/>
      <c r="M11" s="78"/>
      <c r="N11" s="27">
        <f t="shared" ref="N11:N39" si="0">SUM(I11:M11)</f>
        <v>0.98180000000000001</v>
      </c>
      <c r="O11" s="28">
        <v>1</v>
      </c>
      <c r="P11" s="80">
        <v>15</v>
      </c>
      <c r="Q11" s="253">
        <v>15</v>
      </c>
      <c r="R11" s="56"/>
      <c r="S11" s="30"/>
      <c r="T11" s="89"/>
      <c r="U11" s="32">
        <f t="shared" ref="U11:U71" si="1">ROUND(((P11*I11)+(Q11*J11)+(R11*K11)+(S11*L11)+(T11*M11))*O11,2)</f>
        <v>14.73</v>
      </c>
      <c r="V11" s="68">
        <f t="shared" ref="V11:V71" si="2">IF(U11&gt;=15,15,U11)</f>
        <v>14.73</v>
      </c>
      <c r="W11" s="82">
        <v>28147269000</v>
      </c>
      <c r="X11" s="268">
        <v>3843363000</v>
      </c>
      <c r="Y11" s="33"/>
      <c r="Z11" s="45"/>
      <c r="AA11" s="35"/>
      <c r="AB11" s="36">
        <f t="shared" ref="AB11:AB71" si="3">ROUND((((W11*I11)+(X11*J11)+(Y11*K11)+(Z11*L11)+(AA11*M11))/$I$2),2)*13</f>
        <v>47.97</v>
      </c>
      <c r="AC11" s="68">
        <f t="shared" ref="AC11:AC71" si="4">IF(AB11&gt;=13,13,AB11)</f>
        <v>13</v>
      </c>
      <c r="AD11" s="192">
        <v>1.5</v>
      </c>
      <c r="AE11" s="32">
        <f t="shared" ref="AE11:AE71" si="5">IF((AC11+AD11)&gt;=15,15,(AC11+AD11))</f>
        <v>14.5</v>
      </c>
      <c r="AF11" s="61">
        <f>1.5*I11</f>
        <v>0.96270000000000011</v>
      </c>
      <c r="AG11" s="114"/>
      <c r="AH11" s="37">
        <f t="shared" ref="AH11:AH71" si="6">IF((V11+AE11+AF11)&gt;=30,30,(V11+AE11+AF11))</f>
        <v>30</v>
      </c>
      <c r="AI11" s="38">
        <v>65</v>
      </c>
      <c r="AJ11" s="30">
        <f t="shared" ref="AJ11:AJ71" si="7">V11+AE11+AF11+AI11+AG11</f>
        <v>95.192700000000002</v>
      </c>
      <c r="AK11" s="37">
        <f t="shared" ref="AK11:AK71" si="8">IF(AH11+AI11+AG11&gt;=95,95,AH11+AI11+AG11)</f>
        <v>95</v>
      </c>
      <c r="AL11" s="39">
        <f t="shared" ref="AL11:AL71" si="9">-((50-((176+(45+(50-AH11)))))/200)</f>
        <v>0.95499999999999996</v>
      </c>
      <c r="AM11" s="40"/>
      <c r="AN11" s="41">
        <f t="shared" ref="AN11:AO25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1" si="11">AR11+AS11+AT11+AU11+AV11</f>
        <v>0</v>
      </c>
      <c r="AX11" s="71">
        <f t="shared" ref="AX11:AX71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230">
        <v>85</v>
      </c>
      <c r="J12" s="281">
        <v>85</v>
      </c>
      <c r="K12" s="104"/>
      <c r="L12" s="104"/>
      <c r="M12" s="104"/>
      <c r="N12" s="143">
        <f>I12*I11+J12*J11+K12*K11+L12*L11+M12*M11</f>
        <v>83.453000000000003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282"/>
      <c r="C13" s="52" t="s">
        <v>443</v>
      </c>
      <c r="D13" s="258" t="s">
        <v>612</v>
      </c>
      <c r="E13" s="258" t="s">
        <v>598</v>
      </c>
      <c r="F13" s="54"/>
      <c r="G13" s="53"/>
      <c r="H13" s="140"/>
      <c r="I13" s="79">
        <v>0.7</v>
      </c>
      <c r="J13" s="272">
        <v>0.19</v>
      </c>
      <c r="K13" s="252">
        <v>0.11</v>
      </c>
      <c r="L13" s="77"/>
      <c r="M13" s="78"/>
      <c r="N13" s="27">
        <f t="shared" si="0"/>
        <v>0.99999999999999989</v>
      </c>
      <c r="O13" s="197">
        <v>1.1000000000000001</v>
      </c>
      <c r="P13" s="80">
        <v>15</v>
      </c>
      <c r="Q13" s="265">
        <v>14.9</v>
      </c>
      <c r="R13" s="260">
        <v>15</v>
      </c>
      <c r="S13" s="31"/>
      <c r="T13" s="89"/>
      <c r="U13" s="32">
        <f t="shared" si="1"/>
        <v>16.48</v>
      </c>
      <c r="V13" s="68">
        <f t="shared" si="2"/>
        <v>15</v>
      </c>
      <c r="W13" s="33">
        <v>61572822000</v>
      </c>
      <c r="X13" s="255">
        <v>781586000</v>
      </c>
      <c r="Y13" s="255">
        <v>856790000</v>
      </c>
      <c r="Z13" s="45"/>
      <c r="AA13" s="35"/>
      <c r="AB13" s="36">
        <f t="shared" si="3"/>
        <v>107.25</v>
      </c>
      <c r="AC13" s="68">
        <f t="shared" si="4"/>
        <v>13</v>
      </c>
      <c r="AD13" s="63">
        <v>2</v>
      </c>
      <c r="AE13" s="32">
        <f t="shared" si="5"/>
        <v>15</v>
      </c>
      <c r="AF13" s="56"/>
      <c r="AG13" s="114"/>
      <c r="AH13" s="37">
        <f t="shared" si="6"/>
        <v>30</v>
      </c>
      <c r="AI13" s="38">
        <v>65</v>
      </c>
      <c r="AJ13" s="30">
        <f t="shared" si="7"/>
        <v>95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>
        <v>85</v>
      </c>
      <c r="L14" s="104"/>
      <c r="M14" s="104"/>
      <c r="N14" s="143">
        <f>I14*I13+J14*J13+K14*K13+L14*L13+M14*M13</f>
        <v>84.999999999999986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273" t="s">
        <v>622</v>
      </c>
      <c r="D15" s="258" t="s">
        <v>619</v>
      </c>
      <c r="E15" s="251"/>
      <c r="F15" s="54"/>
      <c r="G15" s="53"/>
      <c r="H15" s="140"/>
      <c r="I15" s="252">
        <v>0.51</v>
      </c>
      <c r="J15" s="252">
        <v>0.49</v>
      </c>
      <c r="K15" s="252"/>
      <c r="L15" s="26"/>
      <c r="M15" s="62"/>
      <c r="N15" s="27">
        <f t="shared" si="0"/>
        <v>1</v>
      </c>
      <c r="O15" s="28">
        <v>1</v>
      </c>
      <c r="P15" s="253">
        <v>15</v>
      </c>
      <c r="Q15" s="253">
        <v>15</v>
      </c>
      <c r="R15" s="253"/>
      <c r="S15" s="30"/>
      <c r="T15" s="31"/>
      <c r="U15" s="32">
        <f t="shared" si="1"/>
        <v>15</v>
      </c>
      <c r="V15" s="68">
        <f t="shared" si="2"/>
        <v>15</v>
      </c>
      <c r="W15" s="274">
        <v>9826016000</v>
      </c>
      <c r="X15" s="58">
        <v>8405329000</v>
      </c>
      <c r="Y15" s="60"/>
      <c r="Z15" s="58"/>
      <c r="AA15" s="35"/>
      <c r="AB15" s="36">
        <f t="shared" si="3"/>
        <v>22.62</v>
      </c>
      <c r="AC15" s="68">
        <f t="shared" si="4"/>
        <v>13</v>
      </c>
      <c r="AD15" s="63">
        <v>2</v>
      </c>
      <c r="AE15" s="32">
        <f t="shared" si="5"/>
        <v>15</v>
      </c>
      <c r="AF15" s="232"/>
      <c r="AG15" s="114"/>
      <c r="AH15" s="37">
        <f t="shared" si="6"/>
        <v>30</v>
      </c>
      <c r="AI15" s="38">
        <v>65</v>
      </c>
      <c r="AJ15" s="30">
        <f t="shared" si="7"/>
        <v>95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/>
      <c r="L16" s="104"/>
      <c r="M16" s="104"/>
      <c r="N16" s="143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52"/>
      <c r="C17" s="168" t="s">
        <v>451</v>
      </c>
      <c r="D17" s="258" t="s">
        <v>608</v>
      </c>
      <c r="E17" s="251"/>
      <c r="F17" s="54"/>
      <c r="G17" s="53"/>
      <c r="H17" s="64"/>
      <c r="I17" s="79">
        <v>0.55000000000000004</v>
      </c>
      <c r="J17" s="252">
        <v>0.45</v>
      </c>
      <c r="K17" s="252"/>
      <c r="L17" s="26"/>
      <c r="M17" s="62"/>
      <c r="N17" s="27">
        <f t="shared" si="0"/>
        <v>1</v>
      </c>
      <c r="O17" s="28">
        <v>1</v>
      </c>
      <c r="P17" s="29">
        <v>15</v>
      </c>
      <c r="Q17" s="260">
        <v>15</v>
      </c>
      <c r="R17" s="260"/>
      <c r="S17" s="30"/>
      <c r="T17" s="31"/>
      <c r="U17" s="32">
        <f t="shared" si="1"/>
        <v>15</v>
      </c>
      <c r="V17" s="68">
        <f t="shared" si="2"/>
        <v>15</v>
      </c>
      <c r="W17" s="82">
        <v>19538352000</v>
      </c>
      <c r="X17" s="255">
        <v>7601919000</v>
      </c>
      <c r="Y17" s="255"/>
      <c r="Z17" s="48"/>
      <c r="AA17" s="35"/>
      <c r="AB17" s="36">
        <f t="shared" si="3"/>
        <v>35.1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/>
      <c r="AH17" s="37">
        <f t="shared" si="6"/>
        <v>30</v>
      </c>
      <c r="AI17" s="38">
        <v>65</v>
      </c>
      <c r="AJ17" s="30">
        <f t="shared" si="7"/>
        <v>95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43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/>
      <c r="C19" s="163" t="s">
        <v>597</v>
      </c>
      <c r="D19" s="259" t="s">
        <v>643</v>
      </c>
      <c r="E19" s="259"/>
      <c r="F19" s="259"/>
      <c r="G19" s="53"/>
      <c r="H19" s="64"/>
      <c r="I19" s="25">
        <v>0.51</v>
      </c>
      <c r="J19" s="252">
        <v>0.49</v>
      </c>
      <c r="K19" s="252"/>
      <c r="L19" s="252"/>
      <c r="M19" s="62"/>
      <c r="N19" s="27">
        <f t="shared" si="0"/>
        <v>1</v>
      </c>
      <c r="O19" s="28">
        <v>1</v>
      </c>
      <c r="P19" s="29">
        <v>15</v>
      </c>
      <c r="Q19" s="260">
        <v>15</v>
      </c>
      <c r="R19" s="276"/>
      <c r="S19" s="260"/>
      <c r="T19" s="31"/>
      <c r="U19" s="32">
        <f t="shared" si="1"/>
        <v>15</v>
      </c>
      <c r="V19" s="68">
        <f t="shared" si="2"/>
        <v>15</v>
      </c>
      <c r="W19" s="75">
        <v>0</v>
      </c>
      <c r="X19" s="255">
        <v>14186630000</v>
      </c>
      <c r="Y19" s="261"/>
      <c r="Z19" s="264"/>
      <c r="AA19" s="35"/>
      <c r="AB19" s="36">
        <f t="shared" si="3"/>
        <v>17.16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/>
      <c r="AH19" s="37">
        <f t="shared" si="6"/>
        <v>30</v>
      </c>
      <c r="AI19" s="38">
        <v>65</v>
      </c>
      <c r="AJ19" s="30">
        <f t="shared" si="7"/>
        <v>95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43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05">
        <v>9</v>
      </c>
      <c r="B21" s="49"/>
      <c r="C21" s="259" t="s">
        <v>446</v>
      </c>
      <c r="D21" s="258" t="s">
        <v>602</v>
      </c>
      <c r="E21" s="258" t="s">
        <v>603</v>
      </c>
      <c r="F21" s="49"/>
      <c r="G21" s="169"/>
      <c r="H21" s="64"/>
      <c r="I21" s="270">
        <v>0.7</v>
      </c>
      <c r="J21" s="252">
        <v>0.2</v>
      </c>
      <c r="K21" s="266">
        <v>0.1</v>
      </c>
      <c r="L21" s="26"/>
      <c r="M21" s="62"/>
      <c r="N21" s="27">
        <f t="shared" si="0"/>
        <v>0.99999999999999989</v>
      </c>
      <c r="O21" s="28">
        <v>1</v>
      </c>
      <c r="P21" s="271">
        <v>15</v>
      </c>
      <c r="Q21" s="260">
        <v>15</v>
      </c>
      <c r="R21" s="260">
        <v>15</v>
      </c>
      <c r="S21" s="30"/>
      <c r="T21" s="31"/>
      <c r="U21" s="32">
        <f t="shared" si="1"/>
        <v>15</v>
      </c>
      <c r="V21" s="68">
        <f t="shared" si="2"/>
        <v>15</v>
      </c>
      <c r="W21" s="254">
        <v>37227845000</v>
      </c>
      <c r="X21" s="268">
        <v>7441762000</v>
      </c>
      <c r="Y21" s="275">
        <v>5312265000</v>
      </c>
      <c r="Z21" s="48"/>
      <c r="AA21" s="35"/>
      <c r="AB21" s="36">
        <f t="shared" si="3"/>
        <v>69.55</v>
      </c>
      <c r="AC21" s="68">
        <f t="shared" si="4"/>
        <v>13</v>
      </c>
      <c r="AD21" s="63">
        <v>2</v>
      </c>
      <c r="AE21" s="32">
        <f t="shared" si="5"/>
        <v>15</v>
      </c>
      <c r="AF21" s="56"/>
      <c r="AG21" s="114"/>
      <c r="AH21" s="37">
        <f t="shared" si="6"/>
        <v>30</v>
      </c>
      <c r="AI21" s="38">
        <v>65</v>
      </c>
      <c r="AJ21" s="30">
        <f t="shared" si="7"/>
        <v>95</v>
      </c>
      <c r="AK21" s="37">
        <f t="shared" si="8"/>
        <v>95</v>
      </c>
      <c r="AL21" s="39">
        <f t="shared" si="9"/>
        <v>0.95499999999999996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>
        <v>85</v>
      </c>
      <c r="L22" s="104"/>
      <c r="M22" s="104"/>
      <c r="N22" s="143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>
        <v>10</v>
      </c>
      <c r="B23" s="49"/>
      <c r="C23" s="259" t="s">
        <v>601</v>
      </c>
      <c r="D23" s="258" t="s">
        <v>616</v>
      </c>
      <c r="E23" s="267" t="s">
        <v>600</v>
      </c>
      <c r="F23" s="259"/>
      <c r="G23" s="53"/>
      <c r="H23" s="140"/>
      <c r="I23" s="270">
        <v>0.7</v>
      </c>
      <c r="J23" s="252">
        <v>0.1</v>
      </c>
      <c r="K23" s="26">
        <v>0.2</v>
      </c>
      <c r="L23" s="26"/>
      <c r="M23" s="62"/>
      <c r="N23" s="27">
        <f t="shared" si="0"/>
        <v>1</v>
      </c>
      <c r="O23" s="28">
        <v>1</v>
      </c>
      <c r="P23" s="271">
        <v>15</v>
      </c>
      <c r="Q23" s="260">
        <v>15</v>
      </c>
      <c r="R23" s="30">
        <v>15</v>
      </c>
      <c r="S23" s="30"/>
      <c r="T23" s="31"/>
      <c r="U23" s="32">
        <f t="shared" si="1"/>
        <v>15</v>
      </c>
      <c r="V23" s="68">
        <f t="shared" si="2"/>
        <v>15</v>
      </c>
      <c r="W23" s="261">
        <v>72793312000</v>
      </c>
      <c r="X23" s="275">
        <v>704364000</v>
      </c>
      <c r="Y23" s="255">
        <v>1743811000</v>
      </c>
      <c r="Z23" s="48"/>
      <c r="AA23" s="35"/>
      <c r="AB23" s="36">
        <f t="shared" si="3"/>
        <v>127.13999999999999</v>
      </c>
      <c r="AC23" s="68">
        <f t="shared" si="4"/>
        <v>13</v>
      </c>
      <c r="AD23" s="63">
        <v>2</v>
      </c>
      <c r="AE23" s="32">
        <f t="shared" si="5"/>
        <v>15</v>
      </c>
      <c r="AF23" s="56"/>
      <c r="AG23" s="114"/>
      <c r="AH23" s="37">
        <f t="shared" si="6"/>
        <v>30</v>
      </c>
      <c r="AI23" s="38">
        <v>65</v>
      </c>
      <c r="AJ23" s="30">
        <f t="shared" si="7"/>
        <v>95</v>
      </c>
      <c r="AK23" s="37">
        <f t="shared" si="8"/>
        <v>95</v>
      </c>
      <c r="AL23" s="39">
        <f t="shared" si="9"/>
        <v>0.95499999999999996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230">
        <v>85</v>
      </c>
      <c r="J24" s="104">
        <v>85</v>
      </c>
      <c r="K24" s="104">
        <v>85</v>
      </c>
      <c r="L24" s="104"/>
      <c r="M24" s="104"/>
      <c r="N24" s="143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>
        <v>11</v>
      </c>
      <c r="B25" s="49"/>
      <c r="C25" s="259" t="s">
        <v>452</v>
      </c>
      <c r="D25" s="258" t="s">
        <v>599</v>
      </c>
      <c r="E25" s="49"/>
      <c r="F25" s="49"/>
      <c r="G25" s="53"/>
      <c r="H25" s="64"/>
      <c r="I25" s="270">
        <v>0.51</v>
      </c>
      <c r="J25" s="252">
        <v>0.49</v>
      </c>
      <c r="K25" s="26"/>
      <c r="L25" s="26"/>
      <c r="M25" s="62"/>
      <c r="N25" s="27">
        <f t="shared" si="0"/>
        <v>1</v>
      </c>
      <c r="O25" s="28">
        <v>1</v>
      </c>
      <c r="P25" s="271">
        <v>15</v>
      </c>
      <c r="Q25" s="26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254">
        <v>15298736000</v>
      </c>
      <c r="X25" s="268">
        <v>1956205000</v>
      </c>
      <c r="Y25" s="45"/>
      <c r="Z25" s="48"/>
      <c r="AA25" s="35"/>
      <c r="AB25" s="36">
        <f t="shared" si="3"/>
        <v>21.71</v>
      </c>
      <c r="AC25" s="68">
        <f t="shared" si="4"/>
        <v>13</v>
      </c>
      <c r="AD25" s="63">
        <v>2</v>
      </c>
      <c r="AE25" s="32">
        <f t="shared" si="5"/>
        <v>15</v>
      </c>
      <c r="AF25" s="56"/>
      <c r="AG25" s="114"/>
      <c r="AH25" s="37">
        <f t="shared" si="6"/>
        <v>30</v>
      </c>
      <c r="AI25" s="38">
        <v>65</v>
      </c>
      <c r="AJ25" s="30">
        <f t="shared" si="7"/>
        <v>95</v>
      </c>
      <c r="AK25" s="37">
        <f t="shared" si="8"/>
        <v>95</v>
      </c>
      <c r="AL25" s="39">
        <f t="shared" si="9"/>
        <v>0.95499999999999996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78" t="s">
        <v>43</v>
      </c>
      <c r="B26" s="379"/>
      <c r="C26" s="379"/>
      <c r="D26" s="379"/>
      <c r="E26" s="379"/>
      <c r="F26" s="379"/>
      <c r="G26" s="379"/>
      <c r="H26" s="365"/>
      <c r="I26" s="230">
        <v>85</v>
      </c>
      <c r="J26" s="104">
        <v>85</v>
      </c>
      <c r="K26" s="104"/>
      <c r="L26" s="104"/>
      <c r="M26" s="104"/>
      <c r="N26" s="143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49"/>
      <c r="C27" s="259" t="s">
        <v>445</v>
      </c>
      <c r="D27" s="258" t="s">
        <v>611</v>
      </c>
      <c r="E27" s="258" t="s">
        <v>610</v>
      </c>
      <c r="F27" s="49"/>
      <c r="G27" s="53"/>
      <c r="H27" s="203" t="s">
        <v>621</v>
      </c>
      <c r="I27" s="270">
        <v>0.7</v>
      </c>
      <c r="J27" s="262">
        <v>0.15179999999999999</v>
      </c>
      <c r="K27" s="252">
        <v>0.1</v>
      </c>
      <c r="L27" s="26"/>
      <c r="M27" s="62"/>
      <c r="N27" s="27">
        <f t="shared" si="0"/>
        <v>0.95179999999999987</v>
      </c>
      <c r="O27" s="197">
        <v>1.1000000000000001</v>
      </c>
      <c r="P27" s="271">
        <v>15</v>
      </c>
      <c r="Q27" s="260">
        <v>15</v>
      </c>
      <c r="R27" s="277">
        <v>15</v>
      </c>
      <c r="S27" s="30"/>
      <c r="T27" s="31"/>
      <c r="U27" s="32">
        <f t="shared" si="1"/>
        <v>15.7</v>
      </c>
      <c r="V27" s="68">
        <f t="shared" si="2"/>
        <v>15</v>
      </c>
      <c r="W27" s="254">
        <v>13914768000</v>
      </c>
      <c r="X27" s="284">
        <v>1174870000</v>
      </c>
      <c r="Y27" s="261">
        <v>998766000</v>
      </c>
      <c r="Z27" s="261"/>
      <c r="AA27" s="35"/>
      <c r="AB27" s="36">
        <f t="shared" si="3"/>
        <v>24.83</v>
      </c>
      <c r="AC27" s="68">
        <f t="shared" si="4"/>
        <v>13</v>
      </c>
      <c r="AD27" s="192">
        <v>1</v>
      </c>
      <c r="AE27" s="32">
        <f t="shared" si="5"/>
        <v>14</v>
      </c>
      <c r="AF27" s="56">
        <f>1.5*I27+0.5*J27</f>
        <v>1.1258999999999999</v>
      </c>
      <c r="AG27" s="114"/>
      <c r="AH27" s="37">
        <f t="shared" si="6"/>
        <v>30</v>
      </c>
      <c r="AI27" s="38">
        <v>65</v>
      </c>
      <c r="AJ27" s="30">
        <f t="shared" si="7"/>
        <v>95.125900000000001</v>
      </c>
      <c r="AK27" s="37">
        <f t="shared" si="8"/>
        <v>95</v>
      </c>
      <c r="AL27" s="39">
        <f t="shared" si="9"/>
        <v>0.95499999999999996</v>
      </c>
      <c r="AM27" s="40"/>
      <c r="AN27" s="41">
        <f t="shared" ref="AN27:AO47" si="13">100%+AM27</f>
        <v>1</v>
      </c>
      <c r="AO27" s="41">
        <f t="shared" si="13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43</v>
      </c>
      <c r="B28" s="364"/>
      <c r="C28" s="364"/>
      <c r="D28" s="364"/>
      <c r="E28" s="364"/>
      <c r="F28" s="364"/>
      <c r="G28" s="364"/>
      <c r="H28" s="365"/>
      <c r="I28" s="230">
        <v>85</v>
      </c>
      <c r="J28" s="104">
        <v>85</v>
      </c>
      <c r="K28" s="104">
        <v>85</v>
      </c>
      <c r="L28" s="104"/>
      <c r="M28" s="104"/>
      <c r="N28" s="143">
        <f>I28*I27+J28*J27+K28*K27+L28*L27+M28*M27</f>
        <v>80.902999999999992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51" t="s">
        <v>617</v>
      </c>
      <c r="D29" s="256" t="s">
        <v>327</v>
      </c>
      <c r="E29" s="256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>
        <v>2728330000</v>
      </c>
      <c r="X29" s="255">
        <v>23014391000</v>
      </c>
      <c r="Y29" s="255"/>
      <c r="Z29" s="48"/>
      <c r="AA29" s="35"/>
      <c r="AB29" s="36">
        <f t="shared" si="3"/>
        <v>31.330000000000002</v>
      </c>
      <c r="AC29" s="68">
        <f t="shared" si="4"/>
        <v>13</v>
      </c>
      <c r="AD29" s="63">
        <v>2</v>
      </c>
      <c r="AE29" s="32">
        <f t="shared" si="5"/>
        <v>15</v>
      </c>
      <c r="AF29" s="56"/>
      <c r="AG29" s="114"/>
      <c r="AH29" s="37">
        <f t="shared" si="6"/>
        <v>30</v>
      </c>
      <c r="AI29" s="38">
        <v>65</v>
      </c>
      <c r="AJ29" s="30">
        <f t="shared" si="7"/>
        <v>95</v>
      </c>
      <c r="AK29" s="37">
        <f t="shared" si="8"/>
        <v>95</v>
      </c>
      <c r="AL29" s="39">
        <f t="shared" si="9"/>
        <v>0.95499999999999996</v>
      </c>
      <c r="AM29" s="40"/>
      <c r="AN29" s="41">
        <f t="shared" si="13"/>
        <v>1</v>
      </c>
      <c r="AO29" s="41">
        <f t="shared" si="13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230">
        <v>85</v>
      </c>
      <c r="J30" s="104">
        <v>85</v>
      </c>
      <c r="K30" s="104"/>
      <c r="L30" s="104"/>
      <c r="M30" s="104"/>
      <c r="N30" s="143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/>
      <c r="C31" s="165" t="s">
        <v>442</v>
      </c>
      <c r="D31" s="51" t="s">
        <v>618</v>
      </c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9491864000</v>
      </c>
      <c r="X31" s="60">
        <v>2871000000</v>
      </c>
      <c r="Y31" s="45"/>
      <c r="Z31" s="48"/>
      <c r="AA31" s="35"/>
      <c r="AB31" s="36">
        <f t="shared" si="3"/>
        <v>15.469999999999999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/>
      <c r="AH31" s="37">
        <f t="shared" si="6"/>
        <v>30</v>
      </c>
      <c r="AI31" s="38">
        <v>65</v>
      </c>
      <c r="AJ31" s="30">
        <f t="shared" si="7"/>
        <v>95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3"/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63" t="s">
        <v>43</v>
      </c>
      <c r="B32" s="364"/>
      <c r="C32" s="364"/>
      <c r="D32" s="364"/>
      <c r="E32" s="364"/>
      <c r="F32" s="364"/>
      <c r="G32" s="364"/>
      <c r="H32" s="365"/>
      <c r="I32" s="230">
        <v>85</v>
      </c>
      <c r="J32" s="104">
        <v>85</v>
      </c>
      <c r="K32" s="104"/>
      <c r="L32" s="104"/>
      <c r="M32" s="104"/>
      <c r="N32" s="143">
        <f>I32*I31+J32*J31+K32*K31+L32*L31+M32*M31</f>
        <v>85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51" t="s">
        <v>625</v>
      </c>
      <c r="D33" s="269" t="s">
        <v>641</v>
      </c>
      <c r="E33" s="49"/>
      <c r="F33" s="49"/>
      <c r="G33" s="53"/>
      <c r="H33" s="203"/>
      <c r="I33" s="270">
        <v>0.6</v>
      </c>
      <c r="J33" s="252">
        <v>0.4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26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254">
        <v>5528217000</v>
      </c>
      <c r="X33" s="254">
        <v>7891990000</v>
      </c>
      <c r="Y33" s="45"/>
      <c r="Z33" s="48"/>
      <c r="AA33" s="35"/>
      <c r="AB33" s="36">
        <f t="shared" si="3"/>
        <v>15.99</v>
      </c>
      <c r="AC33" s="68">
        <f t="shared" si="4"/>
        <v>13</v>
      </c>
      <c r="AD33" s="63">
        <v>2</v>
      </c>
      <c r="AE33" s="32">
        <f t="shared" si="5"/>
        <v>15</v>
      </c>
      <c r="AF33" s="56"/>
      <c r="AG33" s="114"/>
      <c r="AH33" s="37">
        <f t="shared" si="6"/>
        <v>30</v>
      </c>
      <c r="AI33" s="38">
        <v>65</v>
      </c>
      <c r="AJ33" s="30">
        <f t="shared" si="7"/>
        <v>95</v>
      </c>
      <c r="AK33" s="37">
        <f t="shared" si="8"/>
        <v>95</v>
      </c>
      <c r="AL33" s="39">
        <f t="shared" si="9"/>
        <v>0.95499999999999996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230">
        <v>85</v>
      </c>
      <c r="J34" s="104">
        <v>85</v>
      </c>
      <c r="K34" s="104"/>
      <c r="L34" s="104"/>
      <c r="M34" s="104"/>
      <c r="N34" s="143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258" t="s">
        <v>624</v>
      </c>
      <c r="D35" s="258" t="s">
        <v>609</v>
      </c>
      <c r="E35" s="259" t="s">
        <v>447</v>
      </c>
      <c r="F35" s="49"/>
      <c r="G35" s="53"/>
      <c r="H35" s="140" t="s">
        <v>623</v>
      </c>
      <c r="I35" s="270">
        <v>0.45</v>
      </c>
      <c r="J35" s="262">
        <v>7.9200000000000007E-2</v>
      </c>
      <c r="K35" s="26">
        <v>0.45</v>
      </c>
      <c r="L35" s="26"/>
      <c r="M35" s="62"/>
      <c r="N35" s="27">
        <f t="shared" si="0"/>
        <v>0.97920000000000007</v>
      </c>
      <c r="O35" s="197">
        <v>1.1000000000000001</v>
      </c>
      <c r="P35" s="29">
        <v>15</v>
      </c>
      <c r="Q35" s="260">
        <v>15</v>
      </c>
      <c r="R35" s="260">
        <v>15</v>
      </c>
      <c r="S35" s="30"/>
      <c r="T35" s="31"/>
      <c r="U35" s="32">
        <f t="shared" si="1"/>
        <v>16.16</v>
      </c>
      <c r="V35" s="68">
        <f t="shared" si="2"/>
        <v>15</v>
      </c>
      <c r="W35" s="57">
        <v>9902065000</v>
      </c>
      <c r="X35" s="60">
        <v>222246000</v>
      </c>
      <c r="Y35" s="255">
        <v>34160627000</v>
      </c>
      <c r="Z35" s="48"/>
      <c r="AA35" s="35"/>
      <c r="AB35" s="36">
        <f t="shared" si="3"/>
        <v>49.14</v>
      </c>
      <c r="AC35" s="68">
        <f t="shared" si="4"/>
        <v>13</v>
      </c>
      <c r="AD35" s="63">
        <v>2</v>
      </c>
      <c r="AE35" s="32">
        <f t="shared" si="5"/>
        <v>15</v>
      </c>
      <c r="AF35" s="56"/>
      <c r="AG35" s="56"/>
      <c r="AH35" s="37">
        <f t="shared" si="6"/>
        <v>30</v>
      </c>
      <c r="AI35" s="38">
        <v>65</v>
      </c>
      <c r="AJ35" s="30">
        <f t="shared" si="7"/>
        <v>95</v>
      </c>
      <c r="AK35" s="37">
        <f t="shared" si="8"/>
        <v>95</v>
      </c>
      <c r="AL35" s="39">
        <f t="shared" si="9"/>
        <v>0.95499999999999996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230">
        <v>85</v>
      </c>
      <c r="J36" s="104">
        <v>85</v>
      </c>
      <c r="K36" s="145">
        <v>90.7</v>
      </c>
      <c r="L36" s="104"/>
      <c r="M36" s="104"/>
      <c r="N36" s="143">
        <f>I36*I35+J36*J35+K36*K35+L36*L35+M36*M35</f>
        <v>85.796999999999997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205">
        <v>17</v>
      </c>
      <c r="B37" s="49"/>
      <c r="C37" s="259" t="s">
        <v>620</v>
      </c>
      <c r="D37" s="258" t="s">
        <v>613</v>
      </c>
      <c r="E37" s="49"/>
      <c r="F37" s="49"/>
      <c r="G37" s="53"/>
      <c r="H37" s="64"/>
      <c r="I37" s="25">
        <v>0.65</v>
      </c>
      <c r="J37" s="26">
        <v>0.35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26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254">
        <v>62476959000</v>
      </c>
      <c r="X37" s="268">
        <v>2864143000</v>
      </c>
      <c r="Y37" s="45"/>
      <c r="Z37" s="48"/>
      <c r="AA37" s="35"/>
      <c r="AB37" s="36">
        <f t="shared" si="3"/>
        <v>102.96</v>
      </c>
      <c r="AC37" s="68">
        <f t="shared" si="4"/>
        <v>13</v>
      </c>
      <c r="AD37" s="63">
        <v>2</v>
      </c>
      <c r="AE37" s="32">
        <f t="shared" si="5"/>
        <v>15</v>
      </c>
      <c r="AF37" s="56"/>
      <c r="AG37" s="56"/>
      <c r="AH37" s="37">
        <f t="shared" si="6"/>
        <v>30</v>
      </c>
      <c r="AI37" s="38">
        <v>65</v>
      </c>
      <c r="AJ37" s="30">
        <f t="shared" si="7"/>
        <v>95</v>
      </c>
      <c r="AK37" s="37">
        <f t="shared" si="8"/>
        <v>95</v>
      </c>
      <c r="AL37" s="39">
        <f t="shared" si="9"/>
        <v>0.95499999999999996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21.95" customHeight="1" thickBot="1" x14ac:dyDescent="0.2">
      <c r="A38" s="363" t="s">
        <v>43</v>
      </c>
      <c r="B38" s="364"/>
      <c r="C38" s="364"/>
      <c r="D38" s="364"/>
      <c r="E38" s="364"/>
      <c r="F38" s="364"/>
      <c r="G38" s="364"/>
      <c r="H38" s="365"/>
      <c r="I38" s="230">
        <v>85</v>
      </c>
      <c r="J38" s="104">
        <v>85</v>
      </c>
      <c r="K38" s="156"/>
      <c r="L38" s="104"/>
      <c r="M38" s="104"/>
      <c r="N38" s="143">
        <f>I38*I37+J38*J37+K38*K37+L38*L37+M38*M37</f>
        <v>85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18</v>
      </c>
      <c r="B39" s="49"/>
      <c r="C39" s="259" t="s">
        <v>640</v>
      </c>
      <c r="D39" s="258" t="s">
        <v>607</v>
      </c>
      <c r="E39" s="49"/>
      <c r="F39" s="49"/>
      <c r="G39" s="53"/>
      <c r="H39" s="64"/>
      <c r="I39" s="270">
        <v>0.51</v>
      </c>
      <c r="J39" s="252">
        <v>0.49</v>
      </c>
      <c r="K39" s="252"/>
      <c r="L39" s="26"/>
      <c r="M39" s="62"/>
      <c r="N39" s="27">
        <f t="shared" si="0"/>
        <v>1</v>
      </c>
      <c r="O39" s="28">
        <v>1</v>
      </c>
      <c r="P39" s="271">
        <v>15</v>
      </c>
      <c r="Q39" s="260">
        <v>15</v>
      </c>
      <c r="R39" s="260"/>
      <c r="S39" s="30"/>
      <c r="T39" s="31"/>
      <c r="U39" s="32">
        <f t="shared" si="1"/>
        <v>15</v>
      </c>
      <c r="V39" s="68">
        <f t="shared" si="2"/>
        <v>15</v>
      </c>
      <c r="W39" s="291">
        <v>6023199000</v>
      </c>
      <c r="X39" s="268">
        <v>17599269000</v>
      </c>
      <c r="Y39" s="275"/>
      <c r="Z39" s="48"/>
      <c r="AA39" s="35"/>
      <c r="AB39" s="36">
        <f t="shared" si="3"/>
        <v>28.99</v>
      </c>
      <c r="AC39" s="68">
        <f t="shared" si="4"/>
        <v>13</v>
      </c>
      <c r="AD39" s="63">
        <v>2</v>
      </c>
      <c r="AE39" s="32">
        <f t="shared" si="5"/>
        <v>15</v>
      </c>
      <c r="AF39" s="56"/>
      <c r="AG39" s="56"/>
      <c r="AH39" s="37">
        <f t="shared" si="6"/>
        <v>30</v>
      </c>
      <c r="AI39" s="38">
        <v>65</v>
      </c>
      <c r="AJ39" s="30">
        <f t="shared" si="7"/>
        <v>95</v>
      </c>
      <c r="AK39" s="37">
        <f t="shared" si="8"/>
        <v>95</v>
      </c>
      <c r="AL39" s="39">
        <f t="shared" si="9"/>
        <v>0.95499999999999996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21.95" customHeight="1" thickBot="1" x14ac:dyDescent="0.2">
      <c r="A40" s="363" t="s">
        <v>43</v>
      </c>
      <c r="B40" s="364"/>
      <c r="C40" s="364"/>
      <c r="D40" s="364"/>
      <c r="E40" s="364"/>
      <c r="F40" s="364"/>
      <c r="G40" s="364"/>
      <c r="H40" s="365"/>
      <c r="I40" s="230">
        <v>85</v>
      </c>
      <c r="J40" s="104">
        <v>85</v>
      </c>
      <c r="K40" s="156"/>
      <c r="L40" s="104"/>
      <c r="M40" s="104"/>
      <c r="N40" s="143">
        <f>I40*I39+J40*J39+K40*K39+L40*L39+M40*M39</f>
        <v>85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52">
        <v>0.49</v>
      </c>
      <c r="K41" s="26"/>
      <c r="L41" s="26"/>
      <c r="M41" s="62"/>
      <c r="N41" s="27">
        <f t="shared" ref="N41:N103" si="14">SUM(I41:M41)</f>
        <v>1</v>
      </c>
      <c r="O41" s="28">
        <v>1</v>
      </c>
      <c r="P41" s="29">
        <v>15</v>
      </c>
      <c r="Q41" s="263">
        <v>11.8</v>
      </c>
      <c r="R41" s="30"/>
      <c r="S41" s="30"/>
      <c r="T41" s="31"/>
      <c r="U41" s="32">
        <f t="shared" si="1"/>
        <v>13.43</v>
      </c>
      <c r="V41" s="68">
        <f t="shared" si="2"/>
        <v>13.43</v>
      </c>
      <c r="W41" s="57"/>
      <c r="X41" s="268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15.43</v>
      </c>
      <c r="AI41" s="38">
        <v>65</v>
      </c>
      <c r="AJ41" s="30">
        <f t="shared" si="7"/>
        <v>80.430000000000007</v>
      </c>
      <c r="AK41" s="37">
        <f t="shared" si="8"/>
        <v>80.430000000000007</v>
      </c>
      <c r="AL41" s="39">
        <f t="shared" si="9"/>
        <v>1.0278499999999999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 t="s">
        <v>448</v>
      </c>
      <c r="E42" s="279" t="s">
        <v>614</v>
      </c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14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 t="s">
        <v>615</v>
      </c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14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ref="AN48:AO67" si="15">100%+AM48</f>
        <v>1</v>
      </c>
      <c r="AO48" s="41">
        <f t="shared" si="15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5"/>
        <v>1</v>
      </c>
      <c r="AO49" s="41">
        <f t="shared" si="15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5"/>
        <v>1</v>
      </c>
      <c r="AO50" s="41">
        <f t="shared" si="15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5"/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ref="AN68:AO87" si="16">100%+AM68</f>
        <v>1</v>
      </c>
      <c r="AO68" s="41">
        <f t="shared" si="16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6"/>
        <v>1</v>
      </c>
      <c r="AO69" s="41">
        <f t="shared" si="16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6"/>
        <v>1</v>
      </c>
      <c r="AO70" s="41">
        <f t="shared" si="16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6"/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ref="U72:U133" si="17">ROUND(((P72*I72)+(Q72*J72)+(R72*K72)+(S72*L72)+(T72*M72))*O72,2)</f>
        <v>15</v>
      </c>
      <c r="V72" s="68">
        <f t="shared" ref="V72:V133" si="18">IF(U72&gt;=15,15,U72)</f>
        <v>15</v>
      </c>
      <c r="W72" s="57"/>
      <c r="X72" s="60"/>
      <c r="Y72" s="45"/>
      <c r="Z72" s="48"/>
      <c r="AA72" s="35"/>
      <c r="AB72" s="36">
        <f t="shared" ref="AB72:AB133" si="19">ROUND((((W72*I72)+(X72*J72)+(Y72*K72)+(Z72*L72)+(AA72*M72))/$I$2),2)*13</f>
        <v>0</v>
      </c>
      <c r="AC72" s="68">
        <f t="shared" ref="AC72:AC133" si="20">IF(AB72&gt;=13,13,AB72)</f>
        <v>0</v>
      </c>
      <c r="AD72" s="63">
        <v>2</v>
      </c>
      <c r="AE72" s="32">
        <f t="shared" ref="AE72:AE133" si="21">IF((AC72+AD72)&gt;=15,15,(AC72+AD72))</f>
        <v>2</v>
      </c>
      <c r="AF72" s="56"/>
      <c r="AG72" s="56"/>
      <c r="AH72" s="37">
        <f t="shared" ref="AH72:AH133" si="22">IF((V72+AE72+AF72)&gt;=30,30,(V72+AE72+AF72))</f>
        <v>17</v>
      </c>
      <c r="AI72" s="38">
        <v>65</v>
      </c>
      <c r="AJ72" s="30">
        <f t="shared" ref="AJ72:AJ133" si="23">V72+AE72+AF72+AI72+AG72</f>
        <v>82</v>
      </c>
      <c r="AK72" s="37">
        <f t="shared" ref="AK72:AK133" si="24">IF(AH72+AI72+AG72&gt;=95,95,AH72+AI72+AG72)</f>
        <v>82</v>
      </c>
      <c r="AL72" s="39">
        <f t="shared" ref="AL72:AL133" si="25">-((50-((176+(45+(50-AH72)))))/200)</f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ref="AW72:AW133" si="26">AR72+AS72+AT72+AU72+AV72</f>
        <v>0</v>
      </c>
      <c r="AX72" s="71">
        <f t="shared" ref="AX72:AX133" si="27">(AR72*I72)+(AS72*J72)+(AT72*K72)+(AU72*L72)+(AV72*M72)</f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7"/>
        <v>15</v>
      </c>
      <c r="V73" s="68">
        <f t="shared" si="18"/>
        <v>15</v>
      </c>
      <c r="W73" s="57"/>
      <c r="X73" s="60"/>
      <c r="Y73" s="45"/>
      <c r="Z73" s="48"/>
      <c r="AA73" s="35"/>
      <c r="AB73" s="36">
        <f t="shared" si="19"/>
        <v>0</v>
      </c>
      <c r="AC73" s="68">
        <f t="shared" si="20"/>
        <v>0</v>
      </c>
      <c r="AD73" s="63">
        <v>2</v>
      </c>
      <c r="AE73" s="32">
        <f t="shared" si="21"/>
        <v>2</v>
      </c>
      <c r="AF73" s="56"/>
      <c r="AG73" s="56"/>
      <c r="AH73" s="37">
        <f t="shared" si="22"/>
        <v>17</v>
      </c>
      <c r="AI73" s="38">
        <v>65</v>
      </c>
      <c r="AJ73" s="30">
        <f t="shared" si="23"/>
        <v>82</v>
      </c>
      <c r="AK73" s="37">
        <f t="shared" si="24"/>
        <v>82</v>
      </c>
      <c r="AL73" s="39">
        <f t="shared" si="25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26"/>
        <v>0</v>
      </c>
      <c r="AX73" s="71">
        <f t="shared" si="27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7"/>
        <v>15</v>
      </c>
      <c r="V74" s="68">
        <f t="shared" si="18"/>
        <v>15</v>
      </c>
      <c r="W74" s="57"/>
      <c r="X74" s="60"/>
      <c r="Y74" s="45"/>
      <c r="Z74" s="48"/>
      <c r="AA74" s="35"/>
      <c r="AB74" s="36">
        <f t="shared" si="19"/>
        <v>0</v>
      </c>
      <c r="AC74" s="68">
        <f t="shared" si="20"/>
        <v>0</v>
      </c>
      <c r="AD74" s="63">
        <v>2</v>
      </c>
      <c r="AE74" s="32">
        <f t="shared" si="21"/>
        <v>2</v>
      </c>
      <c r="AF74" s="56"/>
      <c r="AG74" s="56"/>
      <c r="AH74" s="37">
        <f t="shared" si="22"/>
        <v>17</v>
      </c>
      <c r="AI74" s="38">
        <v>65</v>
      </c>
      <c r="AJ74" s="30">
        <f t="shared" si="23"/>
        <v>82</v>
      </c>
      <c r="AK74" s="37">
        <f t="shared" si="24"/>
        <v>82</v>
      </c>
      <c r="AL74" s="39">
        <f t="shared" si="25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26"/>
        <v>0</v>
      </c>
      <c r="AX74" s="71">
        <f t="shared" si="27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7"/>
        <v>15</v>
      </c>
      <c r="V75" s="68">
        <f t="shared" si="18"/>
        <v>15</v>
      </c>
      <c r="W75" s="57"/>
      <c r="X75" s="60"/>
      <c r="Y75" s="45"/>
      <c r="Z75" s="48"/>
      <c r="AA75" s="35"/>
      <c r="AB75" s="36">
        <f t="shared" si="19"/>
        <v>0</v>
      </c>
      <c r="AC75" s="68">
        <f t="shared" si="20"/>
        <v>0</v>
      </c>
      <c r="AD75" s="63">
        <v>2</v>
      </c>
      <c r="AE75" s="32">
        <f t="shared" si="21"/>
        <v>2</v>
      </c>
      <c r="AF75" s="56"/>
      <c r="AG75" s="56"/>
      <c r="AH75" s="37">
        <f t="shared" si="22"/>
        <v>17</v>
      </c>
      <c r="AI75" s="38">
        <v>65</v>
      </c>
      <c r="AJ75" s="30">
        <f t="shared" si="23"/>
        <v>82</v>
      </c>
      <c r="AK75" s="37">
        <f t="shared" si="24"/>
        <v>82</v>
      </c>
      <c r="AL75" s="39">
        <f t="shared" si="25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26"/>
        <v>0</v>
      </c>
      <c r="AX75" s="71">
        <f t="shared" si="27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ref="AN88:AO107" si="28">100%+AM88</f>
        <v>1</v>
      </c>
      <c r="AO88" s="41">
        <f t="shared" si="28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28"/>
        <v>1</v>
      </c>
      <c r="AO89" s="41">
        <f t="shared" si="28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28"/>
        <v>1</v>
      </c>
      <c r="AO90" s="41">
        <f t="shared" si="28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28"/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12" customFormat="1" ht="64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7.2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1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ref="N104:N133" si="29">SUM(I104:M104)</f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57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29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29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29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ref="AN108:AO127" si="30">100%+AM108</f>
        <v>1</v>
      </c>
      <c r="AO108" s="41">
        <f t="shared" si="30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30"/>
        <v>1</v>
      </c>
      <c r="AO109" s="41">
        <f t="shared" si="30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30"/>
        <v>1</v>
      </c>
      <c r="AO110" s="41">
        <f t="shared" si="30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53.2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30"/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12" customFormat="1" ht="47.2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ref="AN128:AO133" si="31">100%+AM128</f>
        <v>1</v>
      </c>
      <c r="AO128" s="41">
        <f t="shared" si="31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1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1"/>
        <v>1</v>
      </c>
      <c r="AO129" s="41">
        <f t="shared" si="31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1"/>
        <v>1</v>
      </c>
      <c r="AO130" s="41">
        <f t="shared" si="31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1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1"/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</sheetData>
  <mergeCells count="56">
    <mergeCell ref="A38:H38"/>
    <mergeCell ref="A40:H40"/>
    <mergeCell ref="D1:E1"/>
    <mergeCell ref="F1:G1"/>
    <mergeCell ref="I1:J1"/>
    <mergeCell ref="F2:G2"/>
    <mergeCell ref="A16:H16"/>
    <mergeCell ref="A6:H6"/>
    <mergeCell ref="A8:H8"/>
    <mergeCell ref="A10:H10"/>
    <mergeCell ref="A12:H12"/>
    <mergeCell ref="A14:H14"/>
    <mergeCell ref="A18:H18"/>
    <mergeCell ref="A20:H20"/>
    <mergeCell ref="A22:H22"/>
    <mergeCell ref="A24:H24"/>
    <mergeCell ref="Y1:Z1"/>
    <mergeCell ref="AA1:AC1"/>
    <mergeCell ref="I2:J2"/>
    <mergeCell ref="M2:P2"/>
    <mergeCell ref="Y2:Z2"/>
    <mergeCell ref="AA2:AC2"/>
    <mergeCell ref="AD2:AE2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W3:AE3"/>
    <mergeCell ref="AL3:AL4"/>
    <mergeCell ref="AG1:AH1"/>
    <mergeCell ref="AI1:AK1"/>
    <mergeCell ref="AM1:AO1"/>
    <mergeCell ref="D2:E2"/>
    <mergeCell ref="AW3:AW4"/>
    <mergeCell ref="AX3:AX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26:H26"/>
    <mergeCell ref="A36:H36"/>
    <mergeCell ref="A28:H28"/>
    <mergeCell ref="A30:H30"/>
    <mergeCell ref="A32:H32"/>
    <mergeCell ref="A34:H3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8"/>
  <sheetViews>
    <sheetView topLeftCell="X1"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bestFit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A1" s="380" t="s">
        <v>649</v>
      </c>
      <c r="B1" s="381"/>
      <c r="C1" s="3" t="s">
        <v>107</v>
      </c>
      <c r="D1" s="339">
        <v>714759091</v>
      </c>
      <c r="E1" s="340"/>
      <c r="F1" s="339"/>
      <c r="G1" s="340"/>
      <c r="H1" s="66" t="s">
        <v>108</v>
      </c>
      <c r="I1" s="341"/>
      <c r="J1" s="341"/>
      <c r="K1" s="183" t="s">
        <v>650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382"/>
      <c r="B2" s="383"/>
      <c r="C2" s="8" t="s">
        <v>113</v>
      </c>
      <c r="D2" s="327">
        <v>786235000</v>
      </c>
      <c r="E2" s="328"/>
      <c r="F2" s="329"/>
      <c r="G2" s="330"/>
      <c r="H2" s="3" t="s">
        <v>28</v>
      </c>
      <c r="I2" s="331">
        <f>D2*1</f>
        <v>786235000</v>
      </c>
      <c r="J2" s="329"/>
      <c r="K2" s="129" t="s">
        <v>114</v>
      </c>
      <c r="L2" s="130" t="s">
        <v>115</v>
      </c>
      <c r="M2" s="332">
        <v>45971.708333333336</v>
      </c>
      <c r="N2" s="332"/>
      <c r="O2" s="332"/>
      <c r="P2" s="332"/>
      <c r="Q2" s="131" t="s">
        <v>651</v>
      </c>
      <c r="R2" s="131"/>
      <c r="S2" s="131"/>
      <c r="T2" s="94"/>
      <c r="U2" s="132"/>
      <c r="V2" s="132"/>
      <c r="W2" s="133"/>
      <c r="X2" s="134"/>
      <c r="Y2" s="333"/>
      <c r="Z2" s="333"/>
      <c r="AA2" s="334">
        <f>I1</f>
        <v>0</v>
      </c>
      <c r="AB2" s="335"/>
      <c r="AC2" s="336"/>
      <c r="AD2" s="337" t="e">
        <f>TRUNC(Y2/AA2,4)</f>
        <v>#DIV/0!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123</v>
      </c>
      <c r="O3" s="359" t="s">
        <v>18</v>
      </c>
      <c r="P3" s="354" t="s">
        <v>125</v>
      </c>
      <c r="Q3" s="355"/>
      <c r="R3" s="361"/>
      <c r="S3" s="361"/>
      <c r="T3" s="355"/>
      <c r="U3" s="356"/>
      <c r="V3" s="292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93"/>
      <c r="AG3" s="293"/>
      <c r="AH3" s="293"/>
      <c r="AI3" s="293"/>
      <c r="AJ3" s="293"/>
      <c r="AK3" s="294"/>
      <c r="AL3" s="370" t="s">
        <v>17</v>
      </c>
      <c r="AM3" s="366" t="s">
        <v>128</v>
      </c>
      <c r="AN3" s="372" t="s">
        <v>129</v>
      </c>
      <c r="AO3" s="374" t="s">
        <v>14</v>
      </c>
      <c r="AP3" s="376" t="s">
        <v>131</v>
      </c>
      <c r="AQ3" s="362" t="s">
        <v>12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35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3</v>
      </c>
      <c r="E4" s="15" t="s">
        <v>142</v>
      </c>
      <c r="F4" s="15" t="s">
        <v>143</v>
      </c>
      <c r="G4" s="16" t="s">
        <v>144</v>
      </c>
      <c r="H4" s="292" t="s">
        <v>145</v>
      </c>
      <c r="I4" s="17" t="s">
        <v>146</v>
      </c>
      <c r="J4" s="18" t="s">
        <v>3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3</v>
      </c>
      <c r="R4" s="14" t="s">
        <v>2</v>
      </c>
      <c r="S4" s="14" t="s">
        <v>1</v>
      </c>
      <c r="T4" s="19" t="s">
        <v>144</v>
      </c>
      <c r="U4" s="20" t="s">
        <v>652</v>
      </c>
      <c r="V4" s="21" t="s">
        <v>151</v>
      </c>
      <c r="W4" s="97" t="s">
        <v>140</v>
      </c>
      <c r="X4" s="18" t="s">
        <v>3</v>
      </c>
      <c r="Y4" s="18" t="s">
        <v>142</v>
      </c>
      <c r="Z4" s="18" t="s">
        <v>1</v>
      </c>
      <c r="AA4" s="19" t="s">
        <v>144</v>
      </c>
      <c r="AB4" s="65" t="s">
        <v>654</v>
      </c>
      <c r="AC4" s="127" t="s">
        <v>154</v>
      </c>
      <c r="AD4" s="128" t="s">
        <v>653</v>
      </c>
      <c r="AE4" s="128" t="s">
        <v>7</v>
      </c>
      <c r="AF4" s="117" t="s">
        <v>0</v>
      </c>
      <c r="AG4" s="117" t="s">
        <v>158</v>
      </c>
      <c r="AH4" s="118" t="s">
        <v>159</v>
      </c>
      <c r="AI4" s="119" t="s">
        <v>160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655</v>
      </c>
      <c r="D5" s="52"/>
      <c r="E5" s="54"/>
      <c r="F5" s="52"/>
      <c r="G5" s="53"/>
      <c r="H5" s="139"/>
      <c r="I5" s="79">
        <v>1</v>
      </c>
      <c r="J5" s="26"/>
      <c r="K5" s="26"/>
      <c r="L5" s="120"/>
      <c r="M5" s="99"/>
      <c r="N5" s="121">
        <f>SUM(I5:M5)</f>
        <v>1</v>
      </c>
      <c r="O5" s="122">
        <v>1</v>
      </c>
      <c r="P5" s="80">
        <v>10</v>
      </c>
      <c r="Q5" s="181"/>
      <c r="R5" s="80"/>
      <c r="S5" s="126"/>
      <c r="T5" s="100"/>
      <c r="U5" s="123">
        <f>ROUND(((P5*I5)+(Q5*J5)+(R5*K5)+(S5*L5)+(T5*M5))*O5,2)</f>
        <v>10</v>
      </c>
      <c r="V5" s="101">
        <f>IF(U5&gt;=15,15,U5)</f>
        <v>10</v>
      </c>
      <c r="W5" s="184">
        <v>21672377000</v>
      </c>
      <c r="X5" s="184"/>
      <c r="Y5" s="33"/>
      <c r="Z5" s="90"/>
      <c r="AA5" s="102"/>
      <c r="AB5" s="124">
        <f>ROUND((((W5*I5)+(X5*J5)+(Y5*K5)+(Z5*L5)+(AA5*M5))/$I$2),2)*8</f>
        <v>220.48</v>
      </c>
      <c r="AC5" s="125">
        <f>IF(AB5&gt;=13,13,AB5)</f>
        <v>13</v>
      </c>
      <c r="AD5" s="63">
        <v>2</v>
      </c>
      <c r="AE5" s="123">
        <f>IF((AC5+AD5)&gt;=10,10,(AC5+AD5))</f>
        <v>10</v>
      </c>
      <c r="AF5" s="113"/>
      <c r="AG5" s="114"/>
      <c r="AH5" s="115">
        <f>IF((V5+AE5+AF5)&gt;=30,30,(V5+AE5+AF5))</f>
        <v>20</v>
      </c>
      <c r="AI5" s="116">
        <v>65</v>
      </c>
      <c r="AJ5" s="44">
        <f>V5+AE5+AF5+AI5+AG5</f>
        <v>85</v>
      </c>
      <c r="AK5" s="115">
        <f>IF(AH5+AI5+AG5&gt;=95,95,AH5+AI5+AG5)</f>
        <v>85</v>
      </c>
      <c r="AL5" s="108">
        <f>-((50-((176+(45+(50-AH5)))))/200)</f>
        <v>1.0049999999999999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0" t="s">
        <v>656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10</v>
      </c>
      <c r="Q7" s="181"/>
      <c r="R7" s="80"/>
      <c r="S7" s="30"/>
      <c r="T7" s="89"/>
      <c r="U7" s="32">
        <f>ROUND(((P7*I7)+(Q7*J7)+(R7*K7)+(S7*L7)+(T7*M7))*O7,2)</f>
        <v>10</v>
      </c>
      <c r="V7" s="68">
        <f>IF(U7&gt;=15,15,U7)</f>
        <v>10</v>
      </c>
      <c r="W7" s="58">
        <v>15563060000</v>
      </c>
      <c r="X7" s="33"/>
      <c r="Y7" s="33"/>
      <c r="Z7" s="45"/>
      <c r="AA7" s="35"/>
      <c r="AB7" s="36">
        <f>ROUND((((W7*I7)+(X7*J7)+(Y7*K7)+(Z7*L7)+(AA7*M7))/$I$2),2)*13</f>
        <v>257.27</v>
      </c>
      <c r="AC7" s="68">
        <f>IF(AB7&gt;=13,13,AB7)</f>
        <v>13</v>
      </c>
      <c r="AD7" s="63">
        <v>2</v>
      </c>
      <c r="AE7" s="123">
        <f>IF((AC7+AD7)&gt;=10,10,(AC7+AD7))</f>
        <v>10</v>
      </c>
      <c r="AF7" s="61"/>
      <c r="AG7" s="114"/>
      <c r="AH7" s="115">
        <f>IF((V7+AE7+AF7)&gt;=30,30,(V7+AE7+AF7))</f>
        <v>20</v>
      </c>
      <c r="AI7" s="116">
        <v>65</v>
      </c>
      <c r="AJ7" s="30">
        <f>V7+AE7+AF7+AI7+AG7</f>
        <v>85</v>
      </c>
      <c r="AK7" s="37">
        <f>IF(AH7+AI7+AG7&gt;=95,95,AH7+AI7+AG7)</f>
        <v>85</v>
      </c>
      <c r="AL7" s="39">
        <f>-((50-((176+(45+(50-AH7)))))/200)</f>
        <v>1.0049999999999999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0" t="s">
        <v>657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10</v>
      </c>
      <c r="Q9" s="80"/>
      <c r="R9" s="80"/>
      <c r="S9" s="31"/>
      <c r="T9" s="89"/>
      <c r="U9" s="32">
        <f>ROUND(((P9*I9)+(Q9*J9)+(R9*K9)+(S9*L9)+(T9*M9))*O9,2)</f>
        <v>10</v>
      </c>
      <c r="V9" s="68">
        <f>IF(U9&gt;=15,15,U9)</f>
        <v>10</v>
      </c>
      <c r="W9" s="33">
        <v>11716746000</v>
      </c>
      <c r="X9" s="33"/>
      <c r="Y9" s="33"/>
      <c r="Z9" s="45"/>
      <c r="AA9" s="35"/>
      <c r="AB9" s="36">
        <f>ROUND((((W9*I9)+(X9*J9)+(Y9*K9)+(Z9*L9)+(AA9*M9))/$I$2),2)*13</f>
        <v>193.70000000000002</v>
      </c>
      <c r="AC9" s="68">
        <f>IF(AB9&gt;=13,13,AB9)</f>
        <v>13</v>
      </c>
      <c r="AD9" s="63">
        <v>2</v>
      </c>
      <c r="AE9" s="123">
        <f>IF((AC9+AD9)&gt;=10,10,(AC9+AD9))</f>
        <v>10</v>
      </c>
      <c r="AF9" s="61"/>
      <c r="AG9" s="114"/>
      <c r="AH9" s="115">
        <f>IF((V9+AE9+AF9)&gt;=30,30,(V9+AE9+AF9))</f>
        <v>20</v>
      </c>
      <c r="AI9" s="116">
        <v>65</v>
      </c>
      <c r="AJ9" s="30">
        <f>V9+AE9+AF9+AI9+AG9</f>
        <v>85</v>
      </c>
      <c r="AK9" s="37">
        <f>IF(AH9+AI9+AG9&gt;=95,95,AH9+AI9+AG9)</f>
        <v>85</v>
      </c>
      <c r="AL9" s="39">
        <f>-((50-((176+(45+(50-AH9)))))/200)</f>
        <v>1.0049999999999999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/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0" t="s">
        <v>658</v>
      </c>
      <c r="D11" s="52"/>
      <c r="E11" s="52"/>
      <c r="F11" s="54"/>
      <c r="G11" s="53"/>
      <c r="H11" s="140"/>
      <c r="I11" s="79">
        <v>1</v>
      </c>
      <c r="J11" s="26"/>
      <c r="K11" s="26"/>
      <c r="L11" s="91"/>
      <c r="M11" s="78"/>
      <c r="N11" s="27">
        <f t="shared" ref="N11:N44" si="0">SUM(I11:M11)</f>
        <v>1</v>
      </c>
      <c r="O11" s="28">
        <v>1</v>
      </c>
      <c r="P11" s="80">
        <v>10</v>
      </c>
      <c r="Q11" s="80"/>
      <c r="R11" s="56"/>
      <c r="S11" s="30"/>
      <c r="T11" s="89"/>
      <c r="U11" s="32">
        <f t="shared" ref="U11:U76" si="1">ROUND(((P11*I11)+(Q11*J11)+(R11*K11)+(S11*L11)+(T11*M11))*O11,2)</f>
        <v>10</v>
      </c>
      <c r="V11" s="68">
        <f t="shared" ref="V11:V76" si="2">IF(U11&gt;=15,15,U11)</f>
        <v>10</v>
      </c>
      <c r="W11" s="33">
        <v>7038779000</v>
      </c>
      <c r="X11" s="33"/>
      <c r="Y11" s="33"/>
      <c r="Z11" s="45"/>
      <c r="AA11" s="35"/>
      <c r="AB11" s="36">
        <f t="shared" ref="AB11:AB76" si="3">ROUND((((W11*I11)+(X11*J11)+(Y11*K11)+(Z11*L11)+(AA11*M11))/$I$2),2)*13</f>
        <v>116.35</v>
      </c>
      <c r="AC11" s="68">
        <f t="shared" ref="AC11:AC76" si="4">IF(AB11&gt;=13,13,AB11)</f>
        <v>13</v>
      </c>
      <c r="AD11" s="63">
        <v>2</v>
      </c>
      <c r="AE11" s="123">
        <f>IF((AC11+AD11)&gt;=10,10,(AC11+AD11))</f>
        <v>10</v>
      </c>
      <c r="AF11" s="61"/>
      <c r="AG11" s="114"/>
      <c r="AH11" s="115">
        <f>IF((V11+AE11+AF11)&gt;=30,30,(V11+AE11+AF11))</f>
        <v>20</v>
      </c>
      <c r="AI11" s="116">
        <v>65</v>
      </c>
      <c r="AJ11" s="30">
        <f t="shared" ref="AJ11:AJ76" si="5">V11+AE11+AF11+AI11+AG11</f>
        <v>85</v>
      </c>
      <c r="AK11" s="37">
        <f t="shared" ref="AK11:AK76" si="6">IF(AH11+AI11+AG11&gt;=95,95,AH11+AI11+AG11)</f>
        <v>85</v>
      </c>
      <c r="AL11" s="39">
        <f t="shared" ref="AL11:AL76" si="7">-((50-((176+(45+(50-AH11)))))/200)</f>
        <v>1.0049999999999999</v>
      </c>
      <c r="AM11" s="40"/>
      <c r="AN11" s="41">
        <f t="shared" ref="AN11:AO32" si="8">100%+AM11</f>
        <v>1</v>
      </c>
      <c r="AO11" s="41">
        <f t="shared" si="8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6" si="9">AR11+AS11+AT11+AU11+AV11</f>
        <v>0</v>
      </c>
      <c r="AX11" s="71">
        <f t="shared" ref="AX11:AX76" si="10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104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23"/>
      <c r="C13" s="50" t="s">
        <v>50</v>
      </c>
      <c r="D13" s="52"/>
      <c r="E13" s="52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10</v>
      </c>
      <c r="Q13" s="80">
        <v>10</v>
      </c>
      <c r="R13" s="56"/>
      <c r="S13" s="31"/>
      <c r="T13" s="89"/>
      <c r="U13" s="32">
        <f t="shared" si="1"/>
        <v>10</v>
      </c>
      <c r="V13" s="68">
        <f t="shared" si="2"/>
        <v>10</v>
      </c>
      <c r="W13" s="33">
        <v>1555486000</v>
      </c>
      <c r="X13" s="33"/>
      <c r="Y13" s="34"/>
      <c r="Z13" s="45"/>
      <c r="AA13" s="35"/>
      <c r="AB13" s="36">
        <f t="shared" si="3"/>
        <v>25.74</v>
      </c>
      <c r="AC13" s="68">
        <f t="shared" si="4"/>
        <v>13</v>
      </c>
      <c r="AD13" s="63">
        <v>2</v>
      </c>
      <c r="AE13" s="123">
        <f>IF((AC13+AD13)&gt;=10,10,(AC13+AD13))</f>
        <v>10</v>
      </c>
      <c r="AF13" s="61"/>
      <c r="AG13" s="114"/>
      <c r="AH13" s="115">
        <f>IF((V13+AE13+AF13)&gt;=30,30,(V13+AE13+AF13))</f>
        <v>20</v>
      </c>
      <c r="AI13" s="116">
        <v>65</v>
      </c>
      <c r="AJ13" s="30">
        <f t="shared" si="5"/>
        <v>85</v>
      </c>
      <c r="AK13" s="37">
        <f t="shared" si="6"/>
        <v>85</v>
      </c>
      <c r="AL13" s="39">
        <f t="shared" si="7"/>
        <v>1.0049999999999999</v>
      </c>
      <c r="AM13" s="40"/>
      <c r="AN13" s="41">
        <f t="shared" si="8"/>
        <v>1</v>
      </c>
      <c r="AO13" s="41">
        <f t="shared" si="8"/>
        <v>2</v>
      </c>
      <c r="AP13" s="43"/>
      <c r="AQ13" s="70"/>
      <c r="AR13" s="58"/>
      <c r="AS13" s="58"/>
      <c r="AT13" s="58"/>
      <c r="AU13" s="58"/>
      <c r="AV13" s="59"/>
      <c r="AW13" s="71">
        <f t="shared" si="9"/>
        <v>0</v>
      </c>
      <c r="AX13" s="71">
        <f t="shared" si="10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23"/>
      <c r="C15" s="52" t="s">
        <v>659</v>
      </c>
      <c r="D15" s="50" t="s">
        <v>660</v>
      </c>
      <c r="E15" s="54"/>
      <c r="F15" s="54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10</v>
      </c>
      <c r="Q15" s="80">
        <v>10</v>
      </c>
      <c r="R15" s="81"/>
      <c r="S15" s="31"/>
      <c r="T15" s="89"/>
      <c r="U15" s="32">
        <f t="shared" si="1"/>
        <v>10</v>
      </c>
      <c r="V15" s="68">
        <f t="shared" si="2"/>
        <v>10</v>
      </c>
      <c r="W15" s="33">
        <v>7643696000</v>
      </c>
      <c r="X15" s="33">
        <v>222174000</v>
      </c>
      <c r="Y15" s="33"/>
      <c r="Z15" s="45"/>
      <c r="AA15" s="35"/>
      <c r="AB15" s="36">
        <f t="shared" si="3"/>
        <v>66.3</v>
      </c>
      <c r="AC15" s="68">
        <f t="shared" si="4"/>
        <v>13</v>
      </c>
      <c r="AD15" s="63">
        <v>2</v>
      </c>
      <c r="AE15" s="123">
        <f>IF((AC15+AD15)&gt;=10,10,(AC15+AD15))</f>
        <v>10</v>
      </c>
      <c r="AF15" s="56"/>
      <c r="AG15" s="114"/>
      <c r="AH15" s="115">
        <f>IF((V15+AE15+AF15)&gt;=30,30,(V15+AE15+AF15))</f>
        <v>20</v>
      </c>
      <c r="AI15" s="116">
        <v>65</v>
      </c>
      <c r="AJ15" s="30">
        <f t="shared" si="5"/>
        <v>85</v>
      </c>
      <c r="AK15" s="37">
        <f t="shared" si="6"/>
        <v>85</v>
      </c>
      <c r="AL15" s="39">
        <f t="shared" si="7"/>
        <v>1.0049999999999999</v>
      </c>
      <c r="AM15" s="40"/>
      <c r="AN15" s="41">
        <f t="shared" si="8"/>
        <v>1</v>
      </c>
      <c r="AO15" s="41">
        <f t="shared" si="8"/>
        <v>2</v>
      </c>
      <c r="AP15" s="43"/>
      <c r="AQ15" s="70"/>
      <c r="AR15" s="58"/>
      <c r="AS15" s="58"/>
      <c r="AT15" s="58"/>
      <c r="AU15" s="58"/>
      <c r="AV15" s="59"/>
      <c r="AW15" s="71">
        <f t="shared" si="9"/>
        <v>0</v>
      </c>
      <c r="AX15" s="71">
        <f t="shared" si="10"/>
        <v>0</v>
      </c>
    </row>
    <row r="16" spans="1:50" s="42" customFormat="1" ht="21.95" customHeight="1" thickBot="1" x14ac:dyDescent="0.2">
      <c r="A16" s="363" t="s">
        <v>163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49" t="s">
        <v>661</v>
      </c>
      <c r="D17" s="51" t="s">
        <v>662</v>
      </c>
      <c r="E17" s="52"/>
      <c r="F17" s="54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10</v>
      </c>
      <c r="Q17" s="80">
        <v>10</v>
      </c>
      <c r="R17" s="81"/>
      <c r="S17" s="30"/>
      <c r="T17" s="31"/>
      <c r="U17" s="32">
        <f t="shared" si="1"/>
        <v>10</v>
      </c>
      <c r="V17" s="68">
        <f t="shared" si="2"/>
        <v>10</v>
      </c>
      <c r="W17" s="84">
        <v>14559047000</v>
      </c>
      <c r="X17" s="58">
        <v>14294711000</v>
      </c>
      <c r="Y17" s="57"/>
      <c r="Z17" s="48"/>
      <c r="AA17" s="35"/>
      <c r="AB17" s="36">
        <f t="shared" si="3"/>
        <v>238.55</v>
      </c>
      <c r="AC17" s="68">
        <f t="shared" si="4"/>
        <v>13</v>
      </c>
      <c r="AD17" s="63">
        <v>2</v>
      </c>
      <c r="AE17" s="123">
        <f>IF((AC17+AD17)&gt;=10,10,(AC17+AD17))</f>
        <v>10</v>
      </c>
      <c r="AF17" s="56"/>
      <c r="AG17" s="56"/>
      <c r="AH17" s="115">
        <f>IF((V17+AE17+AF17)&gt;=30,30,(V17+AE17+AF17))</f>
        <v>20</v>
      </c>
      <c r="AI17" s="116">
        <v>65</v>
      </c>
      <c r="AJ17" s="30">
        <f t="shared" si="5"/>
        <v>85</v>
      </c>
      <c r="AK17" s="37">
        <f t="shared" si="6"/>
        <v>85</v>
      </c>
      <c r="AL17" s="39">
        <f t="shared" si="7"/>
        <v>1.0049999999999999</v>
      </c>
      <c r="AM17" s="40"/>
      <c r="AN17" s="41">
        <f t="shared" si="8"/>
        <v>1</v>
      </c>
      <c r="AO17" s="41">
        <f t="shared" si="8"/>
        <v>2</v>
      </c>
      <c r="AP17" s="43"/>
      <c r="AQ17" s="70"/>
      <c r="AR17" s="58"/>
      <c r="AS17" s="58"/>
      <c r="AT17" s="58"/>
      <c r="AU17" s="58"/>
      <c r="AV17" s="59"/>
      <c r="AW17" s="71">
        <f t="shared" si="9"/>
        <v>0</v>
      </c>
      <c r="AX17" s="71">
        <f t="shared" si="10"/>
        <v>0</v>
      </c>
    </row>
    <row r="18" spans="1:50" s="42" customFormat="1" ht="21.95" customHeight="1" thickBot="1" x14ac:dyDescent="0.2">
      <c r="A18" s="363" t="s">
        <v>163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52"/>
      <c r="C19" s="52" t="s">
        <v>663</v>
      </c>
      <c r="D19" s="51" t="s">
        <v>664</v>
      </c>
      <c r="E19" s="49"/>
      <c r="F19" s="54"/>
      <c r="G19" s="53"/>
      <c r="H19" s="64"/>
      <c r="I19" s="79">
        <v>0.51</v>
      </c>
      <c r="J19" s="26">
        <v>0.49</v>
      </c>
      <c r="K19" s="83"/>
      <c r="L19" s="26"/>
      <c r="M19" s="62"/>
      <c r="N19" s="27">
        <f t="shared" si="0"/>
        <v>1</v>
      </c>
      <c r="O19" s="28">
        <v>1</v>
      </c>
      <c r="P19" s="80">
        <v>10</v>
      </c>
      <c r="Q19" s="80">
        <v>10</v>
      </c>
      <c r="R19" s="81"/>
      <c r="S19" s="30"/>
      <c r="T19" s="31"/>
      <c r="U19" s="32">
        <f t="shared" si="1"/>
        <v>10</v>
      </c>
      <c r="V19" s="68">
        <f t="shared" si="2"/>
        <v>10</v>
      </c>
      <c r="W19" s="82">
        <v>3966791000</v>
      </c>
      <c r="X19" s="33">
        <v>483084000</v>
      </c>
      <c r="Y19" s="33"/>
      <c r="Z19" s="48"/>
      <c r="AA19" s="35"/>
      <c r="AB19" s="36">
        <f t="shared" si="3"/>
        <v>37.31</v>
      </c>
      <c r="AC19" s="68">
        <f t="shared" si="4"/>
        <v>13</v>
      </c>
      <c r="AD19" s="63">
        <v>2</v>
      </c>
      <c r="AE19" s="123">
        <f>IF((AC19+AD19)&gt;=10,10,(AC19+AD19))</f>
        <v>10</v>
      </c>
      <c r="AF19" s="56"/>
      <c r="AG19" s="56"/>
      <c r="AH19" s="115">
        <f>IF((V19+AE19+AF19)&gt;=30,30,(V19+AE19+AF19))</f>
        <v>20</v>
      </c>
      <c r="AI19" s="116">
        <v>65</v>
      </c>
      <c r="AJ19" s="30">
        <f t="shared" si="5"/>
        <v>85</v>
      </c>
      <c r="AK19" s="37">
        <f t="shared" si="6"/>
        <v>85</v>
      </c>
      <c r="AL19" s="39">
        <f t="shared" si="7"/>
        <v>1.0049999999999999</v>
      </c>
      <c r="AM19" s="40"/>
      <c r="AN19" s="41">
        <f t="shared" si="8"/>
        <v>1</v>
      </c>
      <c r="AO19" s="41">
        <f t="shared" si="8"/>
        <v>2</v>
      </c>
      <c r="AP19" s="43"/>
      <c r="AQ19" s="70"/>
      <c r="AR19" s="58"/>
      <c r="AS19" s="58"/>
      <c r="AT19" s="58"/>
      <c r="AU19" s="58"/>
      <c r="AV19" s="59"/>
      <c r="AW19" s="71">
        <f t="shared" si="9"/>
        <v>0</v>
      </c>
      <c r="AX19" s="71">
        <f t="shared" si="10"/>
        <v>0</v>
      </c>
    </row>
    <row r="20" spans="1:50" s="42" customFormat="1" ht="21.95" customHeight="1" thickBot="1" x14ac:dyDescent="0.2">
      <c r="A20" s="363" t="s">
        <v>163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52"/>
      <c r="C21" s="49" t="s">
        <v>666</v>
      </c>
      <c r="D21" s="200" t="s">
        <v>665</v>
      </c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80">
        <v>10</v>
      </c>
      <c r="Q21" s="80">
        <v>10</v>
      </c>
      <c r="R21" s="30"/>
      <c r="S21" s="30"/>
      <c r="T21" s="31"/>
      <c r="U21" s="32">
        <f t="shared" si="1"/>
        <v>10</v>
      </c>
      <c r="V21" s="68">
        <f t="shared" si="2"/>
        <v>10</v>
      </c>
      <c r="W21" s="82">
        <v>3270462000</v>
      </c>
      <c r="X21" s="34">
        <v>517643000</v>
      </c>
      <c r="Y21" s="33"/>
      <c r="Z21" s="48"/>
      <c r="AA21" s="35"/>
      <c r="AB21" s="36">
        <f t="shared" si="3"/>
        <v>31.72</v>
      </c>
      <c r="AC21" s="68">
        <f t="shared" si="4"/>
        <v>13</v>
      </c>
      <c r="AD21" s="63">
        <v>2</v>
      </c>
      <c r="AE21" s="123">
        <f>IF((AC21+AD21)&gt;=10,10,(AC21+AD21))</f>
        <v>10</v>
      </c>
      <c r="AF21" s="56"/>
      <c r="AG21" s="56"/>
      <c r="AH21" s="115">
        <f>IF((V21+AE21+AF21)&gt;=30,30,(V21+AE21+AF21))</f>
        <v>20</v>
      </c>
      <c r="AI21" s="116">
        <v>65</v>
      </c>
      <c r="AJ21" s="30">
        <f t="shared" si="5"/>
        <v>85</v>
      </c>
      <c r="AK21" s="37">
        <f t="shared" si="6"/>
        <v>85</v>
      </c>
      <c r="AL21" s="39">
        <f t="shared" si="7"/>
        <v>1.0049999999999999</v>
      </c>
      <c r="AM21" s="40"/>
      <c r="AN21" s="41">
        <f t="shared" si="8"/>
        <v>1</v>
      </c>
      <c r="AO21" s="41">
        <f t="shared" si="8"/>
        <v>2</v>
      </c>
      <c r="AP21" s="43"/>
      <c r="AQ21" s="70"/>
      <c r="AR21" s="58"/>
      <c r="AS21" s="58"/>
      <c r="AT21" s="58"/>
      <c r="AU21" s="58"/>
      <c r="AV21" s="59"/>
      <c r="AW21" s="71">
        <f t="shared" si="9"/>
        <v>0</v>
      </c>
      <c r="AX21" s="71">
        <f t="shared" si="10"/>
        <v>0</v>
      </c>
    </row>
    <row r="22" spans="1:50" s="42" customFormat="1" ht="21.95" customHeight="1" thickBot="1" x14ac:dyDescent="0.2">
      <c r="A22" s="363" t="s">
        <v>163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/>
      <c r="L22" s="104"/>
      <c r="M22" s="104"/>
      <c r="N22" s="107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/>
      <c r="B23" s="23"/>
      <c r="C23" s="49"/>
      <c r="D23" s="52"/>
      <c r="E23" s="49"/>
      <c r="F23" s="49"/>
      <c r="G23" s="53"/>
      <c r="H23" s="64"/>
      <c r="I23" s="25"/>
      <c r="J23" s="26"/>
      <c r="K23" s="26"/>
      <c r="L23" s="26"/>
      <c r="M23" s="62"/>
      <c r="N23" s="27">
        <f t="shared" si="0"/>
        <v>0</v>
      </c>
      <c r="O23" s="28">
        <v>1</v>
      </c>
      <c r="P23" s="80"/>
      <c r="Q23" s="80"/>
      <c r="R23" s="56"/>
      <c r="S23" s="30"/>
      <c r="T23" s="31"/>
      <c r="U23" s="32">
        <f t="shared" si="1"/>
        <v>0</v>
      </c>
      <c r="V23" s="68">
        <f t="shared" si="2"/>
        <v>0</v>
      </c>
      <c r="W23" s="75"/>
      <c r="X23" s="33"/>
      <c r="Y23" s="34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123"/>
      <c r="AF23" s="56"/>
      <c r="AG23" s="56"/>
      <c r="AH23" s="115">
        <f>IF((V23+AE23+AF23)&gt;=30,30,(V23+AE23+AF23))</f>
        <v>0</v>
      </c>
      <c r="AI23" s="116">
        <v>80</v>
      </c>
      <c r="AJ23" s="30">
        <f t="shared" si="5"/>
        <v>80</v>
      </c>
      <c r="AK23" s="37">
        <f t="shared" si="6"/>
        <v>80</v>
      </c>
      <c r="AL23" s="39">
        <f t="shared" si="7"/>
        <v>1.105</v>
      </c>
      <c r="AM23" s="40"/>
      <c r="AN23" s="41">
        <f t="shared" si="8"/>
        <v>1</v>
      </c>
      <c r="AO23" s="41">
        <f t="shared" si="8"/>
        <v>2</v>
      </c>
      <c r="AP23" s="43"/>
      <c r="AQ23" s="70"/>
      <c r="AR23" s="58"/>
      <c r="AS23" s="58"/>
      <c r="AT23" s="58"/>
      <c r="AU23" s="58"/>
      <c r="AV23" s="59"/>
      <c r="AW23" s="71">
        <f t="shared" si="9"/>
        <v>0</v>
      </c>
      <c r="AX23" s="71">
        <f t="shared" si="10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/>
      <c r="J24" s="26"/>
      <c r="K24" s="26"/>
      <c r="L24" s="26"/>
      <c r="M24" s="62"/>
      <c r="N24" s="27">
        <f t="shared" si="0"/>
        <v>0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0</v>
      </c>
      <c r="V24" s="68">
        <f t="shared" si="2"/>
        <v>0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/>
      <c r="AF24" s="56"/>
      <c r="AG24" s="56"/>
      <c r="AH24" s="115">
        <f>IF((V24+AE24+AF24)&gt;=30,30,(V24+AE24+AF24))</f>
        <v>0</v>
      </c>
      <c r="AI24" s="38">
        <v>65</v>
      </c>
      <c r="AJ24" s="30">
        <f t="shared" si="5"/>
        <v>65</v>
      </c>
      <c r="AK24" s="37">
        <f t="shared" si="6"/>
        <v>65</v>
      </c>
      <c r="AL24" s="39">
        <f t="shared" si="7"/>
        <v>1.105</v>
      </c>
      <c r="AM24" s="40"/>
      <c r="AN24" s="41">
        <f t="shared" si="8"/>
        <v>1</v>
      </c>
      <c r="AO24" s="41">
        <f t="shared" si="8"/>
        <v>2</v>
      </c>
      <c r="AP24" s="43"/>
      <c r="AQ24" s="70"/>
      <c r="AR24" s="58"/>
      <c r="AS24" s="58"/>
      <c r="AT24" s="58"/>
      <c r="AU24" s="58"/>
      <c r="AV24" s="59"/>
      <c r="AW24" s="71">
        <f t="shared" si="9"/>
        <v>0</v>
      </c>
      <c r="AX24" s="71">
        <f t="shared" si="10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/>
      <c r="J25" s="26"/>
      <c r="K25" s="26"/>
      <c r="L25" s="26"/>
      <c r="M25" s="62"/>
      <c r="N25" s="27">
        <f t="shared" si="0"/>
        <v>0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0</v>
      </c>
      <c r="V25" s="68">
        <f t="shared" si="2"/>
        <v>0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/>
      <c r="AF25" s="56"/>
      <c r="AG25" s="56"/>
      <c r="AH25" s="37">
        <f t="shared" ref="AH25:AH76" si="11">IF((V25+AE25+AF25)&gt;=30,30,(V25+AE25+AF25))</f>
        <v>0</v>
      </c>
      <c r="AI25" s="116">
        <v>80</v>
      </c>
      <c r="AJ25" s="30">
        <f t="shared" si="5"/>
        <v>80</v>
      </c>
      <c r="AK25" s="37">
        <f t="shared" si="6"/>
        <v>80</v>
      </c>
      <c r="AL25" s="39">
        <f t="shared" si="7"/>
        <v>1.105</v>
      </c>
      <c r="AM25" s="40"/>
      <c r="AN25" s="41">
        <f t="shared" si="8"/>
        <v>1</v>
      </c>
      <c r="AO25" s="41">
        <f t="shared" si="8"/>
        <v>2</v>
      </c>
      <c r="AP25" s="43"/>
      <c r="AQ25" s="70"/>
      <c r="AR25" s="58"/>
      <c r="AS25" s="58"/>
      <c r="AT25" s="58"/>
      <c r="AU25" s="58"/>
      <c r="AV25" s="59"/>
      <c r="AW25" s="71">
        <f t="shared" si="9"/>
        <v>0</v>
      </c>
      <c r="AX25" s="71">
        <f t="shared" si="10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/>
      <c r="J26" s="26"/>
      <c r="K26" s="26"/>
      <c r="L26" s="26"/>
      <c r="M26" s="62"/>
      <c r="N26" s="27">
        <f t="shared" si="0"/>
        <v>0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0</v>
      </c>
      <c r="V26" s="68">
        <f t="shared" si="2"/>
        <v>0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/>
      <c r="AF26" s="56"/>
      <c r="AG26" s="56"/>
      <c r="AH26" s="37">
        <f t="shared" si="11"/>
        <v>0</v>
      </c>
      <c r="AI26" s="116">
        <v>80</v>
      </c>
      <c r="AJ26" s="30">
        <f t="shared" si="5"/>
        <v>80</v>
      </c>
      <c r="AK26" s="37">
        <f t="shared" si="6"/>
        <v>80</v>
      </c>
      <c r="AL26" s="39">
        <f t="shared" si="7"/>
        <v>1.105</v>
      </c>
      <c r="AM26" s="40"/>
      <c r="AN26" s="41">
        <f t="shared" si="8"/>
        <v>1</v>
      </c>
      <c r="AO26" s="41">
        <f t="shared" si="8"/>
        <v>2</v>
      </c>
      <c r="AP26" s="43"/>
      <c r="AQ26" s="70"/>
      <c r="AR26" s="58"/>
      <c r="AS26" s="58"/>
      <c r="AT26" s="58"/>
      <c r="AU26" s="58"/>
      <c r="AV26" s="59"/>
      <c r="AW26" s="71">
        <f t="shared" si="9"/>
        <v>0</v>
      </c>
      <c r="AX26" s="71">
        <f t="shared" si="10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/>
      <c r="AF27" s="56"/>
      <c r="AG27" s="56"/>
      <c r="AH27" s="37">
        <f t="shared" si="11"/>
        <v>15</v>
      </c>
      <c r="AI27" s="116">
        <v>80</v>
      </c>
      <c r="AJ27" s="30">
        <f t="shared" si="5"/>
        <v>95</v>
      </c>
      <c r="AK27" s="37">
        <f t="shared" si="6"/>
        <v>95</v>
      </c>
      <c r="AL27" s="39">
        <f t="shared" si="7"/>
        <v>1.03</v>
      </c>
      <c r="AM27" s="40"/>
      <c r="AN27" s="41">
        <f t="shared" si="8"/>
        <v>1</v>
      </c>
      <c r="AO27" s="41">
        <f t="shared" si="8"/>
        <v>2</v>
      </c>
      <c r="AP27" s="43"/>
      <c r="AQ27" s="70"/>
      <c r="AR27" s="58"/>
      <c r="AS27" s="58"/>
      <c r="AT27" s="58"/>
      <c r="AU27" s="58"/>
      <c r="AV27" s="59"/>
      <c r="AW27" s="71">
        <f t="shared" si="9"/>
        <v>0</v>
      </c>
      <c r="AX27" s="71">
        <f t="shared" si="10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/>
      <c r="AF28" s="56"/>
      <c r="AG28" s="56"/>
      <c r="AH28" s="37">
        <f t="shared" si="11"/>
        <v>15</v>
      </c>
      <c r="AI28" s="38">
        <v>65</v>
      </c>
      <c r="AJ28" s="30">
        <f t="shared" si="5"/>
        <v>80</v>
      </c>
      <c r="AK28" s="37">
        <f t="shared" si="6"/>
        <v>80</v>
      </c>
      <c r="AL28" s="39">
        <f t="shared" si="7"/>
        <v>1.03</v>
      </c>
      <c r="AM28" s="40"/>
      <c r="AN28" s="41">
        <f t="shared" si="8"/>
        <v>1</v>
      </c>
      <c r="AO28" s="41">
        <f t="shared" si="8"/>
        <v>2</v>
      </c>
      <c r="AP28" s="43"/>
      <c r="AQ28" s="70"/>
      <c r="AR28" s="58"/>
      <c r="AS28" s="58"/>
      <c r="AT28" s="58"/>
      <c r="AU28" s="58"/>
      <c r="AV28" s="59"/>
      <c r="AW28" s="71">
        <f t="shared" si="9"/>
        <v>0</v>
      </c>
      <c r="AX28" s="71">
        <f t="shared" si="10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/>
      <c r="AF29" s="56"/>
      <c r="AG29" s="56"/>
      <c r="AH29" s="37">
        <f t="shared" si="11"/>
        <v>15</v>
      </c>
      <c r="AI29" s="38">
        <v>65</v>
      </c>
      <c r="AJ29" s="30">
        <f t="shared" si="5"/>
        <v>80</v>
      </c>
      <c r="AK29" s="37">
        <f t="shared" si="6"/>
        <v>80</v>
      </c>
      <c r="AL29" s="39">
        <f t="shared" si="7"/>
        <v>1.03</v>
      </c>
      <c r="AM29" s="40"/>
      <c r="AN29" s="41">
        <f t="shared" si="8"/>
        <v>1</v>
      </c>
      <c r="AO29" s="41">
        <f t="shared" si="8"/>
        <v>2</v>
      </c>
      <c r="AP29" s="43"/>
      <c r="AQ29" s="70"/>
      <c r="AR29" s="58"/>
      <c r="AS29" s="58"/>
      <c r="AT29" s="58"/>
      <c r="AU29" s="58"/>
      <c r="AV29" s="59"/>
      <c r="AW29" s="71">
        <f t="shared" si="9"/>
        <v>0</v>
      </c>
      <c r="AX29" s="71">
        <f t="shared" si="10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/>
      <c r="AF30" s="56"/>
      <c r="AG30" s="56"/>
      <c r="AH30" s="37">
        <f t="shared" si="11"/>
        <v>15</v>
      </c>
      <c r="AI30" s="38">
        <v>65</v>
      </c>
      <c r="AJ30" s="30">
        <f t="shared" si="5"/>
        <v>80</v>
      </c>
      <c r="AK30" s="37">
        <f t="shared" si="6"/>
        <v>80</v>
      </c>
      <c r="AL30" s="39">
        <f t="shared" si="7"/>
        <v>1.03</v>
      </c>
      <c r="AM30" s="40"/>
      <c r="AN30" s="41">
        <f t="shared" si="8"/>
        <v>1</v>
      </c>
      <c r="AO30" s="41">
        <f t="shared" si="8"/>
        <v>2</v>
      </c>
      <c r="AP30" s="43"/>
      <c r="AQ30" s="70"/>
      <c r="AR30" s="58"/>
      <c r="AS30" s="58"/>
      <c r="AT30" s="58"/>
      <c r="AU30" s="58"/>
      <c r="AV30" s="59"/>
      <c r="AW30" s="71">
        <f t="shared" si="9"/>
        <v>0</v>
      </c>
      <c r="AX30" s="71">
        <f t="shared" si="10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/>
      <c r="AF31" s="56"/>
      <c r="AG31" s="56"/>
      <c r="AH31" s="37">
        <f t="shared" si="11"/>
        <v>15</v>
      </c>
      <c r="AI31" s="38">
        <v>65</v>
      </c>
      <c r="AJ31" s="30">
        <f t="shared" si="5"/>
        <v>80</v>
      </c>
      <c r="AK31" s="37">
        <f t="shared" si="6"/>
        <v>80</v>
      </c>
      <c r="AL31" s="39">
        <f t="shared" si="7"/>
        <v>1.03</v>
      </c>
      <c r="AM31" s="40"/>
      <c r="AN31" s="41">
        <f t="shared" si="8"/>
        <v>1</v>
      </c>
      <c r="AO31" s="41">
        <f t="shared" si="8"/>
        <v>2</v>
      </c>
      <c r="AP31" s="43"/>
      <c r="AQ31" s="70"/>
      <c r="AR31" s="58"/>
      <c r="AS31" s="58"/>
      <c r="AT31" s="58"/>
      <c r="AU31" s="58"/>
      <c r="AV31" s="59"/>
      <c r="AW31" s="71">
        <f t="shared" si="9"/>
        <v>0</v>
      </c>
      <c r="AX31" s="71">
        <f t="shared" si="10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/>
      <c r="AF32" s="56"/>
      <c r="AG32" s="56"/>
      <c r="AH32" s="37">
        <f t="shared" si="11"/>
        <v>15</v>
      </c>
      <c r="AI32" s="38">
        <v>65</v>
      </c>
      <c r="AJ32" s="30">
        <f t="shared" si="5"/>
        <v>80</v>
      </c>
      <c r="AK32" s="37">
        <f t="shared" si="6"/>
        <v>80</v>
      </c>
      <c r="AL32" s="39">
        <f t="shared" si="7"/>
        <v>1.03</v>
      </c>
      <c r="AM32" s="40"/>
      <c r="AN32" s="41">
        <f t="shared" si="8"/>
        <v>1</v>
      </c>
      <c r="AO32" s="41">
        <f t="shared" si="8"/>
        <v>2</v>
      </c>
      <c r="AP32" s="43"/>
      <c r="AQ32" s="70"/>
      <c r="AR32" s="58"/>
      <c r="AS32" s="58"/>
      <c r="AT32" s="58"/>
      <c r="AU32" s="58"/>
      <c r="AV32" s="59"/>
      <c r="AW32" s="71">
        <f t="shared" si="9"/>
        <v>0</v>
      </c>
      <c r="AX32" s="71">
        <f t="shared" si="10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/>
      <c r="AF33" s="56"/>
      <c r="AG33" s="56"/>
      <c r="AH33" s="37">
        <f t="shared" si="11"/>
        <v>15</v>
      </c>
      <c r="AI33" s="38">
        <v>65</v>
      </c>
      <c r="AJ33" s="30">
        <f t="shared" si="5"/>
        <v>80</v>
      </c>
      <c r="AK33" s="37">
        <f t="shared" si="6"/>
        <v>80</v>
      </c>
      <c r="AL33" s="39">
        <f t="shared" si="7"/>
        <v>1.03</v>
      </c>
      <c r="AM33" s="40"/>
      <c r="AN33" s="41">
        <f t="shared" ref="AN33:AO52" si="12">100%+AM33</f>
        <v>1</v>
      </c>
      <c r="AO33" s="41">
        <f t="shared" si="12"/>
        <v>2</v>
      </c>
      <c r="AP33" s="43"/>
      <c r="AQ33" s="70"/>
      <c r="AR33" s="58"/>
      <c r="AS33" s="58"/>
      <c r="AT33" s="58"/>
      <c r="AU33" s="58"/>
      <c r="AV33" s="59"/>
      <c r="AW33" s="71">
        <f t="shared" si="9"/>
        <v>0</v>
      </c>
      <c r="AX33" s="71">
        <f t="shared" si="10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/>
      <c r="AF34" s="56"/>
      <c r="AG34" s="56"/>
      <c r="AH34" s="37">
        <f t="shared" si="11"/>
        <v>15</v>
      </c>
      <c r="AI34" s="38">
        <v>65</v>
      </c>
      <c r="AJ34" s="30">
        <f t="shared" si="5"/>
        <v>80</v>
      </c>
      <c r="AK34" s="37">
        <f t="shared" si="6"/>
        <v>80</v>
      </c>
      <c r="AL34" s="39">
        <f t="shared" si="7"/>
        <v>1.03</v>
      </c>
      <c r="AM34" s="40"/>
      <c r="AN34" s="41">
        <f t="shared" si="12"/>
        <v>1</v>
      </c>
      <c r="AO34" s="41">
        <f t="shared" si="12"/>
        <v>2</v>
      </c>
      <c r="AP34" s="43"/>
      <c r="AQ34" s="70"/>
      <c r="AR34" s="58"/>
      <c r="AS34" s="58"/>
      <c r="AT34" s="58"/>
      <c r="AU34" s="58"/>
      <c r="AV34" s="59"/>
      <c r="AW34" s="71">
        <f t="shared" si="9"/>
        <v>0</v>
      </c>
      <c r="AX34" s="71">
        <f t="shared" si="10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/>
      <c r="AF35" s="56"/>
      <c r="AG35" s="56"/>
      <c r="AH35" s="37">
        <f t="shared" si="11"/>
        <v>15</v>
      </c>
      <c r="AI35" s="38">
        <v>65</v>
      </c>
      <c r="AJ35" s="30">
        <f t="shared" si="5"/>
        <v>80</v>
      </c>
      <c r="AK35" s="37">
        <f t="shared" si="6"/>
        <v>80</v>
      </c>
      <c r="AL35" s="39">
        <f t="shared" si="7"/>
        <v>1.03</v>
      </c>
      <c r="AM35" s="40"/>
      <c r="AN35" s="41">
        <f t="shared" si="12"/>
        <v>1</v>
      </c>
      <c r="AO35" s="41">
        <f t="shared" si="12"/>
        <v>2</v>
      </c>
      <c r="AP35" s="43"/>
      <c r="AQ35" s="70"/>
      <c r="AR35" s="58"/>
      <c r="AS35" s="58"/>
      <c r="AT35" s="58"/>
      <c r="AU35" s="58"/>
      <c r="AV35" s="59"/>
      <c r="AW35" s="71">
        <f t="shared" si="9"/>
        <v>0</v>
      </c>
      <c r="AX35" s="71">
        <f t="shared" si="10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/>
      <c r="AF36" s="56"/>
      <c r="AG36" s="56"/>
      <c r="AH36" s="37">
        <f t="shared" si="11"/>
        <v>15</v>
      </c>
      <c r="AI36" s="38">
        <v>65</v>
      </c>
      <c r="AJ36" s="30">
        <f t="shared" si="5"/>
        <v>80</v>
      </c>
      <c r="AK36" s="37">
        <f t="shared" si="6"/>
        <v>80</v>
      </c>
      <c r="AL36" s="39">
        <f t="shared" si="7"/>
        <v>1.03</v>
      </c>
      <c r="AM36" s="40"/>
      <c r="AN36" s="41">
        <f t="shared" si="12"/>
        <v>1</v>
      </c>
      <c r="AO36" s="41">
        <f t="shared" si="12"/>
        <v>2</v>
      </c>
      <c r="AP36" s="43"/>
      <c r="AQ36" s="70"/>
      <c r="AR36" s="58"/>
      <c r="AS36" s="58"/>
      <c r="AT36" s="58"/>
      <c r="AU36" s="58"/>
      <c r="AV36" s="59"/>
      <c r="AW36" s="71">
        <f t="shared" si="9"/>
        <v>0</v>
      </c>
      <c r="AX36" s="71">
        <f t="shared" si="10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/>
      <c r="AF37" s="56"/>
      <c r="AG37" s="56"/>
      <c r="AH37" s="37">
        <f t="shared" si="11"/>
        <v>15</v>
      </c>
      <c r="AI37" s="38">
        <v>65</v>
      </c>
      <c r="AJ37" s="30">
        <f t="shared" si="5"/>
        <v>80</v>
      </c>
      <c r="AK37" s="37">
        <f t="shared" si="6"/>
        <v>80</v>
      </c>
      <c r="AL37" s="39">
        <f t="shared" si="7"/>
        <v>1.03</v>
      </c>
      <c r="AM37" s="40"/>
      <c r="AN37" s="41">
        <f t="shared" si="12"/>
        <v>1</v>
      </c>
      <c r="AO37" s="41">
        <f t="shared" si="12"/>
        <v>2</v>
      </c>
      <c r="AP37" s="43"/>
      <c r="AQ37" s="70"/>
      <c r="AR37" s="58"/>
      <c r="AS37" s="58"/>
      <c r="AT37" s="58"/>
      <c r="AU37" s="58"/>
      <c r="AV37" s="59"/>
      <c r="AW37" s="71">
        <f t="shared" si="9"/>
        <v>0</v>
      </c>
      <c r="AX37" s="71">
        <f t="shared" si="10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/>
      <c r="AF38" s="56"/>
      <c r="AG38" s="56"/>
      <c r="AH38" s="37">
        <f t="shared" si="11"/>
        <v>15</v>
      </c>
      <c r="AI38" s="38">
        <v>65</v>
      </c>
      <c r="AJ38" s="30">
        <f t="shared" si="5"/>
        <v>80</v>
      </c>
      <c r="AK38" s="37">
        <f t="shared" si="6"/>
        <v>80</v>
      </c>
      <c r="AL38" s="39">
        <f t="shared" si="7"/>
        <v>1.03</v>
      </c>
      <c r="AM38" s="40"/>
      <c r="AN38" s="41">
        <f t="shared" si="12"/>
        <v>1</v>
      </c>
      <c r="AO38" s="41">
        <f t="shared" si="12"/>
        <v>2</v>
      </c>
      <c r="AP38" s="43"/>
      <c r="AQ38" s="70"/>
      <c r="AR38" s="58"/>
      <c r="AS38" s="58"/>
      <c r="AT38" s="58"/>
      <c r="AU38" s="58"/>
      <c r="AV38" s="59"/>
      <c r="AW38" s="71">
        <f t="shared" si="9"/>
        <v>0</v>
      </c>
      <c r="AX38" s="71">
        <f t="shared" si="10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/>
      <c r="AF39" s="56"/>
      <c r="AG39" s="56"/>
      <c r="AH39" s="37">
        <f t="shared" si="11"/>
        <v>15</v>
      </c>
      <c r="AI39" s="38">
        <v>65</v>
      </c>
      <c r="AJ39" s="30">
        <f t="shared" si="5"/>
        <v>80</v>
      </c>
      <c r="AK39" s="37">
        <f t="shared" si="6"/>
        <v>80</v>
      </c>
      <c r="AL39" s="39">
        <f t="shared" si="7"/>
        <v>1.03</v>
      </c>
      <c r="AM39" s="40"/>
      <c r="AN39" s="41">
        <f t="shared" si="12"/>
        <v>1</v>
      </c>
      <c r="AO39" s="41">
        <f t="shared" si="12"/>
        <v>2</v>
      </c>
      <c r="AP39" s="43"/>
      <c r="AQ39" s="70"/>
      <c r="AR39" s="58"/>
      <c r="AS39" s="58"/>
      <c r="AT39" s="58"/>
      <c r="AU39" s="58"/>
      <c r="AV39" s="59"/>
      <c r="AW39" s="71">
        <f t="shared" si="9"/>
        <v>0</v>
      </c>
      <c r="AX39" s="71">
        <f t="shared" si="10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/>
      <c r="AF40" s="56"/>
      <c r="AG40" s="56"/>
      <c r="AH40" s="37">
        <f t="shared" si="11"/>
        <v>15</v>
      </c>
      <c r="AI40" s="38">
        <v>65</v>
      </c>
      <c r="AJ40" s="30">
        <f t="shared" si="5"/>
        <v>80</v>
      </c>
      <c r="AK40" s="37">
        <f t="shared" si="6"/>
        <v>80</v>
      </c>
      <c r="AL40" s="39">
        <f t="shared" si="7"/>
        <v>1.03</v>
      </c>
      <c r="AM40" s="40"/>
      <c r="AN40" s="41">
        <f t="shared" si="12"/>
        <v>1</v>
      </c>
      <c r="AO40" s="41">
        <f t="shared" si="12"/>
        <v>2</v>
      </c>
      <c r="AP40" s="43"/>
      <c r="AQ40" s="70"/>
      <c r="AR40" s="58"/>
      <c r="AS40" s="58"/>
      <c r="AT40" s="58"/>
      <c r="AU40" s="58"/>
      <c r="AV40" s="59"/>
      <c r="AW40" s="71">
        <f t="shared" si="9"/>
        <v>0</v>
      </c>
      <c r="AX40" s="71">
        <f t="shared" si="10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ref="AE41:AE76" si="13">IF((AC41+AD41)&gt;=15,15,(AC41+AD41))</f>
        <v>2</v>
      </c>
      <c r="AF41" s="56"/>
      <c r="AG41" s="56"/>
      <c r="AH41" s="37">
        <f t="shared" si="11"/>
        <v>17</v>
      </c>
      <c r="AI41" s="38">
        <v>65</v>
      </c>
      <c r="AJ41" s="30">
        <f t="shared" si="5"/>
        <v>82</v>
      </c>
      <c r="AK41" s="37">
        <f t="shared" si="6"/>
        <v>82</v>
      </c>
      <c r="AL41" s="39">
        <f t="shared" si="7"/>
        <v>1.02</v>
      </c>
      <c r="AM41" s="40"/>
      <c r="AN41" s="41">
        <f t="shared" si="12"/>
        <v>1</v>
      </c>
      <c r="AO41" s="41">
        <f t="shared" si="12"/>
        <v>2</v>
      </c>
      <c r="AP41" s="43"/>
      <c r="AQ41" s="70"/>
      <c r="AR41" s="58"/>
      <c r="AS41" s="58"/>
      <c r="AT41" s="58"/>
      <c r="AU41" s="58"/>
      <c r="AV41" s="59"/>
      <c r="AW41" s="71">
        <f t="shared" si="9"/>
        <v>0</v>
      </c>
      <c r="AX41" s="71">
        <f t="shared" si="10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13"/>
        <v>2</v>
      </c>
      <c r="AF42" s="56"/>
      <c r="AG42" s="56"/>
      <c r="AH42" s="37">
        <f t="shared" si="11"/>
        <v>17</v>
      </c>
      <c r="AI42" s="38">
        <v>65</v>
      </c>
      <c r="AJ42" s="30">
        <f t="shared" si="5"/>
        <v>82</v>
      </c>
      <c r="AK42" s="37">
        <f t="shared" si="6"/>
        <v>82</v>
      </c>
      <c r="AL42" s="39">
        <f t="shared" si="7"/>
        <v>1.02</v>
      </c>
      <c r="AM42" s="40"/>
      <c r="AN42" s="41">
        <f t="shared" si="12"/>
        <v>1</v>
      </c>
      <c r="AO42" s="41">
        <f t="shared" si="12"/>
        <v>2</v>
      </c>
      <c r="AP42" s="43"/>
      <c r="AQ42" s="70"/>
      <c r="AR42" s="58"/>
      <c r="AS42" s="58"/>
      <c r="AT42" s="58"/>
      <c r="AU42" s="58"/>
      <c r="AV42" s="59"/>
      <c r="AW42" s="71">
        <f t="shared" si="9"/>
        <v>0</v>
      </c>
      <c r="AX42" s="71">
        <f t="shared" si="10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13"/>
        <v>2</v>
      </c>
      <c r="AF43" s="56"/>
      <c r="AG43" s="56"/>
      <c r="AH43" s="37">
        <f t="shared" si="11"/>
        <v>17</v>
      </c>
      <c r="AI43" s="38">
        <v>65</v>
      </c>
      <c r="AJ43" s="30">
        <f t="shared" si="5"/>
        <v>82</v>
      </c>
      <c r="AK43" s="37">
        <f t="shared" si="6"/>
        <v>82</v>
      </c>
      <c r="AL43" s="39">
        <f t="shared" si="7"/>
        <v>1.02</v>
      </c>
      <c r="AM43" s="40"/>
      <c r="AN43" s="41">
        <f t="shared" si="12"/>
        <v>1</v>
      </c>
      <c r="AO43" s="41">
        <f t="shared" si="12"/>
        <v>2</v>
      </c>
      <c r="AP43" s="43"/>
      <c r="AQ43" s="70"/>
      <c r="AR43" s="58"/>
      <c r="AS43" s="58"/>
      <c r="AT43" s="58"/>
      <c r="AU43" s="58"/>
      <c r="AV43" s="59"/>
      <c r="AW43" s="71">
        <f t="shared" si="9"/>
        <v>0</v>
      </c>
      <c r="AX43" s="71">
        <f t="shared" si="10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13"/>
        <v>2</v>
      </c>
      <c r="AF44" s="56"/>
      <c r="AG44" s="56"/>
      <c r="AH44" s="37">
        <f t="shared" si="11"/>
        <v>17</v>
      </c>
      <c r="AI44" s="38">
        <v>65</v>
      </c>
      <c r="AJ44" s="30">
        <f t="shared" si="5"/>
        <v>82</v>
      </c>
      <c r="AK44" s="37">
        <f t="shared" si="6"/>
        <v>82</v>
      </c>
      <c r="AL44" s="39">
        <f t="shared" si="7"/>
        <v>1.02</v>
      </c>
      <c r="AM44" s="40"/>
      <c r="AN44" s="41">
        <f t="shared" si="12"/>
        <v>1</v>
      </c>
      <c r="AO44" s="41">
        <f t="shared" si="12"/>
        <v>2</v>
      </c>
      <c r="AP44" s="43"/>
      <c r="AQ44" s="70"/>
      <c r="AR44" s="58"/>
      <c r="AS44" s="58"/>
      <c r="AT44" s="58"/>
      <c r="AU44" s="58"/>
      <c r="AV44" s="59"/>
      <c r="AW44" s="71">
        <f t="shared" si="9"/>
        <v>0</v>
      </c>
      <c r="AX44" s="71">
        <f t="shared" si="10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ref="N45:N108" si="14">SUM(I45:M45)</f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13"/>
        <v>2</v>
      </c>
      <c r="AF45" s="56"/>
      <c r="AG45" s="56"/>
      <c r="AH45" s="37">
        <f t="shared" si="11"/>
        <v>17</v>
      </c>
      <c r="AI45" s="38">
        <v>65</v>
      </c>
      <c r="AJ45" s="30">
        <f t="shared" si="5"/>
        <v>82</v>
      </c>
      <c r="AK45" s="37">
        <f t="shared" si="6"/>
        <v>82</v>
      </c>
      <c r="AL45" s="39">
        <f t="shared" si="7"/>
        <v>1.02</v>
      </c>
      <c r="AM45" s="40"/>
      <c r="AN45" s="41">
        <f t="shared" si="12"/>
        <v>1</v>
      </c>
      <c r="AO45" s="41">
        <f t="shared" si="12"/>
        <v>2</v>
      </c>
      <c r="AP45" s="43"/>
      <c r="AQ45" s="70"/>
      <c r="AR45" s="58"/>
      <c r="AS45" s="58"/>
      <c r="AT45" s="58"/>
      <c r="AU45" s="58"/>
      <c r="AV45" s="59"/>
      <c r="AW45" s="71">
        <f t="shared" si="9"/>
        <v>0</v>
      </c>
      <c r="AX45" s="71">
        <f t="shared" si="10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13"/>
        <v>2</v>
      </c>
      <c r="AF46" s="56"/>
      <c r="AG46" s="56"/>
      <c r="AH46" s="37">
        <f t="shared" si="11"/>
        <v>17</v>
      </c>
      <c r="AI46" s="38">
        <v>65</v>
      </c>
      <c r="AJ46" s="30">
        <f t="shared" si="5"/>
        <v>82</v>
      </c>
      <c r="AK46" s="37">
        <f t="shared" si="6"/>
        <v>82</v>
      </c>
      <c r="AL46" s="39">
        <f t="shared" si="7"/>
        <v>1.02</v>
      </c>
      <c r="AM46" s="40"/>
      <c r="AN46" s="41">
        <f t="shared" si="12"/>
        <v>1</v>
      </c>
      <c r="AO46" s="41">
        <f t="shared" si="12"/>
        <v>2</v>
      </c>
      <c r="AP46" s="43"/>
      <c r="AQ46" s="70"/>
      <c r="AR46" s="58"/>
      <c r="AS46" s="58"/>
      <c r="AT46" s="58"/>
      <c r="AU46" s="58"/>
      <c r="AV46" s="59"/>
      <c r="AW46" s="71">
        <f t="shared" si="9"/>
        <v>0</v>
      </c>
      <c r="AX46" s="71">
        <f t="shared" si="10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13"/>
        <v>2</v>
      </c>
      <c r="AF47" s="56"/>
      <c r="AG47" s="56"/>
      <c r="AH47" s="37">
        <f t="shared" si="11"/>
        <v>17</v>
      </c>
      <c r="AI47" s="38">
        <v>65</v>
      </c>
      <c r="AJ47" s="30">
        <f t="shared" si="5"/>
        <v>82</v>
      </c>
      <c r="AK47" s="37">
        <f t="shared" si="6"/>
        <v>82</v>
      </c>
      <c r="AL47" s="39">
        <f t="shared" si="7"/>
        <v>1.02</v>
      </c>
      <c r="AM47" s="40"/>
      <c r="AN47" s="41">
        <f t="shared" si="12"/>
        <v>1</v>
      </c>
      <c r="AO47" s="41">
        <f t="shared" si="12"/>
        <v>2</v>
      </c>
      <c r="AP47" s="43"/>
      <c r="AQ47" s="70"/>
      <c r="AR47" s="58"/>
      <c r="AS47" s="58"/>
      <c r="AT47" s="58"/>
      <c r="AU47" s="58"/>
      <c r="AV47" s="59"/>
      <c r="AW47" s="71">
        <f t="shared" si="9"/>
        <v>0</v>
      </c>
      <c r="AX47" s="71">
        <f t="shared" si="10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13"/>
        <v>2</v>
      </c>
      <c r="AF48" s="56"/>
      <c r="AG48" s="56"/>
      <c r="AH48" s="37">
        <f t="shared" si="11"/>
        <v>17</v>
      </c>
      <c r="AI48" s="38">
        <v>65</v>
      </c>
      <c r="AJ48" s="30">
        <f t="shared" si="5"/>
        <v>82</v>
      </c>
      <c r="AK48" s="37">
        <f t="shared" si="6"/>
        <v>82</v>
      </c>
      <c r="AL48" s="39">
        <f t="shared" si="7"/>
        <v>1.02</v>
      </c>
      <c r="AM48" s="40"/>
      <c r="AN48" s="41">
        <f t="shared" si="12"/>
        <v>1</v>
      </c>
      <c r="AO48" s="41">
        <f t="shared" si="12"/>
        <v>2</v>
      </c>
      <c r="AP48" s="43"/>
      <c r="AQ48" s="70"/>
      <c r="AR48" s="58"/>
      <c r="AS48" s="58"/>
      <c r="AT48" s="58"/>
      <c r="AU48" s="58"/>
      <c r="AV48" s="59"/>
      <c r="AW48" s="71">
        <f t="shared" si="9"/>
        <v>0</v>
      </c>
      <c r="AX48" s="71">
        <f t="shared" si="10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13"/>
        <v>2</v>
      </c>
      <c r="AF49" s="56"/>
      <c r="AG49" s="56"/>
      <c r="AH49" s="37">
        <f t="shared" si="11"/>
        <v>17</v>
      </c>
      <c r="AI49" s="38">
        <v>65</v>
      </c>
      <c r="AJ49" s="30">
        <f t="shared" si="5"/>
        <v>82</v>
      </c>
      <c r="AK49" s="37">
        <f t="shared" si="6"/>
        <v>82</v>
      </c>
      <c r="AL49" s="39">
        <f t="shared" si="7"/>
        <v>1.02</v>
      </c>
      <c r="AM49" s="40"/>
      <c r="AN49" s="41">
        <f t="shared" si="12"/>
        <v>1</v>
      </c>
      <c r="AO49" s="41">
        <f t="shared" si="12"/>
        <v>2</v>
      </c>
      <c r="AP49" s="43"/>
      <c r="AQ49" s="70"/>
      <c r="AR49" s="58"/>
      <c r="AS49" s="58"/>
      <c r="AT49" s="58"/>
      <c r="AU49" s="58"/>
      <c r="AV49" s="59"/>
      <c r="AW49" s="71">
        <f t="shared" si="9"/>
        <v>0</v>
      </c>
      <c r="AX49" s="71">
        <f t="shared" si="10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13"/>
        <v>2</v>
      </c>
      <c r="AF50" s="56"/>
      <c r="AG50" s="56"/>
      <c r="AH50" s="37">
        <f t="shared" si="11"/>
        <v>17</v>
      </c>
      <c r="AI50" s="38">
        <v>65</v>
      </c>
      <c r="AJ50" s="30">
        <f t="shared" si="5"/>
        <v>82</v>
      </c>
      <c r="AK50" s="37">
        <f t="shared" si="6"/>
        <v>82</v>
      </c>
      <c r="AL50" s="39">
        <f t="shared" si="7"/>
        <v>1.02</v>
      </c>
      <c r="AM50" s="40"/>
      <c r="AN50" s="41">
        <f t="shared" si="12"/>
        <v>1</v>
      </c>
      <c r="AO50" s="41">
        <f t="shared" si="12"/>
        <v>2</v>
      </c>
      <c r="AP50" s="43"/>
      <c r="AQ50" s="70"/>
      <c r="AR50" s="58"/>
      <c r="AS50" s="58"/>
      <c r="AT50" s="58"/>
      <c r="AU50" s="58"/>
      <c r="AV50" s="59"/>
      <c r="AW50" s="71">
        <f t="shared" si="9"/>
        <v>0</v>
      </c>
      <c r="AX50" s="71">
        <f t="shared" si="10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13"/>
        <v>2</v>
      </c>
      <c r="AF51" s="56"/>
      <c r="AG51" s="56"/>
      <c r="AH51" s="37">
        <f t="shared" si="11"/>
        <v>17</v>
      </c>
      <c r="AI51" s="38">
        <v>65</v>
      </c>
      <c r="AJ51" s="30">
        <f t="shared" si="5"/>
        <v>82</v>
      </c>
      <c r="AK51" s="37">
        <f t="shared" si="6"/>
        <v>82</v>
      </c>
      <c r="AL51" s="39">
        <f t="shared" si="7"/>
        <v>1.02</v>
      </c>
      <c r="AM51" s="40"/>
      <c r="AN51" s="41">
        <f t="shared" si="12"/>
        <v>1</v>
      </c>
      <c r="AO51" s="41">
        <f t="shared" si="12"/>
        <v>2</v>
      </c>
      <c r="AP51" s="43"/>
      <c r="AQ51" s="70"/>
      <c r="AR51" s="58"/>
      <c r="AS51" s="58"/>
      <c r="AT51" s="58"/>
      <c r="AU51" s="58"/>
      <c r="AV51" s="59"/>
      <c r="AW51" s="71">
        <f t="shared" si="9"/>
        <v>0</v>
      </c>
      <c r="AX51" s="71">
        <f t="shared" si="10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13"/>
        <v>2</v>
      </c>
      <c r="AF52" s="56"/>
      <c r="AG52" s="56"/>
      <c r="AH52" s="37">
        <f t="shared" si="11"/>
        <v>17</v>
      </c>
      <c r="AI52" s="38">
        <v>65</v>
      </c>
      <c r="AJ52" s="30">
        <f t="shared" si="5"/>
        <v>82</v>
      </c>
      <c r="AK52" s="37">
        <f t="shared" si="6"/>
        <v>82</v>
      </c>
      <c r="AL52" s="39">
        <f t="shared" si="7"/>
        <v>1.02</v>
      </c>
      <c r="AM52" s="40"/>
      <c r="AN52" s="41">
        <f t="shared" si="12"/>
        <v>1</v>
      </c>
      <c r="AO52" s="41">
        <f t="shared" si="12"/>
        <v>2</v>
      </c>
      <c r="AP52" s="43"/>
      <c r="AQ52" s="70"/>
      <c r="AR52" s="58"/>
      <c r="AS52" s="58"/>
      <c r="AT52" s="58"/>
      <c r="AU52" s="58"/>
      <c r="AV52" s="59"/>
      <c r="AW52" s="71">
        <f t="shared" si="9"/>
        <v>0</v>
      </c>
      <c r="AX52" s="71">
        <f t="shared" si="10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13"/>
        <v>2</v>
      </c>
      <c r="AF53" s="56"/>
      <c r="AG53" s="56"/>
      <c r="AH53" s="37">
        <f t="shared" si="11"/>
        <v>17</v>
      </c>
      <c r="AI53" s="38">
        <v>65</v>
      </c>
      <c r="AJ53" s="30">
        <f t="shared" si="5"/>
        <v>82</v>
      </c>
      <c r="AK53" s="37">
        <f t="shared" si="6"/>
        <v>82</v>
      </c>
      <c r="AL53" s="39">
        <f t="shared" si="7"/>
        <v>1.02</v>
      </c>
      <c r="AM53" s="40"/>
      <c r="AN53" s="41">
        <f t="shared" ref="AN53:AO72" si="15">100%+AM53</f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9"/>
        <v>0</v>
      </c>
      <c r="AX53" s="71">
        <f t="shared" si="10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13"/>
        <v>2</v>
      </c>
      <c r="AF54" s="56"/>
      <c r="AG54" s="56"/>
      <c r="AH54" s="37">
        <f t="shared" si="11"/>
        <v>17</v>
      </c>
      <c r="AI54" s="38">
        <v>65</v>
      </c>
      <c r="AJ54" s="30">
        <f t="shared" si="5"/>
        <v>82</v>
      </c>
      <c r="AK54" s="37">
        <f t="shared" si="6"/>
        <v>82</v>
      </c>
      <c r="AL54" s="39">
        <f t="shared" si="7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9"/>
        <v>0</v>
      </c>
      <c r="AX54" s="71">
        <f t="shared" si="10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13"/>
        <v>2</v>
      </c>
      <c r="AF55" s="56"/>
      <c r="AG55" s="56"/>
      <c r="AH55" s="37">
        <f t="shared" si="11"/>
        <v>17</v>
      </c>
      <c r="AI55" s="38">
        <v>65</v>
      </c>
      <c r="AJ55" s="30">
        <f t="shared" si="5"/>
        <v>82</v>
      </c>
      <c r="AK55" s="37">
        <f t="shared" si="6"/>
        <v>82</v>
      </c>
      <c r="AL55" s="39">
        <f t="shared" si="7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9"/>
        <v>0</v>
      </c>
      <c r="AX55" s="71">
        <f t="shared" si="10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13"/>
        <v>2</v>
      </c>
      <c r="AF56" s="56"/>
      <c r="AG56" s="56"/>
      <c r="AH56" s="37">
        <f t="shared" si="11"/>
        <v>17</v>
      </c>
      <c r="AI56" s="38">
        <v>65</v>
      </c>
      <c r="AJ56" s="30">
        <f t="shared" si="5"/>
        <v>82</v>
      </c>
      <c r="AK56" s="37">
        <f t="shared" si="6"/>
        <v>82</v>
      </c>
      <c r="AL56" s="39">
        <f t="shared" si="7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9"/>
        <v>0</v>
      </c>
      <c r="AX56" s="71">
        <f t="shared" si="10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13"/>
        <v>2</v>
      </c>
      <c r="AF57" s="56"/>
      <c r="AG57" s="56"/>
      <c r="AH57" s="37">
        <f t="shared" si="11"/>
        <v>17</v>
      </c>
      <c r="AI57" s="38">
        <v>65</v>
      </c>
      <c r="AJ57" s="30">
        <f t="shared" si="5"/>
        <v>82</v>
      </c>
      <c r="AK57" s="37">
        <f t="shared" si="6"/>
        <v>82</v>
      </c>
      <c r="AL57" s="39">
        <f t="shared" si="7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9"/>
        <v>0</v>
      </c>
      <c r="AX57" s="71">
        <f t="shared" si="10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13"/>
        <v>2</v>
      </c>
      <c r="AF58" s="56"/>
      <c r="AG58" s="56"/>
      <c r="AH58" s="37">
        <f t="shared" si="11"/>
        <v>17</v>
      </c>
      <c r="AI58" s="38">
        <v>65</v>
      </c>
      <c r="AJ58" s="30">
        <f t="shared" si="5"/>
        <v>82</v>
      </c>
      <c r="AK58" s="37">
        <f t="shared" si="6"/>
        <v>82</v>
      </c>
      <c r="AL58" s="39">
        <f t="shared" si="7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9"/>
        <v>0</v>
      </c>
      <c r="AX58" s="71">
        <f t="shared" si="10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13"/>
        <v>2</v>
      </c>
      <c r="AF59" s="56"/>
      <c r="AG59" s="56"/>
      <c r="AH59" s="37">
        <f t="shared" si="11"/>
        <v>17</v>
      </c>
      <c r="AI59" s="38">
        <v>65</v>
      </c>
      <c r="AJ59" s="30">
        <f t="shared" si="5"/>
        <v>82</v>
      </c>
      <c r="AK59" s="37">
        <f t="shared" si="6"/>
        <v>82</v>
      </c>
      <c r="AL59" s="39">
        <f t="shared" si="7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9"/>
        <v>0</v>
      </c>
      <c r="AX59" s="71">
        <f t="shared" si="10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13"/>
        <v>2</v>
      </c>
      <c r="AF60" s="56"/>
      <c r="AG60" s="56"/>
      <c r="AH60" s="37">
        <f t="shared" si="11"/>
        <v>17</v>
      </c>
      <c r="AI60" s="38">
        <v>65</v>
      </c>
      <c r="AJ60" s="30">
        <f t="shared" si="5"/>
        <v>82</v>
      </c>
      <c r="AK60" s="37">
        <f t="shared" si="6"/>
        <v>82</v>
      </c>
      <c r="AL60" s="39">
        <f t="shared" si="7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9"/>
        <v>0</v>
      </c>
      <c r="AX60" s="71">
        <f t="shared" si="10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13"/>
        <v>2</v>
      </c>
      <c r="AF61" s="56"/>
      <c r="AG61" s="56"/>
      <c r="AH61" s="37">
        <f t="shared" si="11"/>
        <v>17</v>
      </c>
      <c r="AI61" s="38">
        <v>65</v>
      </c>
      <c r="AJ61" s="30">
        <f t="shared" si="5"/>
        <v>82</v>
      </c>
      <c r="AK61" s="37">
        <f t="shared" si="6"/>
        <v>82</v>
      </c>
      <c r="AL61" s="39">
        <f t="shared" si="7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9"/>
        <v>0</v>
      </c>
      <c r="AX61" s="71">
        <f t="shared" si="10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13"/>
        <v>2</v>
      </c>
      <c r="AF62" s="56"/>
      <c r="AG62" s="56"/>
      <c r="AH62" s="37">
        <f t="shared" si="11"/>
        <v>17</v>
      </c>
      <c r="AI62" s="38">
        <v>65</v>
      </c>
      <c r="AJ62" s="30">
        <f t="shared" si="5"/>
        <v>82</v>
      </c>
      <c r="AK62" s="37">
        <f t="shared" si="6"/>
        <v>82</v>
      </c>
      <c r="AL62" s="39">
        <f t="shared" si="7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9"/>
        <v>0</v>
      </c>
      <c r="AX62" s="71">
        <f t="shared" si="10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13"/>
        <v>2</v>
      </c>
      <c r="AF63" s="56"/>
      <c r="AG63" s="56"/>
      <c r="AH63" s="37">
        <f t="shared" si="11"/>
        <v>17</v>
      </c>
      <c r="AI63" s="38">
        <v>65</v>
      </c>
      <c r="AJ63" s="30">
        <f t="shared" si="5"/>
        <v>82</v>
      </c>
      <c r="AK63" s="37">
        <f t="shared" si="6"/>
        <v>82</v>
      </c>
      <c r="AL63" s="39">
        <f t="shared" si="7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9"/>
        <v>0</v>
      </c>
      <c r="AX63" s="71">
        <f t="shared" si="10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13"/>
        <v>2</v>
      </c>
      <c r="AF64" s="56"/>
      <c r="AG64" s="56"/>
      <c r="AH64" s="37">
        <f t="shared" si="11"/>
        <v>17</v>
      </c>
      <c r="AI64" s="38">
        <v>65</v>
      </c>
      <c r="AJ64" s="30">
        <f t="shared" si="5"/>
        <v>82</v>
      </c>
      <c r="AK64" s="37">
        <f t="shared" si="6"/>
        <v>82</v>
      </c>
      <c r="AL64" s="39">
        <f t="shared" si="7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9"/>
        <v>0</v>
      </c>
      <c r="AX64" s="71">
        <f t="shared" si="10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13"/>
        <v>2</v>
      </c>
      <c r="AF65" s="56"/>
      <c r="AG65" s="56"/>
      <c r="AH65" s="37">
        <f t="shared" si="11"/>
        <v>17</v>
      </c>
      <c r="AI65" s="38">
        <v>65</v>
      </c>
      <c r="AJ65" s="30">
        <f t="shared" si="5"/>
        <v>82</v>
      </c>
      <c r="AK65" s="37">
        <f t="shared" si="6"/>
        <v>82</v>
      </c>
      <c r="AL65" s="39">
        <f t="shared" si="7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9"/>
        <v>0</v>
      </c>
      <c r="AX65" s="71">
        <f t="shared" si="10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13"/>
        <v>2</v>
      </c>
      <c r="AF66" s="56"/>
      <c r="AG66" s="56"/>
      <c r="AH66" s="37">
        <f t="shared" si="11"/>
        <v>17</v>
      </c>
      <c r="AI66" s="38">
        <v>65</v>
      </c>
      <c r="AJ66" s="30">
        <f t="shared" si="5"/>
        <v>82</v>
      </c>
      <c r="AK66" s="37">
        <f t="shared" si="6"/>
        <v>82</v>
      </c>
      <c r="AL66" s="39">
        <f t="shared" si="7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9"/>
        <v>0</v>
      </c>
      <c r="AX66" s="71">
        <f t="shared" si="10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13"/>
        <v>2</v>
      </c>
      <c r="AF67" s="56"/>
      <c r="AG67" s="56"/>
      <c r="AH67" s="37">
        <f t="shared" si="11"/>
        <v>17</v>
      </c>
      <c r="AI67" s="38">
        <v>65</v>
      </c>
      <c r="AJ67" s="30">
        <f t="shared" si="5"/>
        <v>82</v>
      </c>
      <c r="AK67" s="37">
        <f t="shared" si="6"/>
        <v>82</v>
      </c>
      <c r="AL67" s="39">
        <f t="shared" si="7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9"/>
        <v>0</v>
      </c>
      <c r="AX67" s="71">
        <f t="shared" si="10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13"/>
        <v>2</v>
      </c>
      <c r="AF68" s="56"/>
      <c r="AG68" s="56"/>
      <c r="AH68" s="37">
        <f t="shared" si="11"/>
        <v>17</v>
      </c>
      <c r="AI68" s="38">
        <v>65</v>
      </c>
      <c r="AJ68" s="30">
        <f t="shared" si="5"/>
        <v>82</v>
      </c>
      <c r="AK68" s="37">
        <f t="shared" si="6"/>
        <v>82</v>
      </c>
      <c r="AL68" s="39">
        <f t="shared" si="7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9"/>
        <v>0</v>
      </c>
      <c r="AX68" s="71">
        <f t="shared" si="10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13"/>
        <v>2</v>
      </c>
      <c r="AF69" s="56"/>
      <c r="AG69" s="56"/>
      <c r="AH69" s="37">
        <f t="shared" si="11"/>
        <v>17</v>
      </c>
      <c r="AI69" s="38">
        <v>65</v>
      </c>
      <c r="AJ69" s="30">
        <f t="shared" si="5"/>
        <v>82</v>
      </c>
      <c r="AK69" s="37">
        <f t="shared" si="6"/>
        <v>82</v>
      </c>
      <c r="AL69" s="39">
        <f t="shared" si="7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9"/>
        <v>0</v>
      </c>
      <c r="AX69" s="71">
        <f t="shared" si="10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13"/>
        <v>2</v>
      </c>
      <c r="AF70" s="56"/>
      <c r="AG70" s="56"/>
      <c r="AH70" s="37">
        <f t="shared" si="11"/>
        <v>17</v>
      </c>
      <c r="AI70" s="38">
        <v>65</v>
      </c>
      <c r="AJ70" s="30">
        <f t="shared" si="5"/>
        <v>82</v>
      </c>
      <c r="AK70" s="37">
        <f t="shared" si="6"/>
        <v>82</v>
      </c>
      <c r="AL70" s="39">
        <f t="shared" si="7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9"/>
        <v>0</v>
      </c>
      <c r="AX70" s="71">
        <f t="shared" si="10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13"/>
        <v>2</v>
      </c>
      <c r="AF71" s="56"/>
      <c r="AG71" s="56"/>
      <c r="AH71" s="37">
        <f t="shared" si="11"/>
        <v>17</v>
      </c>
      <c r="AI71" s="38">
        <v>65</v>
      </c>
      <c r="AJ71" s="30">
        <f t="shared" si="5"/>
        <v>82</v>
      </c>
      <c r="AK71" s="37">
        <f t="shared" si="6"/>
        <v>82</v>
      </c>
      <c r="AL71" s="39">
        <f t="shared" si="7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9"/>
        <v>0</v>
      </c>
      <c r="AX71" s="71">
        <f t="shared" si="10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13"/>
        <v>2</v>
      </c>
      <c r="AF72" s="56"/>
      <c r="AG72" s="56"/>
      <c r="AH72" s="37">
        <f t="shared" si="11"/>
        <v>17</v>
      </c>
      <c r="AI72" s="38">
        <v>65</v>
      </c>
      <c r="AJ72" s="30">
        <f t="shared" si="5"/>
        <v>82</v>
      </c>
      <c r="AK72" s="37">
        <f t="shared" si="6"/>
        <v>82</v>
      </c>
      <c r="AL72" s="39">
        <f t="shared" si="7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9"/>
        <v>0</v>
      </c>
      <c r="AX72" s="71">
        <f t="shared" si="10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13"/>
        <v>2</v>
      </c>
      <c r="AF73" s="56"/>
      <c r="AG73" s="56"/>
      <c r="AH73" s="37">
        <f t="shared" si="11"/>
        <v>17</v>
      </c>
      <c r="AI73" s="38">
        <v>65</v>
      </c>
      <c r="AJ73" s="30">
        <f t="shared" si="5"/>
        <v>82</v>
      </c>
      <c r="AK73" s="37">
        <f t="shared" si="6"/>
        <v>82</v>
      </c>
      <c r="AL73" s="39">
        <f t="shared" si="7"/>
        <v>1.02</v>
      </c>
      <c r="AM73" s="40"/>
      <c r="AN73" s="41">
        <f t="shared" ref="AN73:AO92" si="16">100%+AM73</f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9"/>
        <v>0</v>
      </c>
      <c r="AX73" s="71">
        <f t="shared" si="10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13"/>
        <v>2</v>
      </c>
      <c r="AF74" s="56"/>
      <c r="AG74" s="56"/>
      <c r="AH74" s="37">
        <f t="shared" si="11"/>
        <v>17</v>
      </c>
      <c r="AI74" s="38">
        <v>65</v>
      </c>
      <c r="AJ74" s="30">
        <f t="shared" si="5"/>
        <v>82</v>
      </c>
      <c r="AK74" s="37">
        <f t="shared" si="6"/>
        <v>82</v>
      </c>
      <c r="AL74" s="39">
        <f t="shared" si="7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9"/>
        <v>0</v>
      </c>
      <c r="AX74" s="71">
        <f t="shared" si="10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13"/>
        <v>2</v>
      </c>
      <c r="AF75" s="56"/>
      <c r="AG75" s="56"/>
      <c r="AH75" s="37">
        <f t="shared" si="11"/>
        <v>17</v>
      </c>
      <c r="AI75" s="38">
        <v>65</v>
      </c>
      <c r="AJ75" s="30">
        <f t="shared" si="5"/>
        <v>82</v>
      </c>
      <c r="AK75" s="37">
        <f t="shared" si="6"/>
        <v>82</v>
      </c>
      <c r="AL75" s="39">
        <f t="shared" si="7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9"/>
        <v>0</v>
      </c>
      <c r="AX75" s="71">
        <f t="shared" si="10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13"/>
        <v>2</v>
      </c>
      <c r="AF76" s="56"/>
      <c r="AG76" s="56"/>
      <c r="AH76" s="37">
        <f t="shared" si="11"/>
        <v>17</v>
      </c>
      <c r="AI76" s="38">
        <v>65</v>
      </c>
      <c r="AJ76" s="30">
        <f t="shared" si="5"/>
        <v>82</v>
      </c>
      <c r="AK76" s="37">
        <f t="shared" si="6"/>
        <v>82</v>
      </c>
      <c r="AL76" s="39">
        <f t="shared" si="7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9"/>
        <v>0</v>
      </c>
      <c r="AX76" s="71">
        <f t="shared" si="10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ref="U77:U138" si="17">ROUND(((P77*I77)+(Q77*J77)+(R77*K77)+(S77*L77)+(T77*M77))*O77,2)</f>
        <v>15</v>
      </c>
      <c r="V77" s="68">
        <f t="shared" ref="V77:V138" si="18">IF(U77&gt;=15,15,U77)</f>
        <v>15</v>
      </c>
      <c r="W77" s="57"/>
      <c r="X77" s="60"/>
      <c r="Y77" s="45"/>
      <c r="Z77" s="48"/>
      <c r="AA77" s="35"/>
      <c r="AB77" s="36">
        <f t="shared" ref="AB77:AB138" si="19">ROUND((((W77*I77)+(X77*J77)+(Y77*K77)+(Z77*L77)+(AA77*M77))/$I$2),2)*13</f>
        <v>0</v>
      </c>
      <c r="AC77" s="68">
        <f t="shared" ref="AC77:AC138" si="20">IF(AB77&gt;=13,13,AB77)</f>
        <v>0</v>
      </c>
      <c r="AD77" s="63">
        <v>2</v>
      </c>
      <c r="AE77" s="32">
        <f t="shared" ref="AE77:AE138" si="21">IF((AC77+AD77)&gt;=15,15,(AC77+AD77))</f>
        <v>2</v>
      </c>
      <c r="AF77" s="56"/>
      <c r="AG77" s="56"/>
      <c r="AH77" s="37">
        <f t="shared" ref="AH77:AH138" si="22">IF((V77+AE77+AF77)&gt;=30,30,(V77+AE77+AF77))</f>
        <v>17</v>
      </c>
      <c r="AI77" s="38">
        <v>65</v>
      </c>
      <c r="AJ77" s="30">
        <f t="shared" ref="AJ77:AJ138" si="23">V77+AE77+AF77+AI77+AG77</f>
        <v>82</v>
      </c>
      <c r="AK77" s="37">
        <f t="shared" ref="AK77:AK138" si="24">IF(AH77+AI77+AG77&gt;=95,95,AH77+AI77+AG77)</f>
        <v>82</v>
      </c>
      <c r="AL77" s="39">
        <f t="shared" ref="AL77:AL138" si="25">-((50-((176+(45+(50-AH77)))))/200)</f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ref="AW77:AW138" si="26">AR77+AS77+AT77+AU77+AV77</f>
        <v>0</v>
      </c>
      <c r="AX77" s="71">
        <f t="shared" ref="AX77:AX138" si="27">(AR77*I77)+(AS77*J77)+(AT77*K77)+(AU77*L77)+(AV77*M77)</f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ref="AN93:AO112" si="28">100%+AM93</f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12" customFormat="1" ht="64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47.2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ref="N109:N138" si="29">SUM(I109:M109)</f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57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12" customFormat="1" ht="47.2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ref="AN113:AO132" si="30">100%+AM113</f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53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1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ref="AN133:AO138" si="31">100%+AM133</f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</sheetData>
  <mergeCells count="50">
    <mergeCell ref="A14:H14"/>
    <mergeCell ref="A1:B2"/>
    <mergeCell ref="A16:H16"/>
    <mergeCell ref="A18:H18"/>
    <mergeCell ref="A20:H20"/>
    <mergeCell ref="A22:H22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42"/>
  <sheetViews>
    <sheetView zoomScale="85" zoomScaleNormal="85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3822489000</v>
      </c>
      <c r="E1" s="340"/>
      <c r="F1" s="339"/>
      <c r="G1" s="340"/>
      <c r="H1" s="66" t="s">
        <v>306</v>
      </c>
      <c r="I1" s="341">
        <v>4190997000</v>
      </c>
      <c r="J1" s="341"/>
      <c r="K1" s="142" t="s">
        <v>690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305</v>
      </c>
      <c r="Z1" s="342"/>
      <c r="AA1" s="343" t="s">
        <v>304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3930657000</v>
      </c>
      <c r="E2" s="328"/>
      <c r="F2" s="329"/>
      <c r="G2" s="330"/>
      <c r="H2" s="3" t="s">
        <v>300</v>
      </c>
      <c r="I2" s="331">
        <f>D2*1</f>
        <v>3930657000</v>
      </c>
      <c r="J2" s="329"/>
      <c r="K2" s="129" t="s">
        <v>114</v>
      </c>
      <c r="L2" s="130" t="s">
        <v>115</v>
      </c>
      <c r="M2" s="332">
        <v>45966.625</v>
      </c>
      <c r="N2" s="332"/>
      <c r="O2" s="332"/>
      <c r="P2" s="332"/>
      <c r="Q2" s="131" t="s">
        <v>297</v>
      </c>
      <c r="R2" s="131"/>
      <c r="S2" s="131"/>
      <c r="T2" s="94"/>
      <c r="U2" s="132"/>
      <c r="V2" s="132"/>
      <c r="W2" s="133"/>
      <c r="X2" s="134"/>
      <c r="Y2" s="377">
        <v>8940300000</v>
      </c>
      <c r="Z2" s="377"/>
      <c r="AA2" s="334">
        <f>I1</f>
        <v>4190997000</v>
      </c>
      <c r="AB2" s="335"/>
      <c r="AC2" s="336"/>
      <c r="AD2" s="337">
        <f>TRUNC(Y2/AA2,4)</f>
        <v>2.1332</v>
      </c>
      <c r="AE2" s="338"/>
      <c r="AF2" s="135"/>
      <c r="AG2" s="322" t="s">
        <v>56</v>
      </c>
      <c r="AH2" s="323"/>
      <c r="AI2" s="324">
        <v>3822489000</v>
      </c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87"/>
      <c r="W3" s="354" t="s">
        <v>286</v>
      </c>
      <c r="X3" s="355"/>
      <c r="Y3" s="355"/>
      <c r="Z3" s="355"/>
      <c r="AA3" s="355"/>
      <c r="AB3" s="355"/>
      <c r="AC3" s="355"/>
      <c r="AD3" s="355"/>
      <c r="AE3" s="356"/>
      <c r="AF3" s="285"/>
      <c r="AG3" s="285"/>
      <c r="AH3" s="285"/>
      <c r="AI3" s="285"/>
      <c r="AJ3" s="285"/>
      <c r="AK3" s="286"/>
      <c r="AL3" s="370" t="s">
        <v>127</v>
      </c>
      <c r="AM3" s="366" t="s">
        <v>128</v>
      </c>
      <c r="AN3" s="372" t="s">
        <v>129</v>
      </c>
      <c r="AO3" s="374" t="s">
        <v>282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52</v>
      </c>
      <c r="AU3" s="362" t="s">
        <v>136</v>
      </c>
      <c r="AV3" s="368" t="s">
        <v>276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147</v>
      </c>
      <c r="E4" s="15" t="s">
        <v>142</v>
      </c>
      <c r="F4" s="15" t="s">
        <v>143</v>
      </c>
      <c r="G4" s="16" t="s">
        <v>144</v>
      </c>
      <c r="H4" s="287"/>
      <c r="I4" s="17" t="s">
        <v>140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142</v>
      </c>
      <c r="S4" s="14" t="s">
        <v>143</v>
      </c>
      <c r="T4" s="19" t="s">
        <v>144</v>
      </c>
      <c r="U4" s="20" t="s">
        <v>150</v>
      </c>
      <c r="V4" s="21" t="s">
        <v>261</v>
      </c>
      <c r="W4" s="97" t="s">
        <v>140</v>
      </c>
      <c r="X4" s="18" t="s">
        <v>147</v>
      </c>
      <c r="Y4" s="18" t="s">
        <v>142</v>
      </c>
      <c r="Z4" s="18" t="s">
        <v>257</v>
      </c>
      <c r="AA4" s="19" t="s">
        <v>144</v>
      </c>
      <c r="AB4" s="65" t="s">
        <v>255</v>
      </c>
      <c r="AC4" s="127" t="s">
        <v>154</v>
      </c>
      <c r="AD4" s="128" t="s">
        <v>155</v>
      </c>
      <c r="AE4" s="128" t="s">
        <v>156</v>
      </c>
      <c r="AF4" s="117" t="s">
        <v>251</v>
      </c>
      <c r="AG4" s="117" t="s">
        <v>250</v>
      </c>
      <c r="AH4" s="118" t="s">
        <v>159</v>
      </c>
      <c r="AI4" s="119" t="s">
        <v>160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/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21672377000</v>
      </c>
      <c r="X5" s="92"/>
      <c r="Y5" s="33"/>
      <c r="Z5" s="90"/>
      <c r="AA5" s="102"/>
      <c r="AB5" s="124">
        <f>ROUND((((W5*I5)+(X5*J5)+(Y5*K5)+(Z5*L5)+(AA5*M5))/$I$2),2)*13</f>
        <v>71.63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4.96</v>
      </c>
      <c r="AH5" s="115">
        <f>IF((V5+AE5+AF5)&gt;=30,30,(V5+AE5+AF5))</f>
        <v>30</v>
      </c>
      <c r="AI5" s="116">
        <v>65</v>
      </c>
      <c r="AJ5" s="44">
        <f>V5+AE5+AF5+AI5+AG5</f>
        <v>99.96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98</v>
      </c>
      <c r="B6" s="364"/>
      <c r="C6" s="364"/>
      <c r="D6" s="364"/>
      <c r="E6" s="364"/>
      <c r="F6" s="364"/>
      <c r="G6" s="364"/>
      <c r="H6" s="365"/>
      <c r="I6" s="104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/>
      <c r="C7" s="296" t="s">
        <v>645</v>
      </c>
      <c r="D7" s="295" t="s">
        <v>644</v>
      </c>
      <c r="E7" s="259" t="s">
        <v>679</v>
      </c>
      <c r="F7" s="54"/>
      <c r="G7" s="85"/>
      <c r="H7" s="146" t="s">
        <v>245</v>
      </c>
      <c r="I7" s="297">
        <v>0.26860000000000001</v>
      </c>
      <c r="J7" s="252">
        <v>0.3</v>
      </c>
      <c r="K7" s="252">
        <v>0.3</v>
      </c>
      <c r="L7" s="77"/>
      <c r="M7" s="78"/>
      <c r="N7" s="201">
        <f>SUM(I7:M7)</f>
        <v>0.86860000000000004</v>
      </c>
      <c r="O7" s="122">
        <v>1</v>
      </c>
      <c r="P7" s="253">
        <v>15</v>
      </c>
      <c r="Q7" s="260">
        <v>15</v>
      </c>
      <c r="R7" s="260">
        <v>15</v>
      </c>
      <c r="S7" s="30"/>
      <c r="T7" s="89"/>
      <c r="U7" s="32">
        <f>ROUND(((P7*I7)+(Q7*J7)+(R7*K7)+(S7*L7)+(T7*M7))*O7,2)</f>
        <v>13.03</v>
      </c>
      <c r="V7" s="68">
        <f>IF(U7&gt;=15,15,U7)</f>
        <v>13.03</v>
      </c>
      <c r="W7" s="255">
        <v>1555486000</v>
      </c>
      <c r="X7" s="255">
        <v>14338094000</v>
      </c>
      <c r="Y7" s="255">
        <v>3270462000</v>
      </c>
      <c r="Z7" s="45"/>
      <c r="AA7" s="35"/>
      <c r="AB7" s="36">
        <f>ROUND((((W7*I7)+(X7*J7)+(Y7*K7)+(Z7*L7)+(AA7*M7))/$I$2),2)*13</f>
        <v>18.849999999999998</v>
      </c>
      <c r="AC7" s="68">
        <f>IF(AB7&gt;=13,13,AB7)</f>
        <v>13</v>
      </c>
      <c r="AD7" s="192">
        <v>0</v>
      </c>
      <c r="AE7" s="32">
        <f>IF((AC7+AD7)&gt;=15,15,(AC7+AD7))</f>
        <v>13</v>
      </c>
      <c r="AF7" s="61"/>
      <c r="AG7" s="114">
        <v>4.96</v>
      </c>
      <c r="AH7" s="37">
        <f>IF((V7+AE7+AF7)&gt;=30,30,(V7+AE7+AF7))</f>
        <v>26.03</v>
      </c>
      <c r="AI7" s="38">
        <v>65</v>
      </c>
      <c r="AJ7" s="30">
        <f>V7+AE7+AF7+AI7+AG7</f>
        <v>95.99</v>
      </c>
      <c r="AK7" s="37">
        <f>IF(AH7+AI7+AG7&gt;=95,95,AH7+AI7+AG7)</f>
        <v>95</v>
      </c>
      <c r="AL7" s="39">
        <f>-((50-((176+(45+(50-AH7)))))/200)</f>
        <v>0.97484999999999999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98</v>
      </c>
      <c r="B8" s="364"/>
      <c r="C8" s="364"/>
      <c r="D8" s="364"/>
      <c r="E8" s="364"/>
      <c r="F8" s="364"/>
      <c r="G8" s="364"/>
      <c r="H8" s="365"/>
      <c r="I8" s="104">
        <v>85</v>
      </c>
      <c r="J8" s="104">
        <v>85</v>
      </c>
      <c r="K8" s="104">
        <v>85</v>
      </c>
      <c r="L8" s="104"/>
      <c r="M8" s="104"/>
      <c r="N8" s="107">
        <f>I8*I7+J8*J7+K8*K7+L8*L7+M8*M7</f>
        <v>73.831000000000003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/>
      <c r="C9" s="164" t="s">
        <v>80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7038779000</v>
      </c>
      <c r="X9" s="33"/>
      <c r="Y9" s="33"/>
      <c r="Z9" s="45"/>
      <c r="AA9" s="35"/>
      <c r="AB9" s="36">
        <f>ROUND((((W9*I9)+(X9*J9)+(Y9*K9)+(Z9*L9)+(AA9*M9))/$I$2),2)*13</f>
        <v>23.27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4.96</v>
      </c>
      <c r="AH9" s="37">
        <f>IF((V9+AE9+AF9)&gt;=30,30,(V9+AE9+AF9))</f>
        <v>30</v>
      </c>
      <c r="AI9" s="38">
        <v>65</v>
      </c>
      <c r="AJ9" s="30">
        <f>V9+AE9+AF9+AI9+AG9</f>
        <v>99.96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243</v>
      </c>
      <c r="B10" s="364"/>
      <c r="C10" s="364"/>
      <c r="D10" s="364"/>
      <c r="E10" s="364"/>
      <c r="F10" s="364"/>
      <c r="G10" s="364"/>
      <c r="H10" s="365"/>
      <c r="I10" s="104">
        <v>85</v>
      </c>
      <c r="J10" s="104"/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/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>ROUND(((P11*I11)+(Q11*J11)+(R11*K11)+(S11*L11)+(T11*M11))*O11,2)</f>
        <v>15</v>
      </c>
      <c r="V11" s="68">
        <f>IF(U11&gt;=15,15,U11)</f>
        <v>15</v>
      </c>
      <c r="W11" s="171">
        <v>15563060000</v>
      </c>
      <c r="X11" s="33"/>
      <c r="Y11" s="33"/>
      <c r="Z11" s="45"/>
      <c r="AA11" s="35"/>
      <c r="AB11" s="36">
        <f>ROUND((((W11*I11)+(X11*J11)+(Y11*K11)+(Z11*L11)+(AA11*M11))/$I$2),2)*13</f>
        <v>51.48</v>
      </c>
      <c r="AC11" s="68">
        <f>IF(AB11&gt;=13,13,AB11)</f>
        <v>13</v>
      </c>
      <c r="AD11" s="63">
        <v>2</v>
      </c>
      <c r="AE11" s="32">
        <f>IF((AC11+AD11)&gt;=15,15,(AC11+AD11))</f>
        <v>15</v>
      </c>
      <c r="AF11" s="170"/>
      <c r="AG11" s="114">
        <v>4.96</v>
      </c>
      <c r="AH11" s="37">
        <f>IF((V11+AE11+AF11)&gt;=30,30,(V11+AE11+AF11))</f>
        <v>30</v>
      </c>
      <c r="AI11" s="38">
        <v>65</v>
      </c>
      <c r="AJ11" s="30">
        <f>V11+AE11+AF11+AI11+AG11</f>
        <v>99.96</v>
      </c>
      <c r="AK11" s="37">
        <f>IF(AH11+AI11+AG11&gt;=95,95,AH11+AI11+AG11)</f>
        <v>95</v>
      </c>
      <c r="AL11" s="39">
        <f>-((50-((176+(45+(50-AH11)))))/200)</f>
        <v>0.95499999999999996</v>
      </c>
      <c r="AM11" s="40"/>
      <c r="AN11" s="41">
        <f>100%+AM11</f>
        <v>1</v>
      </c>
      <c r="AO11" s="41">
        <f>100%+AN11</f>
        <v>2</v>
      </c>
      <c r="AP11" s="43"/>
      <c r="AQ11" s="70"/>
      <c r="AR11" s="58"/>
      <c r="AS11" s="58"/>
      <c r="AT11" s="58"/>
      <c r="AU11" s="58"/>
      <c r="AV11" s="59"/>
      <c r="AW11" s="71">
        <f>AR11+AS11+AT11+AU11+AV11</f>
        <v>0</v>
      </c>
      <c r="AX11" s="71">
        <f>(AR11*I11)+(AS11*J11)+(AT11*K11)+(AU11*L11)+(AV11*M11)</f>
        <v>0</v>
      </c>
    </row>
    <row r="12" spans="1:50" s="42" customFormat="1" ht="21.95" customHeight="1" thickBot="1" x14ac:dyDescent="0.2">
      <c r="A12" s="363" t="s">
        <v>98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/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>SUM(I13:M13)</f>
        <v>1</v>
      </c>
      <c r="O13" s="28">
        <v>1</v>
      </c>
      <c r="P13" s="80">
        <v>15</v>
      </c>
      <c r="Q13" s="157"/>
      <c r="R13" s="80"/>
      <c r="S13" s="31"/>
      <c r="T13" s="33"/>
      <c r="U13" s="32">
        <f>ROUND(((P13*I13)+(Q13*J13)+(R13*K13)+(S13*L13)+(T13*M13))*O13,2)</f>
        <v>15</v>
      </c>
      <c r="V13" s="68">
        <f>IF(U13&gt;=15,15,U13)</f>
        <v>15</v>
      </c>
      <c r="W13" s="171">
        <v>11716746000</v>
      </c>
      <c r="X13" s="33"/>
      <c r="Y13" s="34"/>
      <c r="Z13" s="45"/>
      <c r="AA13" s="35"/>
      <c r="AB13" s="36">
        <f>ROUND((((W13*I13)+(X13*J13)+(Y13*K13)+(Z13*L13)+(AA13*M13))/$I$2),2)*13</f>
        <v>38.74</v>
      </c>
      <c r="AC13" s="68">
        <f>IF(AB13&gt;=13,13,AB13)</f>
        <v>13</v>
      </c>
      <c r="AD13" s="63">
        <v>2</v>
      </c>
      <c r="AE13" s="32">
        <f>IF((AC13+AD13)&gt;=15,15,(AC13+AD13))</f>
        <v>15</v>
      </c>
      <c r="AF13" s="170"/>
      <c r="AG13" s="114">
        <v>4.96</v>
      </c>
      <c r="AH13" s="37">
        <f>IF((V13+AE13+AF13)&gt;=30,30,(V13+AE13+AF13))</f>
        <v>30</v>
      </c>
      <c r="AI13" s="38">
        <v>65</v>
      </c>
      <c r="AJ13" s="30">
        <f>V13+AE13+AF13+AI13+AG13</f>
        <v>99.96</v>
      </c>
      <c r="AK13" s="37">
        <f>IF(AH13+AI13+AG13&gt;=95,95,AH13+AI13+AG13)</f>
        <v>95</v>
      </c>
      <c r="AL13" s="39">
        <f>-((50-((176+(45+(50-AH13)))))/200)</f>
        <v>0.95499999999999996</v>
      </c>
      <c r="AM13" s="40"/>
      <c r="AN13" s="41">
        <f>100%+AM13</f>
        <v>1</v>
      </c>
      <c r="AO13" s="41">
        <f>100%+AN13</f>
        <v>2</v>
      </c>
      <c r="AP13" s="43"/>
      <c r="AQ13" s="70"/>
      <c r="AR13" s="58"/>
      <c r="AS13" s="58"/>
      <c r="AT13" s="58"/>
      <c r="AU13" s="58"/>
      <c r="AV13" s="59"/>
      <c r="AW13" s="71">
        <f>AR13+AS13+AT13+AU13+AV13</f>
        <v>0</v>
      </c>
      <c r="AX13" s="71">
        <f>(AR13*I13)+(AS13*J13)+(AT13*K13)+(AU13*L13)+(AV13*M13)</f>
        <v>0</v>
      </c>
    </row>
    <row r="14" spans="1:50" s="42" customFormat="1" ht="21.95" customHeight="1" thickBot="1" x14ac:dyDescent="0.2">
      <c r="A14" s="363" t="s">
        <v>98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168" t="s">
        <v>628</v>
      </c>
      <c r="D15" s="258" t="s">
        <v>681</v>
      </c>
      <c r="E15" s="49"/>
      <c r="F15" s="49"/>
      <c r="G15" s="53"/>
      <c r="H15" s="202" t="s">
        <v>682</v>
      </c>
      <c r="I15" s="215">
        <v>0.65500000000000003</v>
      </c>
      <c r="J15" s="252">
        <v>0.3</v>
      </c>
      <c r="K15" s="96"/>
      <c r="L15" s="77"/>
      <c r="M15" s="78"/>
      <c r="N15" s="201">
        <f>SUM(I15:M15)</f>
        <v>0.95500000000000007</v>
      </c>
      <c r="O15" s="28">
        <v>1</v>
      </c>
      <c r="P15" s="80">
        <v>15</v>
      </c>
      <c r="Q15" s="253">
        <v>15</v>
      </c>
      <c r="R15" s="155"/>
      <c r="S15" s="31"/>
      <c r="T15" s="89"/>
      <c r="U15" s="32">
        <f>ROUND(((P15*I15)+(Q15*J15)+(R15*K15)+(S15*L15)+(T15*M15))*O15,2)</f>
        <v>14.33</v>
      </c>
      <c r="V15" s="68">
        <f>IF(U15&gt;=15,15,U15)</f>
        <v>14.33</v>
      </c>
      <c r="W15" s="172">
        <v>7643696000</v>
      </c>
      <c r="X15" s="290">
        <v>2164716000</v>
      </c>
      <c r="Y15" s="33"/>
      <c r="Z15" s="45"/>
      <c r="AA15" s="35"/>
      <c r="AB15" s="36">
        <f>ROUND((((W15*I15)+(X15*J15)+(Y15*K15)+(Z15*L15)+(AA15*M15))/$I$2),2)*13</f>
        <v>18.72</v>
      </c>
      <c r="AC15" s="68">
        <f>IF(AB15&gt;=13,13,AB15)</f>
        <v>13</v>
      </c>
      <c r="AD15" s="192">
        <v>1</v>
      </c>
      <c r="AE15" s="32">
        <f>IF((AC15+AD15)&gt;=15,15,(AC15+AD15))</f>
        <v>14</v>
      </c>
      <c r="AF15" s="61"/>
      <c r="AG15" s="114">
        <v>4.96</v>
      </c>
      <c r="AH15" s="37">
        <f>IF((V15+AE15+AF15)&gt;=30,30,(V15+AE15+AF15))</f>
        <v>28.33</v>
      </c>
      <c r="AI15" s="38">
        <v>65</v>
      </c>
      <c r="AJ15" s="30">
        <f>V15+AE15+AF15+AI15+AG15</f>
        <v>98.289999999999992</v>
      </c>
      <c r="AK15" s="37">
        <f>IF(AH15+AI15+AG15&gt;=95,95,AH15+AI15+AG15)</f>
        <v>95</v>
      </c>
      <c r="AL15" s="39">
        <f>-((50-((176+(45+(50-AH15)))))/200)</f>
        <v>0.96335000000000004</v>
      </c>
      <c r="AM15" s="40"/>
      <c r="AN15" s="41">
        <f>100%+AM15</f>
        <v>1</v>
      </c>
      <c r="AO15" s="41">
        <f>100%+AN15</f>
        <v>2</v>
      </c>
      <c r="AP15" s="43"/>
      <c r="AQ15" s="70"/>
      <c r="AR15" s="58"/>
      <c r="AS15" s="58"/>
      <c r="AT15" s="58"/>
      <c r="AU15" s="58"/>
      <c r="AV15" s="59"/>
      <c r="AW15" s="71">
        <f>AR15+AS15+AT15+AU15+AV15</f>
        <v>0</v>
      </c>
      <c r="AX15" s="71">
        <f>(AR15*I15)+(AS15*J15)+(AT15*K15)+(AU15*L15)+(AV15*M15)</f>
        <v>0</v>
      </c>
    </row>
    <row r="16" spans="1:50" s="42" customFormat="1" ht="21.95" customHeight="1" thickBot="1" x14ac:dyDescent="0.2">
      <c r="A16" s="363" t="s">
        <v>98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81.175000000000011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49" t="s">
        <v>237</v>
      </c>
      <c r="D17" s="51" t="s">
        <v>639</v>
      </c>
      <c r="E17" s="49"/>
      <c r="F17" s="49"/>
      <c r="G17" s="53"/>
      <c r="H17" s="140" t="s">
        <v>684</v>
      </c>
      <c r="I17" s="79">
        <v>0.6</v>
      </c>
      <c r="J17" s="193">
        <v>0.30580000000000002</v>
      </c>
      <c r="K17" s="26"/>
      <c r="L17" s="77"/>
      <c r="M17" s="78"/>
      <c r="N17" s="201">
        <f>SUM(I17:M17)</f>
        <v>0.90579999999999994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>ROUND(((P17*I17)+(Q17*J17)+(R17*K17)+(S17*L17)+(T17*M17))*O17,2)</f>
        <v>13.59</v>
      </c>
      <c r="V17" s="68">
        <f>IF(U17&gt;=15,15,U17)</f>
        <v>13.59</v>
      </c>
      <c r="W17" s="172">
        <v>129427822000</v>
      </c>
      <c r="X17" s="172">
        <v>2682494000</v>
      </c>
      <c r="Y17" s="33"/>
      <c r="Z17" s="45"/>
      <c r="AA17" s="35"/>
      <c r="AB17" s="36">
        <f>ROUND((((W17*I17)+(X17*J17)+(Y17*K17)+(Z17*L17)+(AA17*M17))/$I$2),2)*13</f>
        <v>259.61</v>
      </c>
      <c r="AC17" s="68">
        <f>IF(AB17&gt;=13,13,AB17)</f>
        <v>13</v>
      </c>
      <c r="AD17" s="63">
        <v>2</v>
      </c>
      <c r="AE17" s="32">
        <f>IF((AC17+AD17)&gt;=15,15,(AC17+AD17))</f>
        <v>15</v>
      </c>
      <c r="AF17" s="56"/>
      <c r="AG17" s="114">
        <v>4.96</v>
      </c>
      <c r="AH17" s="37">
        <f>IF((V17+AE17+AF17)&gt;=30,30,(V17+AE17+AF17))</f>
        <v>28.59</v>
      </c>
      <c r="AI17" s="38">
        <v>65</v>
      </c>
      <c r="AJ17" s="30">
        <f>V17+AE17+AF17+AI17+AG17</f>
        <v>98.55</v>
      </c>
      <c r="AK17" s="37">
        <f>IF(AH17+AI17+AG17&gt;=95,95,AH17+AI17+AG17)</f>
        <v>95</v>
      </c>
      <c r="AL17" s="39">
        <f>-((50-((176+(45+(50-AH17)))))/200)</f>
        <v>0.96204999999999996</v>
      </c>
      <c r="AM17" s="40"/>
      <c r="AN17" s="41">
        <f>100%+AM17</f>
        <v>1</v>
      </c>
      <c r="AO17" s="41">
        <f>100%+AN17</f>
        <v>2</v>
      </c>
      <c r="AP17" s="43"/>
      <c r="AQ17" s="70"/>
      <c r="AR17" s="58"/>
      <c r="AS17" s="58"/>
      <c r="AT17" s="58"/>
      <c r="AU17" s="58"/>
      <c r="AV17" s="59"/>
      <c r="AW17" s="71">
        <f>AR17+AS17+AT17+AU17+AV17</f>
        <v>0</v>
      </c>
      <c r="AX17" s="71">
        <f>(AR17*I17)+(AS17*J17)+(AT17*K17)+(AU17*L17)+(AV17*M17)</f>
        <v>0</v>
      </c>
    </row>
    <row r="18" spans="1:50" s="42" customFormat="1" ht="21.95" customHeight="1" thickBot="1" x14ac:dyDescent="0.2">
      <c r="A18" s="363" t="s">
        <v>98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76.992999999999995</v>
      </c>
      <c r="O18" s="28"/>
      <c r="P18" s="29"/>
      <c r="Q18" s="30"/>
      <c r="R18" s="30"/>
      <c r="S18" s="31"/>
      <c r="T18" s="89"/>
      <c r="U18" s="32"/>
      <c r="V18" s="68"/>
      <c r="W18" s="98">
        <v>0</v>
      </c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/>
      <c r="C19" s="165" t="s">
        <v>234</v>
      </c>
      <c r="D19" s="51" t="s">
        <v>629</v>
      </c>
      <c r="E19" s="49"/>
      <c r="F19" s="49"/>
      <c r="G19" s="53"/>
      <c r="H19" s="203" t="s">
        <v>232</v>
      </c>
      <c r="I19" s="79">
        <v>0.7</v>
      </c>
      <c r="J19" s="193">
        <v>0.25190000000000001</v>
      </c>
      <c r="K19" s="26"/>
      <c r="L19" s="77"/>
      <c r="M19" s="78"/>
      <c r="N19" s="201">
        <f>SUM(I19:M19)</f>
        <v>0.95189999999999997</v>
      </c>
      <c r="O19" s="28">
        <v>1</v>
      </c>
      <c r="P19" s="80">
        <v>15</v>
      </c>
      <c r="Q19" s="80">
        <v>15</v>
      </c>
      <c r="R19" s="155"/>
      <c r="S19" s="31"/>
      <c r="T19" s="89"/>
      <c r="U19" s="32">
        <f>ROUND(((P19*I19)+(Q19*J19)+(R19*K19)+(S19*L19)+(T19*M19))*O19,2)</f>
        <v>14.28</v>
      </c>
      <c r="V19" s="68">
        <f>IF(U19&gt;=15,15,U19)</f>
        <v>14.28</v>
      </c>
      <c r="W19" s="172">
        <v>109829864000</v>
      </c>
      <c r="X19" s="172">
        <v>483084000</v>
      </c>
      <c r="Y19" s="33"/>
      <c r="Z19" s="45"/>
      <c r="AA19" s="35"/>
      <c r="AB19" s="36">
        <f>ROUND((((W19*I19)+(X19*J19)+(Y19*K19)+(Z19*L19)+(AA19*M19))/$I$2),2)*13</f>
        <v>254.67</v>
      </c>
      <c r="AC19" s="68">
        <f>IF(AB19&gt;=13,13,AB19)</f>
        <v>13</v>
      </c>
      <c r="AD19" s="192">
        <v>1</v>
      </c>
      <c r="AE19" s="32">
        <f>IF((AC19+AD19)&gt;=15,15,(AC19+AD19))</f>
        <v>14</v>
      </c>
      <c r="AF19" s="56"/>
      <c r="AG19" s="114">
        <v>4.96</v>
      </c>
      <c r="AH19" s="37">
        <f>IF((V19+AE19+AF19)&gt;=30,30,(V19+AE19+AF19))</f>
        <v>28.28</v>
      </c>
      <c r="AI19" s="38">
        <v>65</v>
      </c>
      <c r="AJ19" s="30">
        <f>V19+AE19+AF19+AI19+AG19</f>
        <v>98.24</v>
      </c>
      <c r="AK19" s="37">
        <f>IF(AH19+AI19+AG19&gt;=95,95,AH19+AI19+AG19)</f>
        <v>95</v>
      </c>
      <c r="AL19" s="39">
        <f>-((50-((176+(45+(50-AH19)))))/200)</f>
        <v>0.96360000000000001</v>
      </c>
      <c r="AM19" s="40"/>
      <c r="AN19" s="41">
        <f>100%+AM19</f>
        <v>1</v>
      </c>
      <c r="AO19" s="41">
        <f>100%+AN19</f>
        <v>2</v>
      </c>
      <c r="AP19" s="43"/>
      <c r="AQ19" s="70"/>
      <c r="AR19" s="58"/>
      <c r="AS19" s="58"/>
      <c r="AT19" s="58"/>
      <c r="AU19" s="58"/>
      <c r="AV19" s="59"/>
      <c r="AW19" s="71">
        <f>AR19+AS19+AT19+AU19+AV19</f>
        <v>0</v>
      </c>
      <c r="AX19" s="71">
        <f>(AR19*I19)+(AS19*J19)+(AT19*K19)+(AU19*L19)+(AV19*M19)</f>
        <v>0</v>
      </c>
    </row>
    <row r="20" spans="1:50" s="42" customFormat="1" ht="21.95" customHeight="1" thickBot="1" x14ac:dyDescent="0.2">
      <c r="A20" s="363" t="s">
        <v>98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80.91149999999999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/>
      <c r="C21" s="168" t="s">
        <v>231</v>
      </c>
      <c r="D21" s="288" t="s">
        <v>631</v>
      </c>
      <c r="E21" s="259"/>
      <c r="F21" s="49"/>
      <c r="G21" s="53"/>
      <c r="H21" s="203"/>
      <c r="I21" s="79">
        <v>0.7</v>
      </c>
      <c r="J21" s="252">
        <v>0.3</v>
      </c>
      <c r="K21" s="252"/>
      <c r="L21" s="26"/>
      <c r="M21" s="62"/>
      <c r="N21" s="27">
        <f>SUM(I21:M21)</f>
        <v>1</v>
      </c>
      <c r="O21" s="28">
        <v>1</v>
      </c>
      <c r="P21" s="80">
        <v>15</v>
      </c>
      <c r="Q21" s="253">
        <v>15</v>
      </c>
      <c r="R21" s="260"/>
      <c r="S21" s="30"/>
      <c r="T21" s="31"/>
      <c r="U21" s="32">
        <f>ROUND(((P21*I21)+(Q21*J21)+(R21*K21)+(S21*L21)+(T21*M21))*O21,2)</f>
        <v>15</v>
      </c>
      <c r="V21" s="68">
        <f>IF(U21&gt;=15,15,U21)</f>
        <v>15</v>
      </c>
      <c r="W21" s="214">
        <v>14559047000</v>
      </c>
      <c r="X21" s="289">
        <v>6158057000</v>
      </c>
      <c r="Y21" s="290"/>
      <c r="Z21" s="172"/>
      <c r="AA21" s="35"/>
      <c r="AB21" s="36">
        <f>ROUND((((W21*I21)+(X21*J21)+(Y21*K21)+(Z21*L21)+(AA21*M21))/$I$2),2)*13</f>
        <v>39.78</v>
      </c>
      <c r="AC21" s="68">
        <f>IF(AB21&gt;=13,13,AB21)</f>
        <v>13</v>
      </c>
      <c r="AD21" s="63">
        <v>2</v>
      </c>
      <c r="AE21" s="32">
        <f>IF((AC21+AD21)&gt;=15,15,(AC21+AD21))</f>
        <v>15</v>
      </c>
      <c r="AF21" s="56"/>
      <c r="AG21" s="114">
        <v>4.96</v>
      </c>
      <c r="AH21" s="37">
        <f>IF((V21+AE21+AF21)&gt;=30,30,(V21+AE21+AF21))</f>
        <v>30</v>
      </c>
      <c r="AI21" s="38">
        <v>65</v>
      </c>
      <c r="AJ21" s="30">
        <f>V21+AE21+AF21+AI21+AG21</f>
        <v>99.96</v>
      </c>
      <c r="AK21" s="37">
        <f>IF(AH21+AI21+AG21&gt;=95,95,AH21+AI21+AG21)</f>
        <v>95</v>
      </c>
      <c r="AL21" s="39">
        <f>-((50-((176+(45+(50-AH21)))))/200)</f>
        <v>0.95499999999999996</v>
      </c>
      <c r="AM21" s="40"/>
      <c r="AN21" s="41">
        <f>100%+AM21</f>
        <v>1</v>
      </c>
      <c r="AO21" s="41">
        <f>100%+AN21</f>
        <v>2</v>
      </c>
      <c r="AP21" s="43"/>
      <c r="AQ21" s="70"/>
      <c r="AR21" s="58"/>
      <c r="AS21" s="58"/>
      <c r="AT21" s="58"/>
      <c r="AU21" s="58"/>
      <c r="AV21" s="59"/>
      <c r="AW21" s="71">
        <f>AR21+AS21+AT21+AU21+AV21</f>
        <v>0</v>
      </c>
      <c r="AX21" s="71">
        <f>(AR21*I21)+(AS21*J21)+(AT21*K21)+(AU21*L21)+(AV21*M21)</f>
        <v>0</v>
      </c>
    </row>
    <row r="22" spans="1:50" s="42" customFormat="1" ht="21.95" customHeight="1" thickBot="1" x14ac:dyDescent="0.2">
      <c r="A22" s="363" t="s">
        <v>98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/>
      <c r="C23" s="269" t="s">
        <v>676</v>
      </c>
      <c r="D23" s="50" t="s">
        <v>632</v>
      </c>
      <c r="E23" s="49" t="s">
        <v>686</v>
      </c>
      <c r="F23" s="49"/>
      <c r="G23" s="53"/>
      <c r="H23" s="203" t="s">
        <v>687</v>
      </c>
      <c r="I23" s="302">
        <v>0.5</v>
      </c>
      <c r="J23" s="193">
        <v>0.24660000000000001</v>
      </c>
      <c r="K23" s="83">
        <v>0.2</v>
      </c>
      <c r="L23" s="26"/>
      <c r="M23" s="62"/>
      <c r="N23" s="201">
        <f>SUM(I23:M23)</f>
        <v>0.94660000000000011</v>
      </c>
      <c r="O23" s="28">
        <v>1</v>
      </c>
      <c r="P23" s="253">
        <v>15</v>
      </c>
      <c r="Q23" s="80">
        <v>15</v>
      </c>
      <c r="R23" s="81">
        <v>15</v>
      </c>
      <c r="S23" s="30"/>
      <c r="T23" s="31"/>
      <c r="U23" s="32">
        <f>ROUND(((P23*I23)+(Q23*J23)+(R23*K23)+(S23*L23)+(T23*M23))*O23,2)</f>
        <v>14.2</v>
      </c>
      <c r="V23" s="68">
        <f>IF(U23&gt;=15,15,U23)</f>
        <v>14.2</v>
      </c>
      <c r="W23" s="290">
        <v>60895199000</v>
      </c>
      <c r="X23" s="213">
        <v>222174000</v>
      </c>
      <c r="Y23" s="172">
        <v>2063973000</v>
      </c>
      <c r="Z23" s="48"/>
      <c r="AA23" s="35"/>
      <c r="AB23" s="36">
        <f>ROUND((((W23*I23)+(X23*J23)+(Y23*K23)+(Z23*L23)+(AA23*M23))/$I$2),2)*13</f>
        <v>102.31</v>
      </c>
      <c r="AC23" s="68">
        <f>IF(AB23&gt;=13,13,AB23)</f>
        <v>13</v>
      </c>
      <c r="AD23" s="192">
        <v>1</v>
      </c>
      <c r="AE23" s="32">
        <f>IF((AC23+AD23)&gt;=15,15,(AC23+AD23))</f>
        <v>14</v>
      </c>
      <c r="AF23" s="56"/>
      <c r="AG23" s="114">
        <v>4.96</v>
      </c>
      <c r="AH23" s="37">
        <f>IF((V23+AE23+AF23)&gt;=30,30,(V23+AE23+AF23))</f>
        <v>28.2</v>
      </c>
      <c r="AI23" s="38">
        <v>65</v>
      </c>
      <c r="AJ23" s="30">
        <f>V23+AE23+AF23+AI23+AG23</f>
        <v>98.16</v>
      </c>
      <c r="AK23" s="37">
        <f>IF(AH23+AI23+AG23&gt;=95,95,AH23+AI23+AG23)</f>
        <v>95</v>
      </c>
      <c r="AL23" s="39">
        <f>-((50-((176+(45+(50-AH23)))))/200)</f>
        <v>0.96400000000000008</v>
      </c>
      <c r="AM23" s="40"/>
      <c r="AN23" s="41">
        <f>100%+AM23</f>
        <v>1</v>
      </c>
      <c r="AO23" s="41">
        <f>100%+AN23</f>
        <v>2</v>
      </c>
      <c r="AP23" s="43"/>
      <c r="AQ23" s="70"/>
      <c r="AR23" s="58"/>
      <c r="AS23" s="58"/>
      <c r="AT23" s="58"/>
      <c r="AU23" s="58"/>
      <c r="AV23" s="59"/>
      <c r="AW23" s="71">
        <f>AR23+AS23+AT23+AU23+AV23</f>
        <v>0</v>
      </c>
      <c r="AX23" s="71">
        <f>(AR23*I23)+(AS23*J23)+(AT23*K23)+(AU23*L23)+(AV23*M23)</f>
        <v>0</v>
      </c>
    </row>
    <row r="24" spans="1:50" s="42" customFormat="1" ht="21.95" customHeight="1" thickBot="1" x14ac:dyDescent="0.2">
      <c r="A24" s="363" t="s">
        <v>98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04">
        <v>85</v>
      </c>
      <c r="K24" s="104">
        <v>85</v>
      </c>
      <c r="L24" s="104"/>
      <c r="M24" s="104"/>
      <c r="N24" s="107">
        <f>I24*I23+J24*J23+K24*K23+L24*L23+M24*M23</f>
        <v>80.460999999999999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52"/>
      <c r="C25" s="273" t="s">
        <v>648</v>
      </c>
      <c r="D25" s="258" t="s">
        <v>634</v>
      </c>
      <c r="E25" s="206"/>
      <c r="F25" s="49"/>
      <c r="G25" s="53"/>
      <c r="H25" s="203"/>
      <c r="I25" s="302">
        <v>0.6</v>
      </c>
      <c r="J25" s="266">
        <v>0.4</v>
      </c>
      <c r="K25" s="26"/>
      <c r="L25" s="26"/>
      <c r="M25" s="62"/>
      <c r="N25" s="201">
        <f>SUM(I25:M25)</f>
        <v>1</v>
      </c>
      <c r="O25" s="28">
        <v>1</v>
      </c>
      <c r="P25" s="271">
        <v>15</v>
      </c>
      <c r="Q25" s="260">
        <v>15</v>
      </c>
      <c r="R25" s="181"/>
      <c r="S25" s="30"/>
      <c r="T25" s="31"/>
      <c r="U25" s="32">
        <f>ROUND(((P25*I25)+(Q25*J25)+(R25*K25)+(S25*L25)+(T25*M25))*O25,2)</f>
        <v>15</v>
      </c>
      <c r="V25" s="68">
        <f>IF(U25&gt;=15,15,U25)</f>
        <v>15</v>
      </c>
      <c r="W25" s="274">
        <v>4268287000</v>
      </c>
      <c r="X25" s="255">
        <v>2073378000</v>
      </c>
      <c r="Y25" s="172"/>
      <c r="Z25" s="48"/>
      <c r="AA25" s="35"/>
      <c r="AB25" s="36">
        <f>ROUND((((W25*I25)+(X25*J25)+(Y25*K25)+(Z25*L25)+(AA25*M25))/$I$2),2)*13</f>
        <v>11.18</v>
      </c>
      <c r="AC25" s="68">
        <f>IF(AB25&gt;=13,13,AB25)</f>
        <v>11.18</v>
      </c>
      <c r="AD25" s="63">
        <v>2</v>
      </c>
      <c r="AE25" s="32">
        <f>IF((AC25+AD25)&gt;=15,15,(AC25+AD25))</f>
        <v>13.18</v>
      </c>
      <c r="AF25" s="155"/>
      <c r="AG25" s="114">
        <v>4.96</v>
      </c>
      <c r="AH25" s="37">
        <f>IF((V25+AE25+AF25)&gt;=30,30,(V25+AE25+AF25))</f>
        <v>28.18</v>
      </c>
      <c r="AI25" s="38">
        <v>65</v>
      </c>
      <c r="AJ25" s="30">
        <f>V25+AE25+AF25+AI25+AG25</f>
        <v>98.14</v>
      </c>
      <c r="AK25" s="37">
        <f>IF(AH25+AI25+AG25&gt;=95,95,AH25+AI25+AG25)</f>
        <v>95</v>
      </c>
      <c r="AL25" s="39">
        <f>-((50-((176+(45+(50-AH25)))))/200)</f>
        <v>0.96409999999999996</v>
      </c>
      <c r="AM25" s="40"/>
      <c r="AN25" s="41">
        <f>100%+AM25</f>
        <v>1</v>
      </c>
      <c r="AO25" s="41">
        <f>100%+AN25</f>
        <v>2</v>
      </c>
      <c r="AP25" s="43"/>
      <c r="AQ25" s="70"/>
      <c r="AR25" s="58"/>
      <c r="AS25" s="58"/>
      <c r="AT25" s="58"/>
      <c r="AU25" s="58"/>
      <c r="AV25" s="59"/>
      <c r="AW25" s="71">
        <f>AR25+AS25+AT25+AU25+AV25</f>
        <v>0</v>
      </c>
      <c r="AX25" s="71">
        <f>(AR25*I25)+(AS25*J25)+(AT25*K25)+(AU25*L25)+(AV25*M25)</f>
        <v>0</v>
      </c>
    </row>
    <row r="26" spans="1:50" s="42" customFormat="1" ht="21.95" customHeight="1" thickBot="1" x14ac:dyDescent="0.2">
      <c r="A26" s="363" t="s">
        <v>98</v>
      </c>
      <c r="B26" s="364"/>
      <c r="C26" s="364"/>
      <c r="D26" s="364"/>
      <c r="E26" s="364"/>
      <c r="F26" s="364"/>
      <c r="G26" s="364"/>
      <c r="H26" s="365"/>
      <c r="I26" s="153">
        <v>85</v>
      </c>
      <c r="J26" s="104">
        <v>85</v>
      </c>
      <c r="K26" s="104"/>
      <c r="L26" s="104"/>
      <c r="M26" s="104"/>
      <c r="N26" s="107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2">
        <v>12</v>
      </c>
      <c r="B27" s="23"/>
      <c r="C27" s="168" t="s">
        <v>220</v>
      </c>
      <c r="D27" s="258" t="s">
        <v>633</v>
      </c>
      <c r="E27" s="49"/>
      <c r="F27" s="49"/>
      <c r="G27" s="53"/>
      <c r="H27" s="203" t="s">
        <v>685</v>
      </c>
      <c r="I27" s="25">
        <v>0.6</v>
      </c>
      <c r="J27" s="262">
        <v>0.25440000000000002</v>
      </c>
      <c r="K27" s="26"/>
      <c r="L27" s="26"/>
      <c r="M27" s="62"/>
      <c r="N27" s="201">
        <f>SUM(I27:M27)</f>
        <v>0.85440000000000005</v>
      </c>
      <c r="O27" s="28">
        <v>1</v>
      </c>
      <c r="P27" s="29">
        <v>15</v>
      </c>
      <c r="Q27" s="260">
        <v>15</v>
      </c>
      <c r="R27" s="56"/>
      <c r="S27" s="30"/>
      <c r="T27" s="31"/>
      <c r="U27" s="32">
        <f>ROUND(((P27*I27)+(Q27*J27)+(R27*K27)+(S27*L27)+(T27*M27))*O27,2)</f>
        <v>12.82</v>
      </c>
      <c r="V27" s="68">
        <f>IF(U27&gt;=15,15,U27)</f>
        <v>12.82</v>
      </c>
      <c r="W27" s="82">
        <v>56126180000</v>
      </c>
      <c r="X27" s="290">
        <v>1466594000</v>
      </c>
      <c r="Y27" s="33"/>
      <c r="Z27" s="48"/>
      <c r="AA27" s="35"/>
      <c r="AB27" s="36">
        <f>ROUND((((W27*I27)+(X27*J27)+(Y27*K27)+(Z27*L27)+(AA27*M27))/$I$2),2)*13</f>
        <v>112.58</v>
      </c>
      <c r="AC27" s="68">
        <f>IF(AB27&gt;=13,13,AB27)</f>
        <v>13</v>
      </c>
      <c r="AD27" s="192">
        <v>0</v>
      </c>
      <c r="AE27" s="32">
        <f>IF((AC27+AD27)&gt;=15,15,(AC27+AD27))</f>
        <v>13</v>
      </c>
      <c r="AF27" s="56"/>
      <c r="AG27" s="114">
        <v>4.96</v>
      </c>
      <c r="AH27" s="37">
        <f>IF((V27+AE27+AF27)&gt;=30,30,(V27+AE27+AF27))</f>
        <v>25.82</v>
      </c>
      <c r="AI27" s="38">
        <v>65</v>
      </c>
      <c r="AJ27" s="30">
        <f>V27+AE27+AF27+AI27+AG27</f>
        <v>95.779999999999987</v>
      </c>
      <c r="AK27" s="37">
        <f>IF(AH27+AI27+AG27&gt;=95,95,AH27+AI27+AG27)</f>
        <v>95</v>
      </c>
      <c r="AL27" s="39">
        <f>-((50-((176+(45+(50-AH27)))))/200)</f>
        <v>0.97589999999999999</v>
      </c>
      <c r="AM27" s="40"/>
      <c r="AN27" s="41">
        <f>100%+AM27</f>
        <v>1</v>
      </c>
      <c r="AO27" s="41">
        <f>100%+AN27</f>
        <v>2</v>
      </c>
      <c r="AP27" s="43"/>
      <c r="AQ27" s="70"/>
      <c r="AR27" s="58"/>
      <c r="AS27" s="58"/>
      <c r="AT27" s="58"/>
      <c r="AU27" s="58"/>
      <c r="AV27" s="59"/>
      <c r="AW27" s="71">
        <f>AR27+AS27+AT27+AU27+AV27</f>
        <v>0</v>
      </c>
      <c r="AX27" s="71">
        <f>(AR27*I27)+(AS27*J27)+(AT27*K27)+(AU27*L27)+(AV27*M27)</f>
        <v>0</v>
      </c>
    </row>
    <row r="28" spans="1:50" s="42" customFormat="1" ht="21.95" customHeight="1" thickBot="1" x14ac:dyDescent="0.2">
      <c r="A28" s="363" t="s">
        <v>98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/>
      <c r="L28" s="104"/>
      <c r="M28" s="104"/>
      <c r="N28" s="107">
        <f>I28*I27+J28*J27+K28*K27+L28*L27+M28*M27</f>
        <v>72.623999999999995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51" t="s">
        <v>216</v>
      </c>
      <c r="D29" s="49" t="s">
        <v>57</v>
      </c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>SUM(I29:M29)</f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>ROUND(((P29*I29)+(Q29*J29)+(R29*K29)+(S29*L29)+(T29*M29))*O29,2)</f>
        <v>15</v>
      </c>
      <c r="V29" s="68">
        <f>IF(U29&gt;=15,15,U29)</f>
        <v>15</v>
      </c>
      <c r="W29" s="57">
        <v>4518360000</v>
      </c>
      <c r="X29" s="172">
        <v>63305526000</v>
      </c>
      <c r="Y29" s="45"/>
      <c r="Z29" s="48"/>
      <c r="AA29" s="35"/>
      <c r="AB29" s="36">
        <f>ROUND((((W29*I29)+(X29*J29)+(Y29*K29)+(Z29*L29)+(AA29*M29))/$I$2),2)*13</f>
        <v>110.24000000000001</v>
      </c>
      <c r="AC29" s="68">
        <f>IF(AB29&gt;=13,13,AB29)</f>
        <v>13</v>
      </c>
      <c r="AD29" s="63">
        <v>2</v>
      </c>
      <c r="AE29" s="32">
        <f>IF((AC29+AD29)&gt;=15,15,(AC29+AD29))</f>
        <v>15</v>
      </c>
      <c r="AF29" s="56"/>
      <c r="AG29" s="114">
        <v>4.96</v>
      </c>
      <c r="AH29" s="37">
        <f>IF((V29+AE29+AF29)&gt;=30,30,(V29+AE29+AF29))</f>
        <v>30</v>
      </c>
      <c r="AI29" s="38">
        <v>65</v>
      </c>
      <c r="AJ29" s="30">
        <f>V29+AE29+AF29+AI29+AG29</f>
        <v>99.96</v>
      </c>
      <c r="AK29" s="37">
        <f>IF(AH29+AI29+AG29&gt;=95,95,AH29+AI29+AG29)</f>
        <v>95</v>
      </c>
      <c r="AL29" s="39">
        <f>-((50-((176+(45+(50-AH29)))))/200)</f>
        <v>0.95499999999999996</v>
      </c>
      <c r="AM29" s="40"/>
      <c r="AN29" s="41">
        <f>100%+AM29</f>
        <v>1</v>
      </c>
      <c r="AO29" s="41">
        <f>100%+AN29</f>
        <v>2</v>
      </c>
      <c r="AP29" s="43"/>
      <c r="AQ29" s="70"/>
      <c r="AR29" s="58"/>
      <c r="AS29" s="58"/>
      <c r="AT29" s="58"/>
      <c r="AU29" s="58"/>
      <c r="AV29" s="59"/>
      <c r="AW29" s="71">
        <f>AR29+AS29+AT29+AU29+AV29</f>
        <v>0</v>
      </c>
      <c r="AX29" s="71">
        <f>(AR29*I29)+(AS29*J29)+(AT29*K29)+(AU29*L29)+(AV29*M29)</f>
        <v>0</v>
      </c>
    </row>
    <row r="30" spans="1:50" s="42" customFormat="1" ht="21.95" customHeight="1" thickBot="1" x14ac:dyDescent="0.2">
      <c r="A30" s="363" t="s">
        <v>98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/>
      <c r="L30" s="104"/>
      <c r="M30" s="104"/>
      <c r="N30" s="107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 t="s">
        <v>691</v>
      </c>
      <c r="C31" s="259" t="s">
        <v>688</v>
      </c>
      <c r="D31" s="258" t="s">
        <v>630</v>
      </c>
      <c r="E31" s="49"/>
      <c r="F31" s="49"/>
      <c r="G31" s="53"/>
      <c r="H31" s="203" t="s">
        <v>674</v>
      </c>
      <c r="I31" s="270">
        <v>0.7</v>
      </c>
      <c r="J31" s="262">
        <v>0.1401</v>
      </c>
      <c r="K31" s="26"/>
      <c r="L31" s="26"/>
      <c r="M31" s="62"/>
      <c r="N31" s="201">
        <f>SUM(I31:M31)</f>
        <v>0.84009999999999996</v>
      </c>
      <c r="O31" s="28">
        <v>1</v>
      </c>
      <c r="P31" s="271">
        <v>15</v>
      </c>
      <c r="Q31" s="260">
        <v>15</v>
      </c>
      <c r="R31" s="30"/>
      <c r="S31" s="30"/>
      <c r="T31" s="31"/>
      <c r="U31" s="32">
        <f>ROUND(((P31*I31)+(Q31*J31)+(R31*K31)+(S31*L31)+(T31*M31))*O31,2)</f>
        <v>12.6</v>
      </c>
      <c r="V31" s="68">
        <f>IF(U31&gt;=15,15,U31)</f>
        <v>12.6</v>
      </c>
      <c r="W31" s="291">
        <v>15442996000</v>
      </c>
      <c r="X31" s="268">
        <v>517643000</v>
      </c>
      <c r="Y31" s="33"/>
      <c r="Z31" s="57"/>
      <c r="AA31" s="35"/>
      <c r="AB31" s="36">
        <f>ROUND((((W31*I31)+(X31*J31)+(Y31*K31)+(Z31*L31)+(AA31*M31))/$I$2),2)*13</f>
        <v>36.01</v>
      </c>
      <c r="AC31" s="68">
        <f>IF(AB31&gt;=13,13,AB31)</f>
        <v>13</v>
      </c>
      <c r="AD31" s="192">
        <v>0</v>
      </c>
      <c r="AE31" s="32">
        <f>IF((AC31+AD31)&gt;=15,15,(AC31+AD31))</f>
        <v>13</v>
      </c>
      <c r="AF31" s="56"/>
      <c r="AG31" s="114">
        <v>4.96</v>
      </c>
      <c r="AH31" s="37">
        <f>IF((V31+AE31+AF31)&gt;=30,30,(V31+AE31+AF31))</f>
        <v>25.6</v>
      </c>
      <c r="AI31" s="38">
        <v>65</v>
      </c>
      <c r="AJ31" s="30">
        <f>V31+AE31+AF31+AI31+AG31</f>
        <v>95.559999999999988</v>
      </c>
      <c r="AK31" s="37">
        <f>IF(AH31+AI31+AG31&gt;=95,95,AH31+AI31+AG31)</f>
        <v>95</v>
      </c>
      <c r="AL31" s="39">
        <f>-((50-((176+(45+(50-AH31)))))/200)</f>
        <v>0.97699999999999998</v>
      </c>
      <c r="AM31" s="40"/>
      <c r="AN31" s="41">
        <f>100%+AM31</f>
        <v>1</v>
      </c>
      <c r="AO31" s="41">
        <f>100%+AN31</f>
        <v>2</v>
      </c>
      <c r="AP31" s="43"/>
      <c r="AQ31" s="70"/>
      <c r="AR31" s="58"/>
      <c r="AS31" s="58"/>
      <c r="AT31" s="58"/>
      <c r="AU31" s="58"/>
      <c r="AV31" s="59"/>
      <c r="AW31" s="71">
        <f>AR31+AS31+AT31+AU31+AV31</f>
        <v>0</v>
      </c>
      <c r="AX31" s="71">
        <f>(AR31*I31)+(AS31*J31)+(AT31*K31)+(AU31*L31)+(AV31*M31)</f>
        <v>0</v>
      </c>
    </row>
    <row r="32" spans="1:50" s="42" customFormat="1" ht="21.95" customHeight="1" thickBot="1" x14ac:dyDescent="0.2">
      <c r="A32" s="363" t="s">
        <v>98</v>
      </c>
      <c r="B32" s="364"/>
      <c r="C32" s="364"/>
      <c r="D32" s="364"/>
      <c r="E32" s="364"/>
      <c r="F32" s="364"/>
      <c r="G32" s="364"/>
      <c r="H32" s="365"/>
      <c r="I32" s="153">
        <v>85</v>
      </c>
      <c r="J32" s="104">
        <v>85</v>
      </c>
      <c r="K32" s="104"/>
      <c r="L32" s="104"/>
      <c r="M32" s="104"/>
      <c r="N32" s="107">
        <f>I32*I31+J32*J31+K32*K31+L32*L31+M32*M31</f>
        <v>71.408499999999989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295" t="s">
        <v>677</v>
      </c>
      <c r="D33" s="166" t="s">
        <v>635</v>
      </c>
      <c r="E33" s="49"/>
      <c r="F33" s="49"/>
      <c r="G33" s="53"/>
      <c r="H33" s="203"/>
      <c r="I33" s="270">
        <v>0.51</v>
      </c>
      <c r="J33" s="106">
        <v>0.49</v>
      </c>
      <c r="K33" s="26"/>
      <c r="L33" s="26"/>
      <c r="M33" s="62"/>
      <c r="N33" s="216">
        <f>SUM(I33:M33)</f>
        <v>1</v>
      </c>
      <c r="O33" s="28">
        <v>1</v>
      </c>
      <c r="P33" s="271">
        <v>15</v>
      </c>
      <c r="Q33" s="30">
        <v>15</v>
      </c>
      <c r="R33" s="30"/>
      <c r="S33" s="30"/>
      <c r="T33" s="31"/>
      <c r="U33" s="32">
        <f>ROUND(((P33*I33)+(Q33*J33)+(R33*K33)+(S33*L33)+(T33*M33))*O33,2)</f>
        <v>15</v>
      </c>
      <c r="V33" s="68">
        <f>IF(U33&gt;=15,15,U33)</f>
        <v>15</v>
      </c>
      <c r="W33" s="254">
        <v>3636972000</v>
      </c>
      <c r="X33" s="60">
        <v>2705226000</v>
      </c>
      <c r="Y33" s="45"/>
      <c r="Z33" s="48"/>
      <c r="AA33" s="35"/>
      <c r="AB33" s="36">
        <f>ROUND((((W33*I33)+(X33*J33)+(Y33*K33)+(Z33*L33)+(AA33*M33))/$I$2),2)*13</f>
        <v>10.530000000000001</v>
      </c>
      <c r="AC33" s="68">
        <f>IF(AB33&gt;=13,13,AB33)</f>
        <v>10.530000000000001</v>
      </c>
      <c r="AD33" s="63">
        <v>2</v>
      </c>
      <c r="AE33" s="32">
        <f>IF((AC33+AD33)&gt;=15,15,(AC33+AD33))</f>
        <v>12.530000000000001</v>
      </c>
      <c r="AF33" s="56"/>
      <c r="AG33" s="114">
        <v>4.96</v>
      </c>
      <c r="AH33" s="37">
        <f>IF((V33+AE33+AF33)&gt;=30,30,(V33+AE33+AF33))</f>
        <v>27.53</v>
      </c>
      <c r="AI33" s="38">
        <v>65</v>
      </c>
      <c r="AJ33" s="30">
        <f>V33+AE33+AF33+AI33+AG33</f>
        <v>97.49</v>
      </c>
      <c r="AK33" s="37">
        <f>IF(AH33+AI33+AG33&gt;=95,95,AH33+AI33+AG33)</f>
        <v>95</v>
      </c>
      <c r="AL33" s="39">
        <f>-((50-((176+(45+(50-AH33)))))/200)</f>
        <v>0.96735000000000004</v>
      </c>
      <c r="AM33" s="40"/>
      <c r="AN33" s="41">
        <f>100%+AM33</f>
        <v>1</v>
      </c>
      <c r="AO33" s="41">
        <f>100%+AN33</f>
        <v>2</v>
      </c>
      <c r="AP33" s="43"/>
      <c r="AQ33" s="70"/>
      <c r="AR33" s="58"/>
      <c r="AS33" s="58"/>
      <c r="AT33" s="58"/>
      <c r="AU33" s="58"/>
      <c r="AV33" s="59"/>
      <c r="AW33" s="71">
        <f>AR33+AS33+AT33+AU33+AV33</f>
        <v>0</v>
      </c>
      <c r="AX33" s="71">
        <f>(AR33*I33)+(AS33*J33)+(AT33*K33)+(AU33*L33)+(AV33*M33)</f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153">
        <v>85</v>
      </c>
      <c r="J34" s="104">
        <v>85</v>
      </c>
      <c r="K34" s="104"/>
      <c r="L34" s="104"/>
      <c r="M34" s="104"/>
      <c r="N34" s="107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51" t="s">
        <v>638</v>
      </c>
      <c r="D35" s="49" t="s">
        <v>312</v>
      </c>
      <c r="E35" s="49"/>
      <c r="F35" s="49"/>
      <c r="G35" s="53"/>
      <c r="H35" s="64"/>
      <c r="I35" s="25">
        <v>0.6</v>
      </c>
      <c r="J35" s="26">
        <v>0.4</v>
      </c>
      <c r="K35" s="26"/>
      <c r="L35" s="26"/>
      <c r="M35" s="62"/>
      <c r="N35" s="27">
        <f>SUM(I35:M35)</f>
        <v>1</v>
      </c>
      <c r="O35" s="28">
        <v>1</v>
      </c>
      <c r="P35" s="29">
        <v>15</v>
      </c>
      <c r="Q35" s="181">
        <v>15</v>
      </c>
      <c r="R35" s="30"/>
      <c r="S35" s="30"/>
      <c r="T35" s="31"/>
      <c r="U35" s="32">
        <f>ROUND(((P35*I35)+(Q35*J35)+(R35*K35)+(S35*L35)+(T35*M35))*O35,2)</f>
        <v>15</v>
      </c>
      <c r="V35" s="68">
        <f>IF(U35&gt;=15,15,U35)</f>
        <v>15</v>
      </c>
      <c r="W35" s="57">
        <v>3639634000</v>
      </c>
      <c r="X35" s="60">
        <v>0</v>
      </c>
      <c r="Y35" s="33"/>
      <c r="Z35" s="60"/>
      <c r="AA35" s="35"/>
      <c r="AB35" s="36">
        <f>ROUND((((W35*I35)+(X35*J35)+(Y35*K35)+(Z35*L35)+(AA35*M35))/$I$2),2)*13</f>
        <v>7.2800000000000011</v>
      </c>
      <c r="AC35" s="68">
        <f>IF(AB35&gt;=13,13,AB35)</f>
        <v>7.2800000000000011</v>
      </c>
      <c r="AD35" s="63">
        <v>2</v>
      </c>
      <c r="AE35" s="32">
        <f>IF((AC35+AD35)&gt;=15,15,(AC35+AD35))</f>
        <v>9.2800000000000011</v>
      </c>
      <c r="AF35" s="56"/>
      <c r="AG35" s="114">
        <v>4.96</v>
      </c>
      <c r="AH35" s="37">
        <f>IF((V35+AE35+AF35)&gt;=30,30,(V35+AE35+AF35))</f>
        <v>24.28</v>
      </c>
      <c r="AI35" s="38">
        <v>65</v>
      </c>
      <c r="AJ35" s="30">
        <f>V35+AE35+AF35+AI35+AG35</f>
        <v>94.24</v>
      </c>
      <c r="AK35" s="37">
        <f>IF(AH35+AI35+AG35&gt;=95,95,AH35+AI35+AG35)</f>
        <v>94.24</v>
      </c>
      <c r="AL35" s="39">
        <f>-((50-((176+(45+(50-AH35)))))/200)</f>
        <v>0.98360000000000003</v>
      </c>
      <c r="AM35" s="40"/>
      <c r="AN35" s="41">
        <f>100%+AM35</f>
        <v>1</v>
      </c>
      <c r="AO35" s="41">
        <f>100%+AN35</f>
        <v>2</v>
      </c>
      <c r="AP35" s="43"/>
      <c r="AQ35" s="70"/>
      <c r="AR35" s="58"/>
      <c r="AS35" s="58"/>
      <c r="AT35" s="58"/>
      <c r="AU35" s="58"/>
      <c r="AV35" s="59"/>
      <c r="AW35" s="71">
        <f>AR35+AS35+AT35+AU35+AV35</f>
        <v>0</v>
      </c>
      <c r="AX35" s="71">
        <f>(AR35*I35)+(AS35*J35)+(AT35*K35)+(AU35*L35)+(AV35*M35)</f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153">
        <v>85</v>
      </c>
      <c r="J36" s="104">
        <v>85</v>
      </c>
      <c r="K36" s="104"/>
      <c r="L36" s="104"/>
      <c r="M36" s="104"/>
      <c r="N36" s="107">
        <f>I36*I35+J36*J35+K36*K35+L36*L35+M36*M35</f>
        <v>85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205">
        <v>17</v>
      </c>
      <c r="B37" s="49"/>
      <c r="C37" s="295" t="s">
        <v>675</v>
      </c>
      <c r="D37" s="51" t="s">
        <v>636</v>
      </c>
      <c r="E37" s="49"/>
      <c r="F37" s="24"/>
      <c r="G37" s="53"/>
      <c r="H37" s="203"/>
      <c r="I37" s="303">
        <v>0.51</v>
      </c>
      <c r="J37" s="26">
        <v>0.49</v>
      </c>
      <c r="K37" s="26"/>
      <c r="L37" s="26"/>
      <c r="M37" s="62"/>
      <c r="N37" s="27">
        <f>SUM(I37:M37)</f>
        <v>1</v>
      </c>
      <c r="O37" s="28">
        <v>1</v>
      </c>
      <c r="P37" s="271">
        <v>15</v>
      </c>
      <c r="Q37" s="30">
        <v>15</v>
      </c>
      <c r="R37" s="30"/>
      <c r="S37" s="30"/>
      <c r="T37" s="31"/>
      <c r="U37" s="32">
        <f>ROUND(((P37*I37)+(Q37*J37)+(R37*K37)+(S37*L37)+(T37*M37))*O37,2)</f>
        <v>15</v>
      </c>
      <c r="V37" s="68">
        <f>IF(U37&gt;=15,15,U37)</f>
        <v>15</v>
      </c>
      <c r="W37" s="254">
        <v>3966791000</v>
      </c>
      <c r="X37" s="60">
        <v>3143872000</v>
      </c>
      <c r="Y37" s="45"/>
      <c r="Z37" s="48"/>
      <c r="AA37" s="35"/>
      <c r="AB37" s="36">
        <f>ROUND((((W37*I37)+(X37*J37)+(Y37*K37)+(Z37*L37)+(AA37*M37))/$I$2),2)*13</f>
        <v>11.83</v>
      </c>
      <c r="AC37" s="68">
        <f>IF(AB37&gt;=13,13,AB37)</f>
        <v>11.83</v>
      </c>
      <c r="AD37" s="63">
        <v>2</v>
      </c>
      <c r="AE37" s="32">
        <f>IF((AC37+AD37)&gt;=15,15,(AC37+AD37))</f>
        <v>13.83</v>
      </c>
      <c r="AF37" s="56"/>
      <c r="AG37" s="114">
        <v>4.96</v>
      </c>
      <c r="AH37" s="37">
        <f>IF((V37+AE37+AF37)&gt;=30,30,(V37+AE37+AF37))</f>
        <v>28.83</v>
      </c>
      <c r="AI37" s="38">
        <v>65</v>
      </c>
      <c r="AJ37" s="30">
        <f>V37+AE37+AF37+AI37+AG37</f>
        <v>98.789999999999992</v>
      </c>
      <c r="AK37" s="37">
        <f>IF(AH37+AI37+AG37&gt;=95,95,AH37+AI37+AG37)</f>
        <v>95</v>
      </c>
      <c r="AL37" s="39">
        <f>-((50-((176+(45+(50-AH37)))))/200)</f>
        <v>0.96085000000000009</v>
      </c>
      <c r="AM37" s="40"/>
      <c r="AN37" s="41">
        <f>100%+AM37</f>
        <v>1</v>
      </c>
      <c r="AO37" s="41">
        <f>100%+AN37</f>
        <v>2</v>
      </c>
      <c r="AP37" s="43"/>
      <c r="AQ37" s="70"/>
      <c r="AR37" s="58"/>
      <c r="AS37" s="58"/>
      <c r="AT37" s="58"/>
      <c r="AU37" s="58"/>
      <c r="AV37" s="59"/>
      <c r="AW37" s="71">
        <f>AR37+AS37+AT37+AU37+AV37</f>
        <v>0</v>
      </c>
      <c r="AX37" s="71">
        <f>(AR37*I37)+(AS37*J37)+(AT37*K37)+(AU37*L37)+(AV37*M37)</f>
        <v>0</v>
      </c>
    </row>
    <row r="38" spans="1:50" s="42" customFormat="1" ht="21.95" customHeight="1" thickBot="1" x14ac:dyDescent="0.2">
      <c r="A38" s="363" t="s">
        <v>43</v>
      </c>
      <c r="B38" s="364"/>
      <c r="C38" s="364"/>
      <c r="D38" s="364"/>
      <c r="E38" s="364"/>
      <c r="F38" s="364"/>
      <c r="G38" s="364"/>
      <c r="H38" s="365"/>
      <c r="I38" s="153">
        <v>85</v>
      </c>
      <c r="J38" s="104">
        <v>85</v>
      </c>
      <c r="K38" s="104"/>
      <c r="L38" s="104"/>
      <c r="M38" s="104"/>
      <c r="N38" s="107">
        <f>I38*I37+J38*J37+K38*K37+L38*L37+M38*M37</f>
        <v>85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18</v>
      </c>
      <c r="B39" s="49"/>
      <c r="C39" s="269" t="s">
        <v>683</v>
      </c>
      <c r="D39" s="258" t="s">
        <v>673</v>
      </c>
      <c r="E39" s="295"/>
      <c r="F39" s="49"/>
      <c r="G39" s="53"/>
      <c r="H39" s="203"/>
      <c r="I39" s="270">
        <v>0.51</v>
      </c>
      <c r="J39" s="252">
        <v>0.49</v>
      </c>
      <c r="K39" s="252"/>
      <c r="L39" s="26"/>
      <c r="M39" s="62"/>
      <c r="N39" s="216">
        <f>SUM(I39:M39)</f>
        <v>1</v>
      </c>
      <c r="O39" s="28">
        <v>1</v>
      </c>
      <c r="P39" s="271">
        <v>15</v>
      </c>
      <c r="Q39" s="260">
        <v>15</v>
      </c>
      <c r="R39" s="260"/>
      <c r="S39" s="30"/>
      <c r="T39" s="31"/>
      <c r="U39" s="32">
        <f>ROUND(((P39*I39)+(Q39*J39)+(R39*K39)+(S39*L39)+(T39*M39))*O39,2)</f>
        <v>15</v>
      </c>
      <c r="V39" s="68">
        <f>IF(U39&gt;=15,15,U39)</f>
        <v>15</v>
      </c>
      <c r="W39" s="254">
        <v>3747396000</v>
      </c>
      <c r="X39" s="255">
        <v>2747180000</v>
      </c>
      <c r="Y39" s="275"/>
      <c r="Z39" s="48"/>
      <c r="AA39" s="35"/>
      <c r="AB39" s="36">
        <f>ROUND((((W39*I39)+(X39*J39)+(Y39*K39)+(Z39*L39)+(AA39*M39))/$I$2),2)*13</f>
        <v>10.79</v>
      </c>
      <c r="AC39" s="68">
        <f>IF(AB39&gt;=13,13,AB39)</f>
        <v>10.79</v>
      </c>
      <c r="AD39" s="63">
        <v>2</v>
      </c>
      <c r="AE39" s="32">
        <f>IF((AC39+AD39)&gt;=15,15,(AC39+AD39))</f>
        <v>12.79</v>
      </c>
      <c r="AF39" s="56"/>
      <c r="AG39" s="114">
        <v>4.96</v>
      </c>
      <c r="AH39" s="37">
        <f>IF((V39+AE39+AF39)&gt;=30,30,(V39+AE39+AF39))</f>
        <v>27.79</v>
      </c>
      <c r="AI39" s="38">
        <v>65</v>
      </c>
      <c r="AJ39" s="30">
        <f>V39+AE39+AF39+AI39+AG39</f>
        <v>97.749999999999986</v>
      </c>
      <c r="AK39" s="37">
        <f>IF(AH39+AI39+AG39&gt;=95,95,AH39+AI39+AG39)</f>
        <v>95</v>
      </c>
      <c r="AL39" s="39">
        <f>-((50-((176+(45+(50-AH39)))))/200)</f>
        <v>0.96605000000000008</v>
      </c>
      <c r="AM39" s="40"/>
      <c r="AN39" s="41">
        <f>100%+AM39</f>
        <v>1</v>
      </c>
      <c r="AO39" s="41">
        <f>100%+AN39</f>
        <v>2</v>
      </c>
      <c r="AP39" s="43"/>
      <c r="AQ39" s="70"/>
      <c r="AR39" s="58"/>
      <c r="AS39" s="58"/>
      <c r="AT39" s="58"/>
      <c r="AU39" s="58"/>
      <c r="AV39" s="59"/>
      <c r="AW39" s="71">
        <f>AR39+AS39+AT39+AU39+AV39</f>
        <v>0</v>
      </c>
      <c r="AX39" s="71">
        <f>(AR39*I39)+(AS39*J39)+(AT39*K39)+(AU39*L39)+(AV39*M39)</f>
        <v>0</v>
      </c>
    </row>
    <row r="40" spans="1:50" s="42" customFormat="1" ht="21.95" customHeight="1" thickBot="1" x14ac:dyDescent="0.2">
      <c r="A40" s="363" t="s">
        <v>43</v>
      </c>
      <c r="B40" s="364"/>
      <c r="C40" s="364"/>
      <c r="D40" s="364"/>
      <c r="E40" s="364"/>
      <c r="F40" s="364"/>
      <c r="G40" s="364"/>
      <c r="H40" s="365"/>
      <c r="I40" s="153">
        <v>85</v>
      </c>
      <c r="J40" s="104">
        <v>85</v>
      </c>
      <c r="K40" s="104"/>
      <c r="L40" s="104"/>
      <c r="M40" s="104"/>
      <c r="N40" s="107">
        <f>I40*I39+J40*J39+K40*K39+L40*L39+M40*M39</f>
        <v>85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205">
        <v>19</v>
      </c>
      <c r="B41" s="49"/>
      <c r="C41" s="51" t="s">
        <v>637</v>
      </c>
      <c r="D41" s="279" t="s">
        <v>672</v>
      </c>
      <c r="E41" s="49"/>
      <c r="F41" s="49"/>
      <c r="G41" s="53"/>
      <c r="H41" s="64"/>
      <c r="I41" s="25">
        <v>0.51</v>
      </c>
      <c r="J41" s="252">
        <v>0.49</v>
      </c>
      <c r="K41" s="26"/>
      <c r="L41" s="26"/>
      <c r="M41" s="62"/>
      <c r="N41" s="27">
        <f>SUM(I41:M41)</f>
        <v>1</v>
      </c>
      <c r="O41" s="28">
        <v>1</v>
      </c>
      <c r="P41" s="29">
        <v>15</v>
      </c>
      <c r="Q41" s="260">
        <v>15</v>
      </c>
      <c r="R41" s="30"/>
      <c r="S41" s="30"/>
      <c r="T41" s="31"/>
      <c r="U41" s="32">
        <f>ROUND(((P41*I41)+(Q41*J41)+(R41*K41)+(S41*L41)+(T41*M41))*O41,2)</f>
        <v>15</v>
      </c>
      <c r="V41" s="68">
        <f>IF(U41&gt;=15,15,U41)</f>
        <v>15</v>
      </c>
      <c r="W41" s="57">
        <v>3157334000</v>
      </c>
      <c r="X41" s="284">
        <v>21720797000</v>
      </c>
      <c r="Y41" s="60"/>
      <c r="Z41" s="48"/>
      <c r="AA41" s="35"/>
      <c r="AB41" s="36">
        <f>ROUND((((W41*I41)+(X41*J41)+(Y41*K41)+(Z41*L41)+(AA41*M41))/$I$2),2)*13</f>
        <v>40.56</v>
      </c>
      <c r="AC41" s="68">
        <f>IF(AB41&gt;=13,13,AB41)</f>
        <v>13</v>
      </c>
      <c r="AD41" s="63">
        <v>2</v>
      </c>
      <c r="AE41" s="32">
        <f>IF((AC41+AD41)&gt;=15,15,(AC41+AD41))</f>
        <v>15</v>
      </c>
      <c r="AF41" s="56"/>
      <c r="AG41" s="114">
        <v>4.96</v>
      </c>
      <c r="AH41" s="37">
        <f>IF((V41+AE41+AF41)&gt;=30,30,(V41+AE41+AF41))</f>
        <v>30</v>
      </c>
      <c r="AI41" s="38">
        <v>65</v>
      </c>
      <c r="AJ41" s="30">
        <f>V41+AE41+AF41+AI41+AG41</f>
        <v>99.96</v>
      </c>
      <c r="AK41" s="37">
        <f>IF(AH41+AI41+AG41&gt;=95,95,AH41+AI41+AG41)</f>
        <v>95</v>
      </c>
      <c r="AL41" s="39">
        <f>-((50-((176+(45+(50-AH41)))))/200)</f>
        <v>0.95499999999999996</v>
      </c>
      <c r="AM41" s="40"/>
      <c r="AN41" s="41">
        <f>100%+AM41</f>
        <v>1</v>
      </c>
      <c r="AO41" s="41">
        <f>100%+AN41</f>
        <v>2</v>
      </c>
      <c r="AP41" s="43"/>
      <c r="AQ41" s="70"/>
      <c r="AR41" s="58"/>
      <c r="AS41" s="58"/>
      <c r="AT41" s="58"/>
      <c r="AU41" s="58"/>
      <c r="AV41" s="59"/>
      <c r="AW41" s="71">
        <f>AR41+AS41+AT41+AU41+AV41</f>
        <v>0</v>
      </c>
      <c r="AX41" s="71">
        <f>(AR41*I41)+(AS41*J41)+(AT41*K41)+(AU41*L41)+(AV41*M41)</f>
        <v>0</v>
      </c>
    </row>
    <row r="42" spans="1:50" s="42" customFormat="1" ht="21.95" customHeight="1" thickBot="1" x14ac:dyDescent="0.2">
      <c r="A42" s="363" t="s">
        <v>43</v>
      </c>
      <c r="B42" s="364"/>
      <c r="C42" s="364"/>
      <c r="D42" s="364"/>
      <c r="E42" s="364"/>
      <c r="F42" s="364"/>
      <c r="G42" s="364"/>
      <c r="H42" s="365"/>
      <c r="I42" s="153">
        <v>85</v>
      </c>
      <c r="J42" s="104">
        <v>85</v>
      </c>
      <c r="K42" s="104"/>
      <c r="L42" s="104"/>
      <c r="M42" s="104"/>
      <c r="N42" s="107">
        <f>I42*I41+J42*J41+K42*K41+L42*L41+M42*M41</f>
        <v>85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205">
        <v>20</v>
      </c>
      <c r="B43" s="49"/>
      <c r="C43" s="295" t="s">
        <v>678</v>
      </c>
      <c r="D43" s="258" t="s">
        <v>680</v>
      </c>
      <c r="E43" s="165"/>
      <c r="F43" s="206"/>
      <c r="G43" s="53"/>
      <c r="H43" s="64"/>
      <c r="I43" s="270">
        <v>0.51</v>
      </c>
      <c r="J43" s="252">
        <v>0.49</v>
      </c>
      <c r="K43" s="26"/>
      <c r="L43" s="26"/>
      <c r="M43" s="62"/>
      <c r="N43" s="27">
        <f t="shared" ref="N43:N74" si="0">SUM(I43:M43)</f>
        <v>1</v>
      </c>
      <c r="O43" s="28">
        <v>1</v>
      </c>
      <c r="P43" s="271">
        <v>15</v>
      </c>
      <c r="Q43" s="260">
        <v>15</v>
      </c>
      <c r="R43" s="30"/>
      <c r="S43" s="30"/>
      <c r="T43" s="31"/>
      <c r="U43" s="32">
        <f t="shared" ref="U43:U106" si="1">ROUND(((P43*I43)+(Q43*J43)+(R43*K43)+(S43*L43)+(T43*M43))*O43,2)</f>
        <v>15</v>
      </c>
      <c r="V43" s="68">
        <f t="shared" ref="V43:V106" si="2">IF(U43&gt;=15,15,U43)</f>
        <v>15</v>
      </c>
      <c r="W43" s="254">
        <v>36613423000</v>
      </c>
      <c r="X43" s="268">
        <v>14294711000</v>
      </c>
      <c r="Y43" s="45"/>
      <c r="Z43" s="48"/>
      <c r="AA43" s="35"/>
      <c r="AB43" s="36">
        <f t="shared" ref="AB43:AB106" si="3">ROUND((((W43*I43)+(X43*J43)+(Y43*K43)+(Z43*L43)+(AA43*M43))/$I$2),2)*13</f>
        <v>84.89</v>
      </c>
      <c r="AC43" s="68">
        <f t="shared" ref="AC43:AC106" si="4">IF(AB43&gt;=13,13,AB43)</f>
        <v>13</v>
      </c>
      <c r="AD43" s="63">
        <v>0</v>
      </c>
      <c r="AE43" s="32">
        <f t="shared" ref="AE43:AE106" si="5">IF((AC43+AD43)&gt;=15,15,(AC43+AD43))</f>
        <v>13</v>
      </c>
      <c r="AF43" s="56"/>
      <c r="AG43" s="114">
        <v>4.96</v>
      </c>
      <c r="AH43" s="37">
        <f t="shared" ref="AH43:AH106" si="6">IF((V43+AE43+AF43)&gt;=30,30,(V43+AE43+AF43))</f>
        <v>28</v>
      </c>
      <c r="AI43" s="38">
        <v>65</v>
      </c>
      <c r="AJ43" s="30">
        <f t="shared" ref="AJ43:AJ106" si="7">V43+AE43+AF43+AI43+AG43</f>
        <v>97.96</v>
      </c>
      <c r="AK43" s="37">
        <f t="shared" ref="AK43:AK106" si="8">IF(AH43+AI43+AG43&gt;=95,95,AH43+AI43+AG43)</f>
        <v>95</v>
      </c>
      <c r="AL43" s="39">
        <f t="shared" ref="AL43:AL106" si="9">-((50-((176+(45+(50-AH43)))))/200)</f>
        <v>0.96499999999999997</v>
      </c>
      <c r="AM43" s="40"/>
      <c r="AN43" s="41">
        <f t="shared" ref="AN43:AO62" si="10">100%+AM43</f>
        <v>1</v>
      </c>
      <c r="AO43" s="41">
        <f t="shared" si="10"/>
        <v>2</v>
      </c>
      <c r="AP43" s="43"/>
      <c r="AQ43" s="70"/>
      <c r="AR43" s="58"/>
      <c r="AS43" s="58"/>
      <c r="AT43" s="58"/>
      <c r="AU43" s="58"/>
      <c r="AV43" s="59"/>
      <c r="AW43" s="71">
        <f t="shared" ref="AW43:AW106" si="11">AR43+AS43+AT43+AU43+AV43</f>
        <v>0</v>
      </c>
      <c r="AX43" s="71">
        <f t="shared" ref="AX43:AX106" si="12">(AR43*I43)+(AS43*J43)+(AT43*K43)+(AU43*L43)+(AV43*M43)</f>
        <v>0</v>
      </c>
    </row>
    <row r="44" spans="1:50" s="42" customFormat="1" ht="21.95" customHeight="1" thickBot="1" x14ac:dyDescent="0.2">
      <c r="A44" s="363" t="s">
        <v>43</v>
      </c>
      <c r="B44" s="364"/>
      <c r="C44" s="364"/>
      <c r="D44" s="364"/>
      <c r="E44" s="364"/>
      <c r="F44" s="364"/>
      <c r="G44" s="364"/>
      <c r="H44" s="365"/>
      <c r="I44" s="153">
        <v>85</v>
      </c>
      <c r="J44" s="104">
        <v>85</v>
      </c>
      <c r="K44" s="104"/>
      <c r="L44" s="104"/>
      <c r="M44" s="104"/>
      <c r="N44" s="107">
        <f>I44*I43+J44*J43+K44*K43+L44*L43+M44*M43</f>
        <v>85</v>
      </c>
      <c r="O44" s="28"/>
      <c r="P44" s="29"/>
      <c r="Q44" s="30"/>
      <c r="R44" s="30"/>
      <c r="S44" s="31"/>
      <c r="T44" s="89"/>
      <c r="U44" s="32"/>
      <c r="V44" s="68"/>
      <c r="W44" s="98"/>
      <c r="X44" s="45"/>
      <c r="Y44" s="93"/>
      <c r="Z44" s="45"/>
      <c r="AA44" s="35"/>
      <c r="AB44" s="36"/>
      <c r="AC44" s="68"/>
      <c r="AD44" s="32"/>
      <c r="AE44" s="32"/>
      <c r="AF44" s="61"/>
      <c r="AG44" s="56"/>
      <c r="AH44" s="37"/>
      <c r="AI44" s="38"/>
      <c r="AJ44" s="30"/>
      <c r="AK44" s="37"/>
      <c r="AL44" s="39"/>
      <c r="AM44" s="40"/>
      <c r="AN44" s="41"/>
      <c r="AO44" s="41"/>
      <c r="AP44" s="43"/>
      <c r="AQ44" s="70"/>
      <c r="AR44" s="58"/>
      <c r="AS44" s="58"/>
      <c r="AT44" s="58"/>
      <c r="AU44" s="58"/>
      <c r="AV44" s="59"/>
      <c r="AW44" s="71"/>
      <c r="AX44" s="71"/>
    </row>
    <row r="45" spans="1:50" s="42" customFormat="1" ht="46.5" customHeight="1" thickBot="1" x14ac:dyDescent="0.2">
      <c r="A45" s="49"/>
      <c r="B45" s="49"/>
      <c r="C45" s="259"/>
      <c r="D45" s="259"/>
      <c r="E45" s="49"/>
      <c r="F45" s="49"/>
      <c r="G45" s="53"/>
      <c r="H45" s="64"/>
      <c r="I45" s="270">
        <v>0.51</v>
      </c>
      <c r="J45" s="252">
        <v>0.51</v>
      </c>
      <c r="K45" s="26"/>
      <c r="L45" s="26"/>
      <c r="M45" s="62"/>
      <c r="N45" s="27">
        <f t="shared" si="0"/>
        <v>1.02</v>
      </c>
      <c r="O45" s="28">
        <v>1</v>
      </c>
      <c r="P45" s="271">
        <v>15</v>
      </c>
      <c r="Q45" s="260">
        <v>15</v>
      </c>
      <c r="R45" s="30"/>
      <c r="S45" s="30"/>
      <c r="T45" s="31"/>
      <c r="U45" s="32">
        <f t="shared" si="1"/>
        <v>15.3</v>
      </c>
      <c r="V45" s="68">
        <f t="shared" si="2"/>
        <v>15</v>
      </c>
      <c r="W45" s="254"/>
      <c r="X45" s="268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0</v>
      </c>
      <c r="AE45" s="32">
        <f t="shared" si="5"/>
        <v>0</v>
      </c>
      <c r="AF45" s="56"/>
      <c r="AG45" s="114">
        <v>4.96</v>
      </c>
      <c r="AH45" s="37">
        <f t="shared" si="6"/>
        <v>15</v>
      </c>
      <c r="AI45" s="38">
        <v>65</v>
      </c>
      <c r="AJ45" s="30">
        <f t="shared" si="7"/>
        <v>84.96</v>
      </c>
      <c r="AK45" s="37">
        <f t="shared" si="8"/>
        <v>84.96</v>
      </c>
      <c r="AL45" s="39">
        <f t="shared" si="9"/>
        <v>1.03</v>
      </c>
      <c r="AM45" s="40"/>
      <c r="AN45" s="41">
        <f t="shared" si="10"/>
        <v>1</v>
      </c>
      <c r="AO45" s="41">
        <f t="shared" si="10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21.95" customHeight="1" thickBot="1" x14ac:dyDescent="0.2">
      <c r="A46" s="363" t="s">
        <v>43</v>
      </c>
      <c r="B46" s="364"/>
      <c r="C46" s="364"/>
      <c r="D46" s="364"/>
      <c r="E46" s="364"/>
      <c r="F46" s="364"/>
      <c r="G46" s="364"/>
      <c r="H46" s="365"/>
      <c r="I46" s="153">
        <v>85</v>
      </c>
      <c r="J46" s="104">
        <v>85</v>
      </c>
      <c r="K46" s="104"/>
      <c r="L46" s="104"/>
      <c r="M46" s="104"/>
      <c r="N46" s="107">
        <f>I46*I45+J46*J45+K46*K45+L46*L45+M46*M45</f>
        <v>86.7</v>
      </c>
      <c r="O46" s="28"/>
      <c r="P46" s="29"/>
      <c r="Q46" s="30"/>
      <c r="R46" s="30"/>
      <c r="S46" s="31"/>
      <c r="T46" s="89"/>
      <c r="U46" s="32"/>
      <c r="V46" s="68"/>
      <c r="W46" s="98"/>
      <c r="X46" s="45"/>
      <c r="Y46" s="93"/>
      <c r="Z46" s="45"/>
      <c r="AA46" s="35"/>
      <c r="AB46" s="36"/>
      <c r="AC46" s="68"/>
      <c r="AD46" s="32"/>
      <c r="AE46" s="32"/>
      <c r="AF46" s="61"/>
      <c r="AG46" s="56"/>
      <c r="AH46" s="37"/>
      <c r="AI46" s="38"/>
      <c r="AJ46" s="30"/>
      <c r="AK46" s="37"/>
      <c r="AL46" s="39"/>
      <c r="AM46" s="40"/>
      <c r="AN46" s="41"/>
      <c r="AO46" s="41"/>
      <c r="AP46" s="43"/>
      <c r="AQ46" s="70"/>
      <c r="AR46" s="58"/>
      <c r="AS46" s="58"/>
      <c r="AT46" s="58"/>
      <c r="AU46" s="58"/>
      <c r="AV46" s="59"/>
      <c r="AW46" s="71"/>
      <c r="AX46" s="71"/>
    </row>
    <row r="47" spans="1:50" s="42" customFormat="1" ht="46.5" customHeight="1" thickBot="1" x14ac:dyDescent="0.2">
      <c r="A47" s="49"/>
      <c r="B47" s="49"/>
      <c r="C47" s="300" t="s">
        <v>646</v>
      </c>
      <c r="D47" s="259"/>
      <c r="E47" s="298"/>
      <c r="F47" s="299"/>
      <c r="G47" s="53"/>
      <c r="H47" s="64"/>
      <c r="I47" s="270">
        <v>0.51</v>
      </c>
      <c r="J47" s="252">
        <v>0.49</v>
      </c>
      <c r="K47" s="26"/>
      <c r="L47" s="26"/>
      <c r="M47" s="62"/>
      <c r="N47" s="27">
        <f t="shared" si="0"/>
        <v>1</v>
      </c>
      <c r="O47" s="28">
        <v>1</v>
      </c>
      <c r="P47" s="271">
        <v>15</v>
      </c>
      <c r="Q47" s="26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254">
        <v>2643643000</v>
      </c>
      <c r="X47" s="268"/>
      <c r="Y47" s="45"/>
      <c r="Z47" s="48"/>
      <c r="AA47" s="35"/>
      <c r="AB47" s="36">
        <f t="shared" si="3"/>
        <v>4.42</v>
      </c>
      <c r="AC47" s="68">
        <f t="shared" si="4"/>
        <v>4.42</v>
      </c>
      <c r="AD47" s="63">
        <v>2</v>
      </c>
      <c r="AE47" s="32">
        <f t="shared" si="5"/>
        <v>6.42</v>
      </c>
      <c r="AF47" s="56"/>
      <c r="AG47" s="56">
        <v>4.96</v>
      </c>
      <c r="AH47" s="37">
        <f t="shared" si="6"/>
        <v>21.42</v>
      </c>
      <c r="AI47" s="38">
        <v>65</v>
      </c>
      <c r="AJ47" s="30">
        <f t="shared" si="7"/>
        <v>91.38</v>
      </c>
      <c r="AK47" s="37">
        <f t="shared" si="8"/>
        <v>91.38</v>
      </c>
      <c r="AL47" s="39">
        <f t="shared" si="9"/>
        <v>0.9978999999999999</v>
      </c>
      <c r="AM47" s="40"/>
      <c r="AN47" s="41">
        <f t="shared" si="10"/>
        <v>1</v>
      </c>
      <c r="AO47" s="41">
        <f t="shared" si="10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21.95" customHeight="1" thickBot="1" x14ac:dyDescent="0.2">
      <c r="A48" s="363" t="s">
        <v>43</v>
      </c>
      <c r="B48" s="364"/>
      <c r="C48" s="364"/>
      <c r="D48" s="364"/>
      <c r="E48" s="364"/>
      <c r="F48" s="364"/>
      <c r="G48" s="364"/>
      <c r="H48" s="365"/>
      <c r="I48" s="153">
        <v>85</v>
      </c>
      <c r="J48" s="104">
        <v>85</v>
      </c>
      <c r="K48" s="104"/>
      <c r="L48" s="104"/>
      <c r="M48" s="104"/>
      <c r="N48" s="107">
        <f>I48*I47+J48*J47+K48*K47+L48*L47+M48*M47</f>
        <v>85</v>
      </c>
      <c r="O48" s="28"/>
      <c r="P48" s="29"/>
      <c r="Q48" s="30"/>
      <c r="R48" s="30"/>
      <c r="S48" s="31"/>
      <c r="T48" s="89"/>
      <c r="U48" s="32"/>
      <c r="V48" s="68"/>
      <c r="W48" s="98"/>
      <c r="X48" s="45"/>
      <c r="Y48" s="93"/>
      <c r="Z48" s="45"/>
      <c r="AA48" s="35"/>
      <c r="AB48" s="36"/>
      <c r="AC48" s="68"/>
      <c r="AD48" s="32"/>
      <c r="AE48" s="32"/>
      <c r="AF48" s="61"/>
      <c r="AG48" s="56"/>
      <c r="AH48" s="37"/>
      <c r="AI48" s="38"/>
      <c r="AJ48" s="30"/>
      <c r="AK48" s="37"/>
      <c r="AL48" s="39"/>
      <c r="AM48" s="40"/>
      <c r="AN48" s="41"/>
      <c r="AO48" s="41"/>
      <c r="AP48" s="43"/>
      <c r="AQ48" s="70"/>
      <c r="AR48" s="58"/>
      <c r="AS48" s="58"/>
      <c r="AT48" s="58"/>
      <c r="AU48" s="58"/>
      <c r="AV48" s="59"/>
      <c r="AW48" s="71"/>
      <c r="AX48" s="71"/>
    </row>
    <row r="49" spans="1:50" s="42" customFormat="1" ht="46.5" customHeight="1" thickBot="1" x14ac:dyDescent="0.2">
      <c r="A49" s="49"/>
      <c r="B49" s="49"/>
      <c r="C49" s="49"/>
      <c r="D49" s="259"/>
      <c r="E49" s="49"/>
      <c r="F49" s="49"/>
      <c r="G49" s="53"/>
      <c r="H49" s="64"/>
      <c r="I49" s="25">
        <v>0.51</v>
      </c>
      <c r="J49" s="252">
        <v>0.51</v>
      </c>
      <c r="K49" s="26"/>
      <c r="L49" s="26"/>
      <c r="M49" s="62"/>
      <c r="N49" s="27">
        <f t="shared" si="0"/>
        <v>1.02</v>
      </c>
      <c r="O49" s="28">
        <v>1</v>
      </c>
      <c r="P49" s="29">
        <v>15</v>
      </c>
      <c r="Q49" s="260">
        <v>15</v>
      </c>
      <c r="R49" s="30"/>
      <c r="S49" s="30"/>
      <c r="T49" s="31"/>
      <c r="U49" s="32">
        <f t="shared" si="1"/>
        <v>15.3</v>
      </c>
      <c r="V49" s="68">
        <f t="shared" si="2"/>
        <v>15</v>
      </c>
      <c r="W49" s="57"/>
      <c r="X49" s="268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0"/>
        <v>1</v>
      </c>
      <c r="AO49" s="41">
        <f t="shared" si="10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21.95" customHeight="1" thickBot="1" x14ac:dyDescent="0.2">
      <c r="A50" s="363" t="s">
        <v>43</v>
      </c>
      <c r="B50" s="364"/>
      <c r="C50" s="364"/>
      <c r="D50" s="364"/>
      <c r="E50" s="364"/>
      <c r="F50" s="364"/>
      <c r="G50" s="364"/>
      <c r="H50" s="365"/>
      <c r="I50" s="153">
        <v>85</v>
      </c>
      <c r="J50" s="104">
        <v>85</v>
      </c>
      <c r="K50" s="104"/>
      <c r="L50" s="104"/>
      <c r="M50" s="104"/>
      <c r="N50" s="107">
        <f>I50*I49+J50*J49+K50*K49+L50*L49+M50*M49</f>
        <v>86.7</v>
      </c>
      <c r="O50" s="28"/>
      <c r="P50" s="29"/>
      <c r="Q50" s="30"/>
      <c r="R50" s="30"/>
      <c r="S50" s="31"/>
      <c r="T50" s="89"/>
      <c r="U50" s="32"/>
      <c r="V50" s="68"/>
      <c r="W50" s="98"/>
      <c r="X50" s="45"/>
      <c r="Y50" s="93"/>
      <c r="Z50" s="45"/>
      <c r="AA50" s="35"/>
      <c r="AB50" s="36"/>
      <c r="AC50" s="68"/>
      <c r="AD50" s="32"/>
      <c r="AE50" s="32"/>
      <c r="AF50" s="61"/>
      <c r="AG50" s="56"/>
      <c r="AH50" s="37"/>
      <c r="AI50" s="38"/>
      <c r="AJ50" s="30"/>
      <c r="AK50" s="37"/>
      <c r="AL50" s="39"/>
      <c r="AM50" s="40"/>
      <c r="AN50" s="41"/>
      <c r="AO50" s="41"/>
      <c r="AP50" s="43"/>
      <c r="AQ50" s="70"/>
      <c r="AR50" s="58"/>
      <c r="AS50" s="58"/>
      <c r="AT50" s="58"/>
      <c r="AU50" s="58"/>
      <c r="AV50" s="59"/>
      <c r="AW50" s="71"/>
      <c r="AX50" s="71"/>
    </row>
    <row r="51" spans="1:50" s="42" customFormat="1" ht="46.5" customHeight="1" thickBot="1" x14ac:dyDescent="0.2">
      <c r="A51" s="49"/>
      <c r="B51" s="49"/>
      <c r="C51" s="49"/>
      <c r="D51" s="259"/>
      <c r="E51" s="49"/>
      <c r="F51" s="49"/>
      <c r="G51" s="53"/>
      <c r="H51" s="64"/>
      <c r="I51" s="25">
        <v>0.51</v>
      </c>
      <c r="J51" s="252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26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268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0"/>
        <v>1</v>
      </c>
      <c r="AO51" s="41">
        <f t="shared" si="10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259" t="s">
        <v>445</v>
      </c>
      <c r="D52" s="49"/>
      <c r="E52" s="49"/>
      <c r="F52" s="49"/>
      <c r="G52" s="53"/>
      <c r="H52" s="64"/>
      <c r="I52" s="270">
        <v>0.6</v>
      </c>
      <c r="J52" s="26">
        <v>0.49</v>
      </c>
      <c r="K52" s="26"/>
      <c r="L52" s="26"/>
      <c r="M52" s="62"/>
      <c r="N52" s="27">
        <f t="shared" si="0"/>
        <v>1.0899999999999999</v>
      </c>
      <c r="O52" s="28">
        <v>1</v>
      </c>
      <c r="P52" s="271">
        <v>15</v>
      </c>
      <c r="Q52" s="30">
        <v>15</v>
      </c>
      <c r="R52" s="30"/>
      <c r="S52" s="30"/>
      <c r="T52" s="31"/>
      <c r="U52" s="32">
        <f t="shared" si="1"/>
        <v>16.350000000000001</v>
      </c>
      <c r="V52" s="68">
        <f t="shared" si="2"/>
        <v>15</v>
      </c>
      <c r="W52" s="254">
        <v>15442996000</v>
      </c>
      <c r="X52" s="60"/>
      <c r="Y52" s="45"/>
      <c r="Z52" s="48"/>
      <c r="AA52" s="35"/>
      <c r="AB52" s="36">
        <f t="shared" si="3"/>
        <v>30.68</v>
      </c>
      <c r="AC52" s="68">
        <f t="shared" si="4"/>
        <v>13</v>
      </c>
      <c r="AD52" s="63">
        <v>2</v>
      </c>
      <c r="AE52" s="32">
        <f t="shared" si="5"/>
        <v>15</v>
      </c>
      <c r="AF52" s="56"/>
      <c r="AG52" s="56"/>
      <c r="AH52" s="37">
        <f t="shared" si="6"/>
        <v>30</v>
      </c>
      <c r="AI52" s="38">
        <v>65</v>
      </c>
      <c r="AJ52" s="30">
        <f t="shared" si="7"/>
        <v>95</v>
      </c>
      <c r="AK52" s="37">
        <f t="shared" si="8"/>
        <v>95</v>
      </c>
      <c r="AL52" s="39">
        <f t="shared" si="9"/>
        <v>0.95499999999999996</v>
      </c>
      <c r="AM52" s="40"/>
      <c r="AN52" s="41">
        <f t="shared" si="10"/>
        <v>1</v>
      </c>
      <c r="AO52" s="41">
        <f t="shared" si="10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300" t="s">
        <v>667</v>
      </c>
      <c r="D53" s="258" t="s">
        <v>668</v>
      </c>
      <c r="E53" s="165"/>
      <c r="F53" s="206"/>
      <c r="G53" s="53"/>
      <c r="H53" s="64"/>
      <c r="I53" s="270">
        <v>0.55000000000000004</v>
      </c>
      <c r="J53" s="262">
        <v>0.26629999999999998</v>
      </c>
      <c r="K53" s="26"/>
      <c r="L53" s="26"/>
      <c r="M53" s="62"/>
      <c r="N53" s="27">
        <f t="shared" si="0"/>
        <v>0.81630000000000003</v>
      </c>
      <c r="O53" s="28">
        <v>1</v>
      </c>
      <c r="P53" s="271">
        <v>15</v>
      </c>
      <c r="Q53" s="277">
        <v>15</v>
      </c>
      <c r="R53" s="30"/>
      <c r="S53" s="30"/>
      <c r="T53" s="31"/>
      <c r="U53" s="32">
        <f t="shared" si="1"/>
        <v>12.24</v>
      </c>
      <c r="V53" s="68">
        <f t="shared" si="2"/>
        <v>12.24</v>
      </c>
      <c r="W53" s="254">
        <v>17785414000</v>
      </c>
      <c r="X53" s="268">
        <v>772030000</v>
      </c>
      <c r="Y53" s="45"/>
      <c r="Z53" s="48"/>
      <c r="AA53" s="35"/>
      <c r="AB53" s="36">
        <f t="shared" si="3"/>
        <v>33.020000000000003</v>
      </c>
      <c r="AC53" s="68">
        <f t="shared" si="4"/>
        <v>13</v>
      </c>
      <c r="AD53" s="63">
        <v>2</v>
      </c>
      <c r="AE53" s="32">
        <f t="shared" si="5"/>
        <v>15</v>
      </c>
      <c r="AF53" s="56"/>
      <c r="AG53" s="56"/>
      <c r="AH53" s="37">
        <f t="shared" si="6"/>
        <v>27.240000000000002</v>
      </c>
      <c r="AI53" s="38">
        <v>65</v>
      </c>
      <c r="AJ53" s="30">
        <f t="shared" si="7"/>
        <v>92.240000000000009</v>
      </c>
      <c r="AK53" s="37">
        <f t="shared" si="8"/>
        <v>92.240000000000009</v>
      </c>
      <c r="AL53" s="39">
        <f t="shared" si="9"/>
        <v>0.96879999999999999</v>
      </c>
      <c r="AM53" s="40"/>
      <c r="AN53" s="41">
        <f t="shared" si="10"/>
        <v>1</v>
      </c>
      <c r="AO53" s="41">
        <f t="shared" si="10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258" t="s">
        <v>669</v>
      </c>
      <c r="D54" s="259" t="s">
        <v>671</v>
      </c>
      <c r="E54" s="49"/>
      <c r="F54" s="49"/>
      <c r="G54" s="53"/>
      <c r="H54" s="64"/>
      <c r="I54" s="301">
        <v>0.21199999999999999</v>
      </c>
      <c r="J54" s="252">
        <v>0.49</v>
      </c>
      <c r="K54" s="26"/>
      <c r="L54" s="26"/>
      <c r="M54" s="62"/>
      <c r="N54" s="27">
        <f t="shared" si="0"/>
        <v>0.70199999999999996</v>
      </c>
      <c r="O54" s="28">
        <v>1</v>
      </c>
      <c r="P54" s="271">
        <v>15</v>
      </c>
      <c r="Q54" s="260">
        <v>15</v>
      </c>
      <c r="R54" s="30"/>
      <c r="S54" s="30"/>
      <c r="T54" s="31"/>
      <c r="U54" s="32">
        <f t="shared" si="1"/>
        <v>10.53</v>
      </c>
      <c r="V54" s="68">
        <f t="shared" si="2"/>
        <v>10.53</v>
      </c>
      <c r="W54" s="254">
        <v>3119959000</v>
      </c>
      <c r="X54" s="268">
        <v>36613423000</v>
      </c>
      <c r="Y54" s="45"/>
      <c r="Z54" s="48"/>
      <c r="AA54" s="35"/>
      <c r="AB54" s="36">
        <f t="shared" si="3"/>
        <v>61.490000000000009</v>
      </c>
      <c r="AC54" s="68">
        <f t="shared" si="4"/>
        <v>13</v>
      </c>
      <c r="AD54" s="63">
        <v>2</v>
      </c>
      <c r="AE54" s="32">
        <f t="shared" si="5"/>
        <v>15</v>
      </c>
      <c r="AF54" s="56"/>
      <c r="AG54" s="56"/>
      <c r="AH54" s="37">
        <f t="shared" si="6"/>
        <v>25.53</v>
      </c>
      <c r="AI54" s="38">
        <v>65</v>
      </c>
      <c r="AJ54" s="30">
        <f t="shared" si="7"/>
        <v>90.53</v>
      </c>
      <c r="AK54" s="37">
        <f t="shared" si="8"/>
        <v>90.53</v>
      </c>
      <c r="AL54" s="39">
        <f t="shared" si="9"/>
        <v>0.97734999999999994</v>
      </c>
      <c r="AM54" s="40"/>
      <c r="AN54" s="41">
        <f t="shared" si="10"/>
        <v>1</v>
      </c>
      <c r="AO54" s="41">
        <f t="shared" si="10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258" t="s">
        <v>670</v>
      </c>
      <c r="D55" s="259"/>
      <c r="E55" s="49"/>
      <c r="F55" s="49"/>
      <c r="G55" s="53"/>
      <c r="H55" s="64"/>
      <c r="I55" s="270">
        <v>0.49</v>
      </c>
      <c r="J55" s="252">
        <v>0.49</v>
      </c>
      <c r="K55" s="26"/>
      <c r="L55" s="26"/>
      <c r="M55" s="62"/>
      <c r="N55" s="27">
        <f t="shared" si="0"/>
        <v>0.98</v>
      </c>
      <c r="O55" s="28">
        <v>1</v>
      </c>
      <c r="P55" s="271">
        <v>15</v>
      </c>
      <c r="Q55" s="260">
        <v>15</v>
      </c>
      <c r="R55" s="30"/>
      <c r="S55" s="30"/>
      <c r="T55" s="31"/>
      <c r="U55" s="32">
        <f t="shared" si="1"/>
        <v>14.7</v>
      </c>
      <c r="V55" s="68">
        <f t="shared" si="2"/>
        <v>14.7</v>
      </c>
      <c r="W55" s="254">
        <v>7741832000</v>
      </c>
      <c r="X55" s="268"/>
      <c r="Y55" s="45"/>
      <c r="Z55" s="48"/>
      <c r="AA55" s="35"/>
      <c r="AB55" s="36">
        <f t="shared" si="3"/>
        <v>12.61</v>
      </c>
      <c r="AC55" s="68">
        <f t="shared" si="4"/>
        <v>12.61</v>
      </c>
      <c r="AD55" s="63">
        <v>2</v>
      </c>
      <c r="AE55" s="32">
        <f t="shared" si="5"/>
        <v>14.61</v>
      </c>
      <c r="AF55" s="56"/>
      <c r="AG55" s="56"/>
      <c r="AH55" s="37">
        <f t="shared" si="6"/>
        <v>29.31</v>
      </c>
      <c r="AI55" s="38">
        <v>65</v>
      </c>
      <c r="AJ55" s="30">
        <f t="shared" si="7"/>
        <v>94.31</v>
      </c>
      <c r="AK55" s="37">
        <f t="shared" si="8"/>
        <v>94.31</v>
      </c>
      <c r="AL55" s="39">
        <f t="shared" si="9"/>
        <v>0.95845000000000002</v>
      </c>
      <c r="AM55" s="40"/>
      <c r="AN55" s="41">
        <f t="shared" si="10"/>
        <v>1</v>
      </c>
      <c r="AO55" s="41">
        <f t="shared" si="10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258" t="s">
        <v>647</v>
      </c>
      <c r="E56" s="49"/>
      <c r="F56" s="49"/>
      <c r="G56" s="53"/>
      <c r="H56" s="64"/>
      <c r="I56" s="25">
        <v>0.51</v>
      </c>
      <c r="J56" s="252">
        <v>0.49</v>
      </c>
      <c r="K56" s="26"/>
      <c r="L56" s="26"/>
      <c r="M56" s="62"/>
      <c r="N56" s="27">
        <f t="shared" si="0"/>
        <v>1</v>
      </c>
      <c r="O56" s="28">
        <v>1</v>
      </c>
      <c r="P56" s="29">
        <v>15</v>
      </c>
      <c r="Q56" s="26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268">
        <v>2041280000</v>
      </c>
      <c r="Y56" s="45"/>
      <c r="Z56" s="48"/>
      <c r="AA56" s="35"/>
      <c r="AB56" s="36">
        <f t="shared" si="3"/>
        <v>3.25</v>
      </c>
      <c r="AC56" s="68">
        <f t="shared" si="4"/>
        <v>3.25</v>
      </c>
      <c r="AD56" s="63">
        <v>2</v>
      </c>
      <c r="AE56" s="32">
        <f t="shared" si="5"/>
        <v>5.25</v>
      </c>
      <c r="AF56" s="56"/>
      <c r="AG56" s="56"/>
      <c r="AH56" s="37">
        <f t="shared" si="6"/>
        <v>20.25</v>
      </c>
      <c r="AI56" s="38">
        <v>65</v>
      </c>
      <c r="AJ56" s="30">
        <f t="shared" si="7"/>
        <v>85.25</v>
      </c>
      <c r="AK56" s="37">
        <f t="shared" si="8"/>
        <v>85.25</v>
      </c>
      <c r="AL56" s="39">
        <f t="shared" si="9"/>
        <v>1.0037499999999999</v>
      </c>
      <c r="AM56" s="40"/>
      <c r="AN56" s="41">
        <f t="shared" si="10"/>
        <v>1</v>
      </c>
      <c r="AO56" s="41">
        <f t="shared" si="10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 t="s">
        <v>60</v>
      </c>
      <c r="D57" s="49" t="s">
        <v>205</v>
      </c>
      <c r="E57" s="51" t="s">
        <v>204</v>
      </c>
      <c r="F57" s="51" t="s">
        <v>203</v>
      </c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0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0"/>
        <v>1</v>
      </c>
      <c r="AO57" s="41">
        <f t="shared" si="10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199" t="s">
        <v>59</v>
      </c>
      <c r="D58" s="49" t="s">
        <v>202</v>
      </c>
      <c r="E58" s="165" t="s">
        <v>201</v>
      </c>
      <c r="F58" s="166" t="s">
        <v>310</v>
      </c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0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0"/>
        <v>1</v>
      </c>
      <c r="AO58" s="41">
        <f t="shared" si="10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0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0"/>
        <v>1</v>
      </c>
      <c r="AO59" s="41">
        <f t="shared" si="10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0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0"/>
        <v>1</v>
      </c>
      <c r="AO60" s="41">
        <f t="shared" si="10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0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0"/>
        <v>1</v>
      </c>
      <c r="AO61" s="41">
        <f t="shared" si="10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0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0"/>
        <v>1</v>
      </c>
      <c r="AO62" s="41">
        <f t="shared" si="10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0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ref="AN63:AO82" si="13">100%+AM63</f>
        <v>1</v>
      </c>
      <c r="AO63" s="41">
        <f t="shared" si="13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0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3"/>
        <v>1</v>
      </c>
      <c r="AO64" s="41">
        <f t="shared" si="13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0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3"/>
        <v>1</v>
      </c>
      <c r="AO65" s="41">
        <f t="shared" si="13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0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3"/>
        <v>1</v>
      </c>
      <c r="AO66" s="41">
        <f t="shared" si="13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0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3"/>
        <v>1</v>
      </c>
      <c r="AO67" s="41">
        <f t="shared" si="13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0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3"/>
        <v>1</v>
      </c>
      <c r="AO68" s="41">
        <f t="shared" si="13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0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3"/>
        <v>1</v>
      </c>
      <c r="AO69" s="41">
        <f t="shared" si="13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0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3"/>
        <v>1</v>
      </c>
      <c r="AO70" s="41">
        <f t="shared" si="13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0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3"/>
        <v>1</v>
      </c>
      <c r="AO71" s="41">
        <f t="shared" si="13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0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3"/>
        <v>1</v>
      </c>
      <c r="AO72" s="41">
        <f t="shared" si="13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0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3"/>
        <v>1</v>
      </c>
      <c r="AO73" s="41">
        <f t="shared" si="13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0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3"/>
        <v>1</v>
      </c>
      <c r="AO74" s="41">
        <f t="shared" si="13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ref="N75:N106" si="14">SUM(I75:M75)</f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3"/>
        <v>1</v>
      </c>
      <c r="AO75" s="41">
        <f t="shared" si="13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3"/>
        <v>1</v>
      </c>
      <c r="AO76" s="41">
        <f t="shared" si="13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3"/>
        <v>1</v>
      </c>
      <c r="AO77" s="41">
        <f t="shared" si="13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3"/>
        <v>1</v>
      </c>
      <c r="AO78" s="41">
        <f t="shared" si="13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3"/>
        <v>1</v>
      </c>
      <c r="AO79" s="41">
        <f t="shared" si="13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3"/>
        <v>1</v>
      </c>
      <c r="AO80" s="41">
        <f t="shared" si="13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"/>
        <v>15</v>
      </c>
      <c r="V81" s="68">
        <f t="shared" si="2"/>
        <v>15</v>
      </c>
      <c r="W81" s="57"/>
      <c r="X81" s="60"/>
      <c r="Y81" s="45"/>
      <c r="Z81" s="48"/>
      <c r="AA81" s="35"/>
      <c r="AB81" s="36">
        <f t="shared" si="3"/>
        <v>0</v>
      </c>
      <c r="AC81" s="68">
        <f t="shared" si="4"/>
        <v>0</v>
      </c>
      <c r="AD81" s="63">
        <v>2</v>
      </c>
      <c r="AE81" s="32">
        <f t="shared" si="5"/>
        <v>2</v>
      </c>
      <c r="AF81" s="56"/>
      <c r="AG81" s="56"/>
      <c r="AH81" s="37">
        <f t="shared" si="6"/>
        <v>17</v>
      </c>
      <c r="AI81" s="38">
        <v>65</v>
      </c>
      <c r="AJ81" s="30">
        <f t="shared" si="7"/>
        <v>82</v>
      </c>
      <c r="AK81" s="37">
        <f t="shared" si="8"/>
        <v>82</v>
      </c>
      <c r="AL81" s="39">
        <f t="shared" si="9"/>
        <v>1.02</v>
      </c>
      <c r="AM81" s="40"/>
      <c r="AN81" s="41">
        <f t="shared" si="13"/>
        <v>1</v>
      </c>
      <c r="AO81" s="41">
        <f t="shared" si="13"/>
        <v>2</v>
      </c>
      <c r="AP81" s="43"/>
      <c r="AQ81" s="70"/>
      <c r="AR81" s="58"/>
      <c r="AS81" s="58"/>
      <c r="AT81" s="58"/>
      <c r="AU81" s="58"/>
      <c r="AV81" s="59"/>
      <c r="AW81" s="71">
        <f t="shared" si="11"/>
        <v>0</v>
      </c>
      <c r="AX81" s="71">
        <f t="shared" si="12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"/>
        <v>15</v>
      </c>
      <c r="V82" s="68">
        <f t="shared" si="2"/>
        <v>15</v>
      </c>
      <c r="W82" s="57"/>
      <c r="X82" s="60"/>
      <c r="Y82" s="45"/>
      <c r="Z82" s="48"/>
      <c r="AA82" s="35"/>
      <c r="AB82" s="36">
        <f t="shared" si="3"/>
        <v>0</v>
      </c>
      <c r="AC82" s="68">
        <f t="shared" si="4"/>
        <v>0</v>
      </c>
      <c r="AD82" s="63">
        <v>2</v>
      </c>
      <c r="AE82" s="32">
        <f t="shared" si="5"/>
        <v>2</v>
      </c>
      <c r="AF82" s="56"/>
      <c r="AG82" s="56"/>
      <c r="AH82" s="37">
        <f t="shared" si="6"/>
        <v>17</v>
      </c>
      <c r="AI82" s="38">
        <v>65</v>
      </c>
      <c r="AJ82" s="30">
        <f t="shared" si="7"/>
        <v>82</v>
      </c>
      <c r="AK82" s="37">
        <f t="shared" si="8"/>
        <v>82</v>
      </c>
      <c r="AL82" s="39">
        <f t="shared" si="9"/>
        <v>1.02</v>
      </c>
      <c r="AM82" s="40"/>
      <c r="AN82" s="41">
        <f t="shared" si="13"/>
        <v>1</v>
      </c>
      <c r="AO82" s="41">
        <f t="shared" si="13"/>
        <v>2</v>
      </c>
      <c r="AP82" s="43"/>
      <c r="AQ82" s="70"/>
      <c r="AR82" s="58"/>
      <c r="AS82" s="58"/>
      <c r="AT82" s="58"/>
      <c r="AU82" s="58"/>
      <c r="AV82" s="59"/>
      <c r="AW82" s="71">
        <f t="shared" si="11"/>
        <v>0</v>
      </c>
      <c r="AX82" s="71">
        <f t="shared" si="12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"/>
        <v>15</v>
      </c>
      <c r="V83" s="68">
        <f t="shared" si="2"/>
        <v>15</v>
      </c>
      <c r="W83" s="57"/>
      <c r="X83" s="60"/>
      <c r="Y83" s="45"/>
      <c r="Z83" s="48"/>
      <c r="AA83" s="35"/>
      <c r="AB83" s="36">
        <f t="shared" si="3"/>
        <v>0</v>
      </c>
      <c r="AC83" s="68">
        <f t="shared" si="4"/>
        <v>0</v>
      </c>
      <c r="AD83" s="63">
        <v>2</v>
      </c>
      <c r="AE83" s="32">
        <f t="shared" si="5"/>
        <v>2</v>
      </c>
      <c r="AF83" s="56"/>
      <c r="AG83" s="56"/>
      <c r="AH83" s="37">
        <f t="shared" si="6"/>
        <v>17</v>
      </c>
      <c r="AI83" s="38">
        <v>65</v>
      </c>
      <c r="AJ83" s="30">
        <f t="shared" si="7"/>
        <v>82</v>
      </c>
      <c r="AK83" s="37">
        <f t="shared" si="8"/>
        <v>82</v>
      </c>
      <c r="AL83" s="39">
        <f t="shared" si="9"/>
        <v>1.02</v>
      </c>
      <c r="AM83" s="40"/>
      <c r="AN83" s="41">
        <f t="shared" ref="AN83:AO102" si="15">100%+AM83</f>
        <v>1</v>
      </c>
      <c r="AO83" s="41">
        <f t="shared" si="15"/>
        <v>2</v>
      </c>
      <c r="AP83" s="43"/>
      <c r="AQ83" s="70"/>
      <c r="AR83" s="58"/>
      <c r="AS83" s="58"/>
      <c r="AT83" s="58"/>
      <c r="AU83" s="58"/>
      <c r="AV83" s="59"/>
      <c r="AW83" s="71">
        <f t="shared" si="11"/>
        <v>0</v>
      </c>
      <c r="AX83" s="71">
        <f t="shared" si="12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"/>
        <v>15</v>
      </c>
      <c r="V84" s="68">
        <f t="shared" si="2"/>
        <v>15</v>
      </c>
      <c r="W84" s="57"/>
      <c r="X84" s="60"/>
      <c r="Y84" s="45"/>
      <c r="Z84" s="48"/>
      <c r="AA84" s="35"/>
      <c r="AB84" s="36">
        <f t="shared" si="3"/>
        <v>0</v>
      </c>
      <c r="AC84" s="68">
        <f t="shared" si="4"/>
        <v>0</v>
      </c>
      <c r="AD84" s="63">
        <v>2</v>
      </c>
      <c r="AE84" s="32">
        <f t="shared" si="5"/>
        <v>2</v>
      </c>
      <c r="AF84" s="56"/>
      <c r="AG84" s="56"/>
      <c r="AH84" s="37">
        <f t="shared" si="6"/>
        <v>17</v>
      </c>
      <c r="AI84" s="38">
        <v>65</v>
      </c>
      <c r="AJ84" s="30">
        <f t="shared" si="7"/>
        <v>82</v>
      </c>
      <c r="AK84" s="37">
        <f t="shared" si="8"/>
        <v>82</v>
      </c>
      <c r="AL84" s="39">
        <f t="shared" si="9"/>
        <v>1.02</v>
      </c>
      <c r="AM84" s="40"/>
      <c r="AN84" s="41">
        <f t="shared" si="15"/>
        <v>1</v>
      </c>
      <c r="AO84" s="41">
        <f t="shared" si="15"/>
        <v>2</v>
      </c>
      <c r="AP84" s="43"/>
      <c r="AQ84" s="70"/>
      <c r="AR84" s="58"/>
      <c r="AS84" s="58"/>
      <c r="AT84" s="58"/>
      <c r="AU84" s="58"/>
      <c r="AV84" s="59"/>
      <c r="AW84" s="71">
        <f t="shared" si="11"/>
        <v>0</v>
      </c>
      <c r="AX84" s="71">
        <f t="shared" si="12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"/>
        <v>15</v>
      </c>
      <c r="V85" s="68">
        <f t="shared" si="2"/>
        <v>15</v>
      </c>
      <c r="W85" s="57"/>
      <c r="X85" s="60"/>
      <c r="Y85" s="45"/>
      <c r="Z85" s="48"/>
      <c r="AA85" s="35"/>
      <c r="AB85" s="36">
        <f t="shared" si="3"/>
        <v>0</v>
      </c>
      <c r="AC85" s="68">
        <f t="shared" si="4"/>
        <v>0</v>
      </c>
      <c r="AD85" s="63">
        <v>2</v>
      </c>
      <c r="AE85" s="32">
        <f t="shared" si="5"/>
        <v>2</v>
      </c>
      <c r="AF85" s="56"/>
      <c r="AG85" s="56"/>
      <c r="AH85" s="37">
        <f t="shared" si="6"/>
        <v>17</v>
      </c>
      <c r="AI85" s="38">
        <v>65</v>
      </c>
      <c r="AJ85" s="30">
        <f t="shared" si="7"/>
        <v>82</v>
      </c>
      <c r="AK85" s="37">
        <f t="shared" si="8"/>
        <v>82</v>
      </c>
      <c r="AL85" s="39">
        <f t="shared" si="9"/>
        <v>1.02</v>
      </c>
      <c r="AM85" s="40"/>
      <c r="AN85" s="41">
        <f t="shared" si="15"/>
        <v>1</v>
      </c>
      <c r="AO85" s="41">
        <f t="shared" si="15"/>
        <v>2</v>
      </c>
      <c r="AP85" s="43"/>
      <c r="AQ85" s="70"/>
      <c r="AR85" s="58"/>
      <c r="AS85" s="58"/>
      <c r="AT85" s="58"/>
      <c r="AU85" s="58"/>
      <c r="AV85" s="59"/>
      <c r="AW85" s="71">
        <f t="shared" si="11"/>
        <v>0</v>
      </c>
      <c r="AX85" s="71">
        <f t="shared" si="12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"/>
        <v>15</v>
      </c>
      <c r="V86" s="68">
        <f t="shared" si="2"/>
        <v>15</v>
      </c>
      <c r="W86" s="57"/>
      <c r="X86" s="60"/>
      <c r="Y86" s="45"/>
      <c r="Z86" s="48"/>
      <c r="AA86" s="35"/>
      <c r="AB86" s="36">
        <f t="shared" si="3"/>
        <v>0</v>
      </c>
      <c r="AC86" s="68">
        <f t="shared" si="4"/>
        <v>0</v>
      </c>
      <c r="AD86" s="63">
        <v>2</v>
      </c>
      <c r="AE86" s="32">
        <f t="shared" si="5"/>
        <v>2</v>
      </c>
      <c r="AF86" s="56"/>
      <c r="AG86" s="56"/>
      <c r="AH86" s="37">
        <f t="shared" si="6"/>
        <v>17</v>
      </c>
      <c r="AI86" s="38">
        <v>65</v>
      </c>
      <c r="AJ86" s="30">
        <f t="shared" si="7"/>
        <v>82</v>
      </c>
      <c r="AK86" s="37">
        <f t="shared" si="8"/>
        <v>82</v>
      </c>
      <c r="AL86" s="39">
        <f t="shared" si="9"/>
        <v>1.02</v>
      </c>
      <c r="AM86" s="40"/>
      <c r="AN86" s="41">
        <f t="shared" si="15"/>
        <v>1</v>
      </c>
      <c r="AO86" s="41">
        <f t="shared" si="15"/>
        <v>2</v>
      </c>
      <c r="AP86" s="43"/>
      <c r="AQ86" s="70"/>
      <c r="AR86" s="58"/>
      <c r="AS86" s="58"/>
      <c r="AT86" s="58"/>
      <c r="AU86" s="58"/>
      <c r="AV86" s="59"/>
      <c r="AW86" s="71">
        <f t="shared" si="11"/>
        <v>0</v>
      </c>
      <c r="AX86" s="71">
        <f t="shared" si="12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"/>
        <v>15</v>
      </c>
      <c r="V87" s="68">
        <f t="shared" si="2"/>
        <v>15</v>
      </c>
      <c r="W87" s="57"/>
      <c r="X87" s="60"/>
      <c r="Y87" s="45"/>
      <c r="Z87" s="48"/>
      <c r="AA87" s="35"/>
      <c r="AB87" s="36">
        <f t="shared" si="3"/>
        <v>0</v>
      </c>
      <c r="AC87" s="68">
        <f t="shared" si="4"/>
        <v>0</v>
      </c>
      <c r="AD87" s="63">
        <v>2</v>
      </c>
      <c r="AE87" s="32">
        <f t="shared" si="5"/>
        <v>2</v>
      </c>
      <c r="AF87" s="56"/>
      <c r="AG87" s="56"/>
      <c r="AH87" s="37">
        <f t="shared" si="6"/>
        <v>17</v>
      </c>
      <c r="AI87" s="38">
        <v>65</v>
      </c>
      <c r="AJ87" s="30">
        <f t="shared" si="7"/>
        <v>82</v>
      </c>
      <c r="AK87" s="37">
        <f t="shared" si="8"/>
        <v>82</v>
      </c>
      <c r="AL87" s="39">
        <f t="shared" si="9"/>
        <v>1.02</v>
      </c>
      <c r="AM87" s="40"/>
      <c r="AN87" s="41">
        <f t="shared" si="15"/>
        <v>1</v>
      </c>
      <c r="AO87" s="41">
        <f t="shared" si="15"/>
        <v>2</v>
      </c>
      <c r="AP87" s="43"/>
      <c r="AQ87" s="70"/>
      <c r="AR87" s="58"/>
      <c r="AS87" s="58"/>
      <c r="AT87" s="58"/>
      <c r="AU87" s="58"/>
      <c r="AV87" s="59"/>
      <c r="AW87" s="71">
        <f t="shared" si="11"/>
        <v>0</v>
      </c>
      <c r="AX87" s="71">
        <f t="shared" si="12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"/>
        <v>15</v>
      </c>
      <c r="V88" s="68">
        <f t="shared" si="2"/>
        <v>15</v>
      </c>
      <c r="W88" s="57"/>
      <c r="X88" s="60"/>
      <c r="Y88" s="45"/>
      <c r="Z88" s="48"/>
      <c r="AA88" s="35"/>
      <c r="AB88" s="36">
        <f t="shared" si="3"/>
        <v>0</v>
      </c>
      <c r="AC88" s="68">
        <f t="shared" si="4"/>
        <v>0</v>
      </c>
      <c r="AD88" s="63">
        <v>2</v>
      </c>
      <c r="AE88" s="32">
        <f t="shared" si="5"/>
        <v>2</v>
      </c>
      <c r="AF88" s="56"/>
      <c r="AG88" s="56"/>
      <c r="AH88" s="37">
        <f t="shared" si="6"/>
        <v>17</v>
      </c>
      <c r="AI88" s="38">
        <v>65</v>
      </c>
      <c r="AJ88" s="30">
        <f t="shared" si="7"/>
        <v>82</v>
      </c>
      <c r="AK88" s="37">
        <f t="shared" si="8"/>
        <v>82</v>
      </c>
      <c r="AL88" s="39">
        <f t="shared" si="9"/>
        <v>1.02</v>
      </c>
      <c r="AM88" s="40"/>
      <c r="AN88" s="41">
        <f t="shared" si="15"/>
        <v>1</v>
      </c>
      <c r="AO88" s="41">
        <f t="shared" si="15"/>
        <v>2</v>
      </c>
      <c r="AP88" s="43"/>
      <c r="AQ88" s="70"/>
      <c r="AR88" s="58"/>
      <c r="AS88" s="58"/>
      <c r="AT88" s="58"/>
      <c r="AU88" s="58"/>
      <c r="AV88" s="59"/>
      <c r="AW88" s="71">
        <f t="shared" si="11"/>
        <v>0</v>
      </c>
      <c r="AX88" s="71">
        <f t="shared" si="12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"/>
        <v>15</v>
      </c>
      <c r="V89" s="68">
        <f t="shared" si="2"/>
        <v>15</v>
      </c>
      <c r="W89" s="57"/>
      <c r="X89" s="60"/>
      <c r="Y89" s="45"/>
      <c r="Z89" s="48"/>
      <c r="AA89" s="35"/>
      <c r="AB89" s="36">
        <f t="shared" si="3"/>
        <v>0</v>
      </c>
      <c r="AC89" s="68">
        <f t="shared" si="4"/>
        <v>0</v>
      </c>
      <c r="AD89" s="63">
        <v>2</v>
      </c>
      <c r="AE89" s="32">
        <f t="shared" si="5"/>
        <v>2</v>
      </c>
      <c r="AF89" s="56"/>
      <c r="AG89" s="56"/>
      <c r="AH89" s="37">
        <f t="shared" si="6"/>
        <v>17</v>
      </c>
      <c r="AI89" s="38">
        <v>65</v>
      </c>
      <c r="AJ89" s="30">
        <f t="shared" si="7"/>
        <v>82</v>
      </c>
      <c r="AK89" s="37">
        <f t="shared" si="8"/>
        <v>82</v>
      </c>
      <c r="AL89" s="39">
        <f t="shared" si="9"/>
        <v>1.02</v>
      </c>
      <c r="AM89" s="40"/>
      <c r="AN89" s="41">
        <f t="shared" si="15"/>
        <v>1</v>
      </c>
      <c r="AO89" s="41">
        <f t="shared" si="15"/>
        <v>2</v>
      </c>
      <c r="AP89" s="43"/>
      <c r="AQ89" s="70"/>
      <c r="AR89" s="58"/>
      <c r="AS89" s="58"/>
      <c r="AT89" s="58"/>
      <c r="AU89" s="58"/>
      <c r="AV89" s="59"/>
      <c r="AW89" s="71">
        <f t="shared" si="11"/>
        <v>0</v>
      </c>
      <c r="AX89" s="71">
        <f t="shared" si="12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"/>
        <v>15</v>
      </c>
      <c r="V90" s="68">
        <f t="shared" si="2"/>
        <v>15</v>
      </c>
      <c r="W90" s="57"/>
      <c r="X90" s="60"/>
      <c r="Y90" s="45"/>
      <c r="Z90" s="48"/>
      <c r="AA90" s="35"/>
      <c r="AB90" s="36">
        <f t="shared" si="3"/>
        <v>0</v>
      </c>
      <c r="AC90" s="68">
        <f t="shared" si="4"/>
        <v>0</v>
      </c>
      <c r="AD90" s="63">
        <v>2</v>
      </c>
      <c r="AE90" s="32">
        <f t="shared" si="5"/>
        <v>2</v>
      </c>
      <c r="AF90" s="56"/>
      <c r="AG90" s="56"/>
      <c r="AH90" s="37">
        <f t="shared" si="6"/>
        <v>17</v>
      </c>
      <c r="AI90" s="38">
        <v>65</v>
      </c>
      <c r="AJ90" s="30">
        <f t="shared" si="7"/>
        <v>82</v>
      </c>
      <c r="AK90" s="37">
        <f t="shared" si="8"/>
        <v>82</v>
      </c>
      <c r="AL90" s="39">
        <f t="shared" si="9"/>
        <v>1.02</v>
      </c>
      <c r="AM90" s="40"/>
      <c r="AN90" s="41">
        <f t="shared" si="15"/>
        <v>1</v>
      </c>
      <c r="AO90" s="41">
        <f t="shared" si="15"/>
        <v>2</v>
      </c>
      <c r="AP90" s="43"/>
      <c r="AQ90" s="70"/>
      <c r="AR90" s="58"/>
      <c r="AS90" s="58"/>
      <c r="AT90" s="58"/>
      <c r="AU90" s="58"/>
      <c r="AV90" s="59"/>
      <c r="AW90" s="71">
        <f t="shared" si="11"/>
        <v>0</v>
      </c>
      <c r="AX90" s="71">
        <f t="shared" si="12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"/>
        <v>15</v>
      </c>
      <c r="V91" s="68">
        <f t="shared" si="2"/>
        <v>15</v>
      </c>
      <c r="W91" s="57"/>
      <c r="X91" s="60"/>
      <c r="Y91" s="45"/>
      <c r="Z91" s="48"/>
      <c r="AA91" s="35"/>
      <c r="AB91" s="36">
        <f t="shared" si="3"/>
        <v>0</v>
      </c>
      <c r="AC91" s="68">
        <f t="shared" si="4"/>
        <v>0</v>
      </c>
      <c r="AD91" s="63">
        <v>2</v>
      </c>
      <c r="AE91" s="32">
        <f t="shared" si="5"/>
        <v>2</v>
      </c>
      <c r="AF91" s="56"/>
      <c r="AG91" s="56"/>
      <c r="AH91" s="37">
        <f t="shared" si="6"/>
        <v>17</v>
      </c>
      <c r="AI91" s="38">
        <v>65</v>
      </c>
      <c r="AJ91" s="30">
        <f t="shared" si="7"/>
        <v>82</v>
      </c>
      <c r="AK91" s="37">
        <f t="shared" si="8"/>
        <v>82</v>
      </c>
      <c r="AL91" s="39">
        <f t="shared" si="9"/>
        <v>1.02</v>
      </c>
      <c r="AM91" s="40"/>
      <c r="AN91" s="41">
        <f t="shared" si="15"/>
        <v>1</v>
      </c>
      <c r="AO91" s="41">
        <f t="shared" si="15"/>
        <v>2</v>
      </c>
      <c r="AP91" s="43"/>
      <c r="AQ91" s="70"/>
      <c r="AR91" s="58"/>
      <c r="AS91" s="58"/>
      <c r="AT91" s="58"/>
      <c r="AU91" s="58"/>
      <c r="AV91" s="59"/>
      <c r="AW91" s="71">
        <f t="shared" si="11"/>
        <v>0</v>
      </c>
      <c r="AX91" s="71">
        <f t="shared" si="12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"/>
        <v>15</v>
      </c>
      <c r="V92" s="68">
        <f t="shared" si="2"/>
        <v>15</v>
      </c>
      <c r="W92" s="57"/>
      <c r="X92" s="60"/>
      <c r="Y92" s="45"/>
      <c r="Z92" s="48"/>
      <c r="AA92" s="35"/>
      <c r="AB92" s="36">
        <f t="shared" si="3"/>
        <v>0</v>
      </c>
      <c r="AC92" s="68">
        <f t="shared" si="4"/>
        <v>0</v>
      </c>
      <c r="AD92" s="63">
        <v>2</v>
      </c>
      <c r="AE92" s="32">
        <f t="shared" si="5"/>
        <v>2</v>
      </c>
      <c r="AF92" s="56"/>
      <c r="AG92" s="56"/>
      <c r="AH92" s="37">
        <f t="shared" si="6"/>
        <v>17</v>
      </c>
      <c r="AI92" s="38">
        <v>65</v>
      </c>
      <c r="AJ92" s="30">
        <f t="shared" si="7"/>
        <v>82</v>
      </c>
      <c r="AK92" s="37">
        <f t="shared" si="8"/>
        <v>82</v>
      </c>
      <c r="AL92" s="39">
        <f t="shared" si="9"/>
        <v>1.02</v>
      </c>
      <c r="AM92" s="40"/>
      <c r="AN92" s="41">
        <f t="shared" si="15"/>
        <v>1</v>
      </c>
      <c r="AO92" s="41">
        <f t="shared" si="15"/>
        <v>2</v>
      </c>
      <c r="AP92" s="43"/>
      <c r="AQ92" s="70"/>
      <c r="AR92" s="58"/>
      <c r="AS92" s="58"/>
      <c r="AT92" s="58"/>
      <c r="AU92" s="58"/>
      <c r="AV92" s="59"/>
      <c r="AW92" s="71">
        <f t="shared" si="11"/>
        <v>0</v>
      </c>
      <c r="AX92" s="71">
        <f t="shared" si="12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"/>
        <v>15</v>
      </c>
      <c r="V93" s="68">
        <f t="shared" si="2"/>
        <v>15</v>
      </c>
      <c r="W93" s="57"/>
      <c r="X93" s="60"/>
      <c r="Y93" s="45"/>
      <c r="Z93" s="48"/>
      <c r="AA93" s="35"/>
      <c r="AB93" s="36">
        <f t="shared" si="3"/>
        <v>0</v>
      </c>
      <c r="AC93" s="68">
        <f t="shared" si="4"/>
        <v>0</v>
      </c>
      <c r="AD93" s="63">
        <v>2</v>
      </c>
      <c r="AE93" s="32">
        <f t="shared" si="5"/>
        <v>2</v>
      </c>
      <c r="AF93" s="56"/>
      <c r="AG93" s="56"/>
      <c r="AH93" s="37">
        <f t="shared" si="6"/>
        <v>17</v>
      </c>
      <c r="AI93" s="38">
        <v>65</v>
      </c>
      <c r="AJ93" s="30">
        <f t="shared" si="7"/>
        <v>82</v>
      </c>
      <c r="AK93" s="37">
        <f t="shared" si="8"/>
        <v>82</v>
      </c>
      <c r="AL93" s="39">
        <f t="shared" si="9"/>
        <v>1.02</v>
      </c>
      <c r="AM93" s="40"/>
      <c r="AN93" s="41">
        <f t="shared" si="15"/>
        <v>1</v>
      </c>
      <c r="AO93" s="41">
        <f t="shared" si="15"/>
        <v>2</v>
      </c>
      <c r="AP93" s="43"/>
      <c r="AQ93" s="70"/>
      <c r="AR93" s="58"/>
      <c r="AS93" s="58"/>
      <c r="AT93" s="58"/>
      <c r="AU93" s="58"/>
      <c r="AV93" s="59"/>
      <c r="AW93" s="71">
        <f t="shared" si="11"/>
        <v>0</v>
      </c>
      <c r="AX93" s="71">
        <f t="shared" si="12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"/>
        <v>15</v>
      </c>
      <c r="V94" s="68">
        <f t="shared" si="2"/>
        <v>15</v>
      </c>
      <c r="W94" s="57"/>
      <c r="X94" s="60"/>
      <c r="Y94" s="45"/>
      <c r="Z94" s="48"/>
      <c r="AA94" s="35"/>
      <c r="AB94" s="36">
        <f t="shared" si="3"/>
        <v>0</v>
      </c>
      <c r="AC94" s="68">
        <f t="shared" si="4"/>
        <v>0</v>
      </c>
      <c r="AD94" s="63">
        <v>2</v>
      </c>
      <c r="AE94" s="32">
        <f t="shared" si="5"/>
        <v>2</v>
      </c>
      <c r="AF94" s="56"/>
      <c r="AG94" s="56"/>
      <c r="AH94" s="37">
        <f t="shared" si="6"/>
        <v>17</v>
      </c>
      <c r="AI94" s="38">
        <v>65</v>
      </c>
      <c r="AJ94" s="30">
        <f t="shared" si="7"/>
        <v>82</v>
      </c>
      <c r="AK94" s="37">
        <f t="shared" si="8"/>
        <v>82</v>
      </c>
      <c r="AL94" s="39">
        <f t="shared" si="9"/>
        <v>1.02</v>
      </c>
      <c r="AM94" s="40"/>
      <c r="AN94" s="41">
        <f t="shared" si="15"/>
        <v>1</v>
      </c>
      <c r="AO94" s="41">
        <f t="shared" si="15"/>
        <v>2</v>
      </c>
      <c r="AP94" s="43"/>
      <c r="AQ94" s="70"/>
      <c r="AR94" s="58"/>
      <c r="AS94" s="58"/>
      <c r="AT94" s="58"/>
      <c r="AU94" s="58"/>
      <c r="AV94" s="59"/>
      <c r="AW94" s="71">
        <f t="shared" si="11"/>
        <v>0</v>
      </c>
      <c r="AX94" s="71">
        <f t="shared" si="12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"/>
        <v>15</v>
      </c>
      <c r="V95" s="68">
        <f t="shared" si="2"/>
        <v>15</v>
      </c>
      <c r="W95" s="57"/>
      <c r="X95" s="60"/>
      <c r="Y95" s="45"/>
      <c r="Z95" s="48"/>
      <c r="AA95" s="35"/>
      <c r="AB95" s="36">
        <f t="shared" si="3"/>
        <v>0</v>
      </c>
      <c r="AC95" s="68">
        <f t="shared" si="4"/>
        <v>0</v>
      </c>
      <c r="AD95" s="63">
        <v>2</v>
      </c>
      <c r="AE95" s="32">
        <f t="shared" si="5"/>
        <v>2</v>
      </c>
      <c r="AF95" s="56"/>
      <c r="AG95" s="56"/>
      <c r="AH95" s="37">
        <f t="shared" si="6"/>
        <v>17</v>
      </c>
      <c r="AI95" s="38">
        <v>65</v>
      </c>
      <c r="AJ95" s="30">
        <f t="shared" si="7"/>
        <v>82</v>
      </c>
      <c r="AK95" s="37">
        <f t="shared" si="8"/>
        <v>82</v>
      </c>
      <c r="AL95" s="39">
        <f t="shared" si="9"/>
        <v>1.02</v>
      </c>
      <c r="AM95" s="40"/>
      <c r="AN95" s="41">
        <f t="shared" si="15"/>
        <v>1</v>
      </c>
      <c r="AO95" s="41">
        <f t="shared" si="15"/>
        <v>2</v>
      </c>
      <c r="AP95" s="43"/>
      <c r="AQ95" s="70"/>
      <c r="AR95" s="58"/>
      <c r="AS95" s="58"/>
      <c r="AT95" s="58"/>
      <c r="AU95" s="58"/>
      <c r="AV95" s="59"/>
      <c r="AW95" s="71">
        <f t="shared" si="11"/>
        <v>0</v>
      </c>
      <c r="AX95" s="71">
        <f t="shared" si="12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"/>
        <v>15</v>
      </c>
      <c r="V96" s="68">
        <f t="shared" si="2"/>
        <v>15</v>
      </c>
      <c r="W96" s="57"/>
      <c r="X96" s="60"/>
      <c r="Y96" s="45"/>
      <c r="Z96" s="48"/>
      <c r="AA96" s="35"/>
      <c r="AB96" s="36">
        <f t="shared" si="3"/>
        <v>0</v>
      </c>
      <c r="AC96" s="68">
        <f t="shared" si="4"/>
        <v>0</v>
      </c>
      <c r="AD96" s="63">
        <v>2</v>
      </c>
      <c r="AE96" s="32">
        <f t="shared" si="5"/>
        <v>2</v>
      </c>
      <c r="AF96" s="56"/>
      <c r="AG96" s="56"/>
      <c r="AH96" s="37">
        <f t="shared" si="6"/>
        <v>17</v>
      </c>
      <c r="AI96" s="38">
        <v>65</v>
      </c>
      <c r="AJ96" s="30">
        <f t="shared" si="7"/>
        <v>82</v>
      </c>
      <c r="AK96" s="37">
        <f t="shared" si="8"/>
        <v>82</v>
      </c>
      <c r="AL96" s="39">
        <f t="shared" si="9"/>
        <v>1.02</v>
      </c>
      <c r="AM96" s="40"/>
      <c r="AN96" s="41">
        <f t="shared" si="15"/>
        <v>1</v>
      </c>
      <c r="AO96" s="41">
        <f t="shared" si="15"/>
        <v>2</v>
      </c>
      <c r="AP96" s="43"/>
      <c r="AQ96" s="70"/>
      <c r="AR96" s="58"/>
      <c r="AS96" s="58"/>
      <c r="AT96" s="58"/>
      <c r="AU96" s="58"/>
      <c r="AV96" s="59"/>
      <c r="AW96" s="71">
        <f t="shared" si="11"/>
        <v>0</v>
      </c>
      <c r="AX96" s="71">
        <f t="shared" si="12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"/>
        <v>15</v>
      </c>
      <c r="V97" s="68">
        <f t="shared" si="2"/>
        <v>15</v>
      </c>
      <c r="W97" s="57"/>
      <c r="X97" s="60"/>
      <c r="Y97" s="45"/>
      <c r="Z97" s="48"/>
      <c r="AA97" s="35"/>
      <c r="AB97" s="36">
        <f t="shared" si="3"/>
        <v>0</v>
      </c>
      <c r="AC97" s="68">
        <f t="shared" si="4"/>
        <v>0</v>
      </c>
      <c r="AD97" s="63">
        <v>2</v>
      </c>
      <c r="AE97" s="32">
        <f t="shared" si="5"/>
        <v>2</v>
      </c>
      <c r="AF97" s="56"/>
      <c r="AG97" s="56"/>
      <c r="AH97" s="37">
        <f t="shared" si="6"/>
        <v>17</v>
      </c>
      <c r="AI97" s="38">
        <v>65</v>
      </c>
      <c r="AJ97" s="30">
        <f t="shared" si="7"/>
        <v>82</v>
      </c>
      <c r="AK97" s="37">
        <f t="shared" si="8"/>
        <v>82</v>
      </c>
      <c r="AL97" s="39">
        <f t="shared" si="9"/>
        <v>1.02</v>
      </c>
      <c r="AM97" s="40"/>
      <c r="AN97" s="41">
        <f t="shared" si="15"/>
        <v>1</v>
      </c>
      <c r="AO97" s="41">
        <f t="shared" si="15"/>
        <v>2</v>
      </c>
      <c r="AP97" s="43"/>
      <c r="AQ97" s="70"/>
      <c r="AR97" s="58"/>
      <c r="AS97" s="58"/>
      <c r="AT97" s="58"/>
      <c r="AU97" s="58"/>
      <c r="AV97" s="59"/>
      <c r="AW97" s="71">
        <f t="shared" si="11"/>
        <v>0</v>
      </c>
      <c r="AX97" s="71">
        <f t="shared" si="12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"/>
        <v>15</v>
      </c>
      <c r="V98" s="68">
        <f t="shared" si="2"/>
        <v>15</v>
      </c>
      <c r="W98" s="57"/>
      <c r="X98" s="60"/>
      <c r="Y98" s="45"/>
      <c r="Z98" s="48"/>
      <c r="AA98" s="35"/>
      <c r="AB98" s="36">
        <f t="shared" si="3"/>
        <v>0</v>
      </c>
      <c r="AC98" s="68">
        <f t="shared" si="4"/>
        <v>0</v>
      </c>
      <c r="AD98" s="63">
        <v>2</v>
      </c>
      <c r="AE98" s="32">
        <f t="shared" si="5"/>
        <v>2</v>
      </c>
      <c r="AF98" s="56"/>
      <c r="AG98" s="56"/>
      <c r="AH98" s="37">
        <f t="shared" si="6"/>
        <v>17</v>
      </c>
      <c r="AI98" s="38">
        <v>65</v>
      </c>
      <c r="AJ98" s="30">
        <f t="shared" si="7"/>
        <v>82</v>
      </c>
      <c r="AK98" s="37">
        <f t="shared" si="8"/>
        <v>82</v>
      </c>
      <c r="AL98" s="39">
        <f t="shared" si="9"/>
        <v>1.02</v>
      </c>
      <c r="AM98" s="40"/>
      <c r="AN98" s="41">
        <f t="shared" si="15"/>
        <v>1</v>
      </c>
      <c r="AO98" s="41">
        <f t="shared" si="15"/>
        <v>2</v>
      </c>
      <c r="AP98" s="43"/>
      <c r="AQ98" s="70"/>
      <c r="AR98" s="58"/>
      <c r="AS98" s="58"/>
      <c r="AT98" s="58"/>
      <c r="AU98" s="58"/>
      <c r="AV98" s="59"/>
      <c r="AW98" s="71">
        <f t="shared" si="11"/>
        <v>0</v>
      </c>
      <c r="AX98" s="71">
        <f t="shared" si="12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"/>
        <v>15</v>
      </c>
      <c r="V99" s="68">
        <f t="shared" si="2"/>
        <v>15</v>
      </c>
      <c r="W99" s="57"/>
      <c r="X99" s="60"/>
      <c r="Y99" s="45"/>
      <c r="Z99" s="48"/>
      <c r="AA99" s="35"/>
      <c r="AB99" s="36">
        <f t="shared" si="3"/>
        <v>0</v>
      </c>
      <c r="AC99" s="68">
        <f t="shared" si="4"/>
        <v>0</v>
      </c>
      <c r="AD99" s="63">
        <v>2</v>
      </c>
      <c r="AE99" s="32">
        <f t="shared" si="5"/>
        <v>2</v>
      </c>
      <c r="AF99" s="56"/>
      <c r="AG99" s="56"/>
      <c r="AH99" s="37">
        <f t="shared" si="6"/>
        <v>17</v>
      </c>
      <c r="AI99" s="38">
        <v>65</v>
      </c>
      <c r="AJ99" s="30">
        <f t="shared" si="7"/>
        <v>82</v>
      </c>
      <c r="AK99" s="37">
        <f t="shared" si="8"/>
        <v>82</v>
      </c>
      <c r="AL99" s="39">
        <f t="shared" si="9"/>
        <v>1.02</v>
      </c>
      <c r="AM99" s="40"/>
      <c r="AN99" s="41">
        <f t="shared" si="15"/>
        <v>1</v>
      </c>
      <c r="AO99" s="41">
        <f t="shared" si="15"/>
        <v>2</v>
      </c>
      <c r="AP99" s="43"/>
      <c r="AQ99" s="70"/>
      <c r="AR99" s="58"/>
      <c r="AS99" s="58"/>
      <c r="AT99" s="58"/>
      <c r="AU99" s="58"/>
      <c r="AV99" s="59"/>
      <c r="AW99" s="71">
        <f t="shared" si="11"/>
        <v>0</v>
      </c>
      <c r="AX99" s="71">
        <f t="shared" si="12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"/>
        <v>15</v>
      </c>
      <c r="V100" s="68">
        <f t="shared" si="2"/>
        <v>15</v>
      </c>
      <c r="W100" s="57"/>
      <c r="X100" s="60"/>
      <c r="Y100" s="45"/>
      <c r="Z100" s="48"/>
      <c r="AA100" s="35"/>
      <c r="AB100" s="36">
        <f t="shared" si="3"/>
        <v>0</v>
      </c>
      <c r="AC100" s="68">
        <f t="shared" si="4"/>
        <v>0</v>
      </c>
      <c r="AD100" s="63">
        <v>2</v>
      </c>
      <c r="AE100" s="32">
        <f t="shared" si="5"/>
        <v>2</v>
      </c>
      <c r="AF100" s="56"/>
      <c r="AG100" s="56"/>
      <c r="AH100" s="37">
        <f t="shared" si="6"/>
        <v>17</v>
      </c>
      <c r="AI100" s="38">
        <v>65</v>
      </c>
      <c r="AJ100" s="30">
        <f t="shared" si="7"/>
        <v>82</v>
      </c>
      <c r="AK100" s="37">
        <f t="shared" si="8"/>
        <v>82</v>
      </c>
      <c r="AL100" s="39">
        <f t="shared" si="9"/>
        <v>1.02</v>
      </c>
      <c r="AM100" s="40"/>
      <c r="AN100" s="41">
        <f t="shared" si="15"/>
        <v>1</v>
      </c>
      <c r="AO100" s="41">
        <f t="shared" si="15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11"/>
        <v>0</v>
      </c>
      <c r="AX100" s="71">
        <f t="shared" si="12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"/>
        <v>15</v>
      </c>
      <c r="V101" s="68">
        <f t="shared" si="2"/>
        <v>15</v>
      </c>
      <c r="W101" s="57"/>
      <c r="X101" s="60"/>
      <c r="Y101" s="45"/>
      <c r="Z101" s="48"/>
      <c r="AA101" s="35"/>
      <c r="AB101" s="36">
        <f t="shared" si="3"/>
        <v>0</v>
      </c>
      <c r="AC101" s="68">
        <f t="shared" si="4"/>
        <v>0</v>
      </c>
      <c r="AD101" s="63">
        <v>2</v>
      </c>
      <c r="AE101" s="32">
        <f t="shared" si="5"/>
        <v>2</v>
      </c>
      <c r="AF101" s="56"/>
      <c r="AG101" s="56"/>
      <c r="AH101" s="37">
        <f t="shared" si="6"/>
        <v>17</v>
      </c>
      <c r="AI101" s="38">
        <v>65</v>
      </c>
      <c r="AJ101" s="30">
        <f t="shared" si="7"/>
        <v>82</v>
      </c>
      <c r="AK101" s="37">
        <f t="shared" si="8"/>
        <v>82</v>
      </c>
      <c r="AL101" s="39">
        <f t="shared" si="9"/>
        <v>1.02</v>
      </c>
      <c r="AM101" s="40"/>
      <c r="AN101" s="41">
        <f t="shared" si="15"/>
        <v>1</v>
      </c>
      <c r="AO101" s="41">
        <f t="shared" si="15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11"/>
        <v>0</v>
      </c>
      <c r="AX101" s="71">
        <f t="shared" si="12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"/>
        <v>15</v>
      </c>
      <c r="V102" s="68">
        <f t="shared" si="2"/>
        <v>15</v>
      </c>
      <c r="W102" s="57"/>
      <c r="X102" s="60"/>
      <c r="Y102" s="45"/>
      <c r="Z102" s="48"/>
      <c r="AA102" s="35"/>
      <c r="AB102" s="36">
        <f t="shared" si="3"/>
        <v>0</v>
      </c>
      <c r="AC102" s="68">
        <f t="shared" si="4"/>
        <v>0</v>
      </c>
      <c r="AD102" s="63">
        <v>2</v>
      </c>
      <c r="AE102" s="32">
        <f t="shared" si="5"/>
        <v>2</v>
      </c>
      <c r="AF102" s="56"/>
      <c r="AG102" s="56"/>
      <c r="AH102" s="37">
        <f t="shared" si="6"/>
        <v>17</v>
      </c>
      <c r="AI102" s="38">
        <v>65</v>
      </c>
      <c r="AJ102" s="30">
        <f t="shared" si="7"/>
        <v>82</v>
      </c>
      <c r="AK102" s="37">
        <f t="shared" si="8"/>
        <v>82</v>
      </c>
      <c r="AL102" s="39">
        <f t="shared" si="9"/>
        <v>1.02</v>
      </c>
      <c r="AM102" s="40"/>
      <c r="AN102" s="41">
        <f t="shared" si="15"/>
        <v>1</v>
      </c>
      <c r="AO102" s="41">
        <f t="shared" si="15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11"/>
        <v>0</v>
      </c>
      <c r="AX102" s="71">
        <f t="shared" si="12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"/>
        <v>15</v>
      </c>
      <c r="V103" s="68">
        <f t="shared" si="2"/>
        <v>15</v>
      </c>
      <c r="W103" s="57"/>
      <c r="X103" s="60"/>
      <c r="Y103" s="45"/>
      <c r="Z103" s="48"/>
      <c r="AA103" s="35"/>
      <c r="AB103" s="36">
        <f t="shared" si="3"/>
        <v>0</v>
      </c>
      <c r="AC103" s="68">
        <f t="shared" si="4"/>
        <v>0</v>
      </c>
      <c r="AD103" s="63">
        <v>2</v>
      </c>
      <c r="AE103" s="32">
        <f t="shared" si="5"/>
        <v>2</v>
      </c>
      <c r="AF103" s="56"/>
      <c r="AG103" s="56"/>
      <c r="AH103" s="37">
        <f t="shared" si="6"/>
        <v>17</v>
      </c>
      <c r="AI103" s="38">
        <v>65</v>
      </c>
      <c r="AJ103" s="30">
        <f t="shared" si="7"/>
        <v>82</v>
      </c>
      <c r="AK103" s="37">
        <f t="shared" si="8"/>
        <v>82</v>
      </c>
      <c r="AL103" s="39">
        <f t="shared" si="9"/>
        <v>1.02</v>
      </c>
      <c r="AM103" s="40"/>
      <c r="AN103" s="41">
        <f t="shared" ref="AN103:AO122" si="16">100%+AM103</f>
        <v>1</v>
      </c>
      <c r="AO103" s="41">
        <f t="shared" si="16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11"/>
        <v>0</v>
      </c>
      <c r="AX103" s="71">
        <f t="shared" si="12"/>
        <v>0</v>
      </c>
    </row>
    <row r="104" spans="1:50" s="12" customFormat="1" ht="64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"/>
        <v>15</v>
      </c>
      <c r="V104" s="68">
        <f t="shared" si="2"/>
        <v>15</v>
      </c>
      <c r="W104" s="57"/>
      <c r="X104" s="60"/>
      <c r="Y104" s="45"/>
      <c r="Z104" s="48"/>
      <c r="AA104" s="35"/>
      <c r="AB104" s="36">
        <f t="shared" si="3"/>
        <v>0</v>
      </c>
      <c r="AC104" s="68">
        <f t="shared" si="4"/>
        <v>0</v>
      </c>
      <c r="AD104" s="63">
        <v>2</v>
      </c>
      <c r="AE104" s="32">
        <f t="shared" si="5"/>
        <v>2</v>
      </c>
      <c r="AF104" s="56"/>
      <c r="AG104" s="56"/>
      <c r="AH104" s="37">
        <f t="shared" si="6"/>
        <v>17</v>
      </c>
      <c r="AI104" s="38">
        <v>65</v>
      </c>
      <c r="AJ104" s="30">
        <f t="shared" si="7"/>
        <v>82</v>
      </c>
      <c r="AK104" s="37">
        <f t="shared" si="8"/>
        <v>82</v>
      </c>
      <c r="AL104" s="39">
        <f t="shared" si="9"/>
        <v>1.02</v>
      </c>
      <c r="AM104" s="40"/>
      <c r="AN104" s="41">
        <f t="shared" si="16"/>
        <v>1</v>
      </c>
      <c r="AO104" s="41">
        <f t="shared" si="16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11"/>
        <v>0</v>
      </c>
      <c r="AX104" s="71">
        <f t="shared" si="12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"/>
        <v>15</v>
      </c>
      <c r="V105" s="68">
        <f t="shared" si="2"/>
        <v>15</v>
      </c>
      <c r="W105" s="57"/>
      <c r="X105" s="60"/>
      <c r="Y105" s="45"/>
      <c r="Z105" s="48"/>
      <c r="AA105" s="35"/>
      <c r="AB105" s="36">
        <f t="shared" si="3"/>
        <v>0</v>
      </c>
      <c r="AC105" s="68">
        <f t="shared" si="4"/>
        <v>0</v>
      </c>
      <c r="AD105" s="63">
        <v>2</v>
      </c>
      <c r="AE105" s="32">
        <f t="shared" si="5"/>
        <v>2</v>
      </c>
      <c r="AF105" s="56"/>
      <c r="AG105" s="56"/>
      <c r="AH105" s="37">
        <f t="shared" si="6"/>
        <v>17</v>
      </c>
      <c r="AI105" s="38">
        <v>65</v>
      </c>
      <c r="AJ105" s="30">
        <f t="shared" si="7"/>
        <v>82</v>
      </c>
      <c r="AK105" s="37">
        <f t="shared" si="8"/>
        <v>82</v>
      </c>
      <c r="AL105" s="39">
        <f t="shared" si="9"/>
        <v>1.02</v>
      </c>
      <c r="AM105" s="40"/>
      <c r="AN105" s="41">
        <f t="shared" si="16"/>
        <v>1</v>
      </c>
      <c r="AO105" s="41">
        <f t="shared" si="16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11"/>
        <v>0</v>
      </c>
      <c r="AX105" s="71">
        <f t="shared" si="12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"/>
        <v>15</v>
      </c>
      <c r="V106" s="68">
        <f t="shared" si="2"/>
        <v>15</v>
      </c>
      <c r="W106" s="57"/>
      <c r="X106" s="60"/>
      <c r="Y106" s="45"/>
      <c r="Z106" s="48"/>
      <c r="AA106" s="35"/>
      <c r="AB106" s="36">
        <f t="shared" si="3"/>
        <v>0</v>
      </c>
      <c r="AC106" s="68">
        <f t="shared" si="4"/>
        <v>0</v>
      </c>
      <c r="AD106" s="63">
        <v>2</v>
      </c>
      <c r="AE106" s="32">
        <f t="shared" si="5"/>
        <v>2</v>
      </c>
      <c r="AF106" s="56"/>
      <c r="AG106" s="56"/>
      <c r="AH106" s="37">
        <f t="shared" si="6"/>
        <v>17</v>
      </c>
      <c r="AI106" s="38">
        <v>65</v>
      </c>
      <c r="AJ106" s="30">
        <f t="shared" si="7"/>
        <v>82</v>
      </c>
      <c r="AK106" s="37">
        <f t="shared" si="8"/>
        <v>82</v>
      </c>
      <c r="AL106" s="39">
        <f t="shared" si="9"/>
        <v>1.02</v>
      </c>
      <c r="AM106" s="40"/>
      <c r="AN106" s="41">
        <f t="shared" si="16"/>
        <v>1</v>
      </c>
      <c r="AO106" s="41">
        <f t="shared" si="16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11"/>
        <v>0</v>
      </c>
      <c r="AX106" s="71">
        <f t="shared" si="12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8" si="17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ref="U107:U142" si="18">ROUND(((P107*I107)+(Q107*J107)+(R107*K107)+(S107*L107)+(T107*M107))*O107,2)</f>
        <v>15</v>
      </c>
      <c r="V107" s="68">
        <f t="shared" ref="V107:V142" si="19">IF(U107&gt;=15,15,U107)</f>
        <v>15</v>
      </c>
      <c r="W107" s="57"/>
      <c r="X107" s="60"/>
      <c r="Y107" s="45"/>
      <c r="Z107" s="48"/>
      <c r="AA107" s="35"/>
      <c r="AB107" s="36">
        <f t="shared" ref="AB107:AB142" si="20">ROUND((((W107*I107)+(X107*J107)+(Y107*K107)+(Z107*L107)+(AA107*M107))/$I$2),2)*13</f>
        <v>0</v>
      </c>
      <c r="AC107" s="68">
        <f t="shared" ref="AC107:AC142" si="21">IF(AB107&gt;=13,13,AB107)</f>
        <v>0</v>
      </c>
      <c r="AD107" s="63">
        <v>2</v>
      </c>
      <c r="AE107" s="32">
        <f t="shared" ref="AE107:AE142" si="22">IF((AC107+AD107)&gt;=15,15,(AC107+AD107))</f>
        <v>2</v>
      </c>
      <c r="AF107" s="56"/>
      <c r="AG107" s="56"/>
      <c r="AH107" s="37">
        <f t="shared" ref="AH107:AH142" si="23">IF((V107+AE107+AF107)&gt;=30,30,(V107+AE107+AF107))</f>
        <v>17</v>
      </c>
      <c r="AI107" s="38">
        <v>65</v>
      </c>
      <c r="AJ107" s="30">
        <f t="shared" ref="AJ107:AJ142" si="24">V107+AE107+AF107+AI107+AG107</f>
        <v>82</v>
      </c>
      <c r="AK107" s="37">
        <f t="shared" ref="AK107:AK142" si="25">IF(AH107+AI107+AG107&gt;=95,95,AH107+AI107+AG107)</f>
        <v>82</v>
      </c>
      <c r="AL107" s="39">
        <f t="shared" ref="AL107:AL142" si="26">-((50-((176+(45+(50-AH107)))))/200)</f>
        <v>1.02</v>
      </c>
      <c r="AM107" s="40"/>
      <c r="AN107" s="41">
        <f t="shared" si="16"/>
        <v>1</v>
      </c>
      <c r="AO107" s="41">
        <f t="shared" si="16"/>
        <v>2</v>
      </c>
      <c r="AP107" s="43"/>
      <c r="AQ107" s="70"/>
      <c r="AR107" s="58"/>
      <c r="AS107" s="58"/>
      <c r="AT107" s="58"/>
      <c r="AU107" s="58"/>
      <c r="AV107" s="59"/>
      <c r="AW107" s="71">
        <f t="shared" ref="AW107:AW142" si="27">AR107+AS107+AT107+AU107+AV107</f>
        <v>0</v>
      </c>
      <c r="AX107" s="71">
        <f t="shared" ref="AX107:AX142" si="28">(AR107*I107)+(AS107*J107)+(AT107*K107)+(AU107*L107)+(AV107*M107)</f>
        <v>0</v>
      </c>
    </row>
    <row r="108" spans="1:50" s="42" customFormat="1" ht="47.2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7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8"/>
        <v>15</v>
      </c>
      <c r="V108" s="68">
        <f t="shared" si="19"/>
        <v>15</v>
      </c>
      <c r="W108" s="57"/>
      <c r="X108" s="60"/>
      <c r="Y108" s="45"/>
      <c r="Z108" s="48"/>
      <c r="AA108" s="35"/>
      <c r="AB108" s="36">
        <f t="shared" si="20"/>
        <v>0</v>
      </c>
      <c r="AC108" s="68">
        <f t="shared" si="21"/>
        <v>0</v>
      </c>
      <c r="AD108" s="63">
        <v>2</v>
      </c>
      <c r="AE108" s="32">
        <f t="shared" si="22"/>
        <v>2</v>
      </c>
      <c r="AF108" s="56"/>
      <c r="AG108" s="56"/>
      <c r="AH108" s="37">
        <f t="shared" si="23"/>
        <v>17</v>
      </c>
      <c r="AI108" s="38">
        <v>65</v>
      </c>
      <c r="AJ108" s="30">
        <f t="shared" si="24"/>
        <v>82</v>
      </c>
      <c r="AK108" s="37">
        <f t="shared" si="25"/>
        <v>82</v>
      </c>
      <c r="AL108" s="39">
        <f t="shared" si="26"/>
        <v>1.02</v>
      </c>
      <c r="AM108" s="40"/>
      <c r="AN108" s="41">
        <f t="shared" si="16"/>
        <v>1</v>
      </c>
      <c r="AO108" s="41">
        <f t="shared" si="16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7"/>
        <v>0</v>
      </c>
      <c r="AX108" s="71">
        <f t="shared" si="28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7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8"/>
        <v>15</v>
      </c>
      <c r="V109" s="68">
        <f t="shared" si="19"/>
        <v>15</v>
      </c>
      <c r="W109" s="57"/>
      <c r="X109" s="60"/>
      <c r="Y109" s="45"/>
      <c r="Z109" s="48"/>
      <c r="AA109" s="35"/>
      <c r="AB109" s="36">
        <f t="shared" si="20"/>
        <v>0</v>
      </c>
      <c r="AC109" s="68">
        <f t="shared" si="21"/>
        <v>0</v>
      </c>
      <c r="AD109" s="63">
        <v>2</v>
      </c>
      <c r="AE109" s="32">
        <f t="shared" si="22"/>
        <v>2</v>
      </c>
      <c r="AF109" s="56"/>
      <c r="AG109" s="56"/>
      <c r="AH109" s="37">
        <f t="shared" si="23"/>
        <v>17</v>
      </c>
      <c r="AI109" s="38">
        <v>65</v>
      </c>
      <c r="AJ109" s="30">
        <f t="shared" si="24"/>
        <v>82</v>
      </c>
      <c r="AK109" s="37">
        <f t="shared" si="25"/>
        <v>82</v>
      </c>
      <c r="AL109" s="39">
        <f t="shared" si="26"/>
        <v>1.02</v>
      </c>
      <c r="AM109" s="40"/>
      <c r="AN109" s="41">
        <f t="shared" si="16"/>
        <v>1</v>
      </c>
      <c r="AO109" s="41">
        <f t="shared" si="16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7"/>
        <v>0</v>
      </c>
      <c r="AX109" s="71">
        <f t="shared" si="28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7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8"/>
        <v>15</v>
      </c>
      <c r="V110" s="68">
        <f t="shared" si="19"/>
        <v>15</v>
      </c>
      <c r="W110" s="57"/>
      <c r="X110" s="60"/>
      <c r="Y110" s="45"/>
      <c r="Z110" s="48"/>
      <c r="AA110" s="35"/>
      <c r="AB110" s="36">
        <f t="shared" si="20"/>
        <v>0</v>
      </c>
      <c r="AC110" s="68">
        <f t="shared" si="21"/>
        <v>0</v>
      </c>
      <c r="AD110" s="63">
        <v>2</v>
      </c>
      <c r="AE110" s="32">
        <f t="shared" si="22"/>
        <v>2</v>
      </c>
      <c r="AF110" s="56"/>
      <c r="AG110" s="56"/>
      <c r="AH110" s="37">
        <f t="shared" si="23"/>
        <v>17</v>
      </c>
      <c r="AI110" s="38">
        <v>65</v>
      </c>
      <c r="AJ110" s="30">
        <f t="shared" si="24"/>
        <v>82</v>
      </c>
      <c r="AK110" s="37">
        <f t="shared" si="25"/>
        <v>82</v>
      </c>
      <c r="AL110" s="39">
        <f t="shared" si="26"/>
        <v>1.02</v>
      </c>
      <c r="AM110" s="40"/>
      <c r="AN110" s="41">
        <f t="shared" si="16"/>
        <v>1</v>
      </c>
      <c r="AO110" s="41">
        <f t="shared" si="16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7"/>
        <v>0</v>
      </c>
      <c r="AX110" s="71">
        <f t="shared" si="28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7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8"/>
        <v>15</v>
      </c>
      <c r="V111" s="68">
        <f t="shared" si="19"/>
        <v>15</v>
      </c>
      <c r="W111" s="57"/>
      <c r="X111" s="60"/>
      <c r="Y111" s="45"/>
      <c r="Z111" s="48"/>
      <c r="AA111" s="35"/>
      <c r="AB111" s="36">
        <f t="shared" si="20"/>
        <v>0</v>
      </c>
      <c r="AC111" s="68">
        <f t="shared" si="21"/>
        <v>0</v>
      </c>
      <c r="AD111" s="63">
        <v>2</v>
      </c>
      <c r="AE111" s="32">
        <f t="shared" si="22"/>
        <v>2</v>
      </c>
      <c r="AF111" s="56"/>
      <c r="AG111" s="56"/>
      <c r="AH111" s="37">
        <f t="shared" si="23"/>
        <v>17</v>
      </c>
      <c r="AI111" s="38">
        <v>65</v>
      </c>
      <c r="AJ111" s="30">
        <f t="shared" si="24"/>
        <v>82</v>
      </c>
      <c r="AK111" s="37">
        <f t="shared" si="25"/>
        <v>82</v>
      </c>
      <c r="AL111" s="39">
        <f t="shared" si="26"/>
        <v>1.02</v>
      </c>
      <c r="AM111" s="40"/>
      <c r="AN111" s="41">
        <f t="shared" si="16"/>
        <v>1</v>
      </c>
      <c r="AO111" s="41">
        <f t="shared" si="16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7"/>
        <v>0</v>
      </c>
      <c r="AX111" s="71">
        <f t="shared" si="28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7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8"/>
        <v>15</v>
      </c>
      <c r="V112" s="68">
        <f t="shared" si="19"/>
        <v>15</v>
      </c>
      <c r="W112" s="57"/>
      <c r="X112" s="60"/>
      <c r="Y112" s="45"/>
      <c r="Z112" s="48"/>
      <c r="AA112" s="35"/>
      <c r="AB112" s="36">
        <f t="shared" si="20"/>
        <v>0</v>
      </c>
      <c r="AC112" s="68">
        <f t="shared" si="21"/>
        <v>0</v>
      </c>
      <c r="AD112" s="63">
        <v>2</v>
      </c>
      <c r="AE112" s="32">
        <f t="shared" si="22"/>
        <v>2</v>
      </c>
      <c r="AF112" s="56"/>
      <c r="AG112" s="56"/>
      <c r="AH112" s="37">
        <f t="shared" si="23"/>
        <v>17</v>
      </c>
      <c r="AI112" s="38">
        <v>65</v>
      </c>
      <c r="AJ112" s="30">
        <f t="shared" si="24"/>
        <v>82</v>
      </c>
      <c r="AK112" s="37">
        <f t="shared" si="25"/>
        <v>82</v>
      </c>
      <c r="AL112" s="39">
        <f t="shared" si="26"/>
        <v>1.02</v>
      </c>
      <c r="AM112" s="40"/>
      <c r="AN112" s="41">
        <f t="shared" si="16"/>
        <v>1</v>
      </c>
      <c r="AO112" s="41">
        <f t="shared" si="16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7"/>
        <v>0</v>
      </c>
      <c r="AX112" s="71">
        <f t="shared" si="28"/>
        <v>0</v>
      </c>
    </row>
    <row r="113" spans="1:50" s="1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17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8"/>
        <v>15</v>
      </c>
      <c r="V113" s="68">
        <f t="shared" si="19"/>
        <v>15</v>
      </c>
      <c r="W113" s="57"/>
      <c r="X113" s="60"/>
      <c r="Y113" s="45"/>
      <c r="Z113" s="48"/>
      <c r="AA113" s="35"/>
      <c r="AB113" s="36">
        <f t="shared" si="20"/>
        <v>0</v>
      </c>
      <c r="AC113" s="68">
        <f t="shared" si="21"/>
        <v>0</v>
      </c>
      <c r="AD113" s="63">
        <v>2</v>
      </c>
      <c r="AE113" s="32">
        <f t="shared" si="22"/>
        <v>2</v>
      </c>
      <c r="AF113" s="56"/>
      <c r="AG113" s="56"/>
      <c r="AH113" s="37">
        <f t="shared" si="23"/>
        <v>17</v>
      </c>
      <c r="AI113" s="38">
        <v>65</v>
      </c>
      <c r="AJ113" s="30">
        <f t="shared" si="24"/>
        <v>82</v>
      </c>
      <c r="AK113" s="37">
        <f t="shared" si="25"/>
        <v>82</v>
      </c>
      <c r="AL113" s="39">
        <f t="shared" si="26"/>
        <v>1.02</v>
      </c>
      <c r="AM113" s="40"/>
      <c r="AN113" s="41">
        <f t="shared" si="16"/>
        <v>1</v>
      </c>
      <c r="AO113" s="41">
        <f t="shared" si="16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7"/>
        <v>0</v>
      </c>
      <c r="AX113" s="71">
        <f t="shared" si="28"/>
        <v>0</v>
      </c>
    </row>
    <row r="114" spans="1:50" s="42" customFormat="1" ht="57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17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8"/>
        <v>15</v>
      </c>
      <c r="V114" s="68">
        <f t="shared" si="19"/>
        <v>15</v>
      </c>
      <c r="W114" s="57"/>
      <c r="X114" s="60"/>
      <c r="Y114" s="45"/>
      <c r="Z114" s="48"/>
      <c r="AA114" s="35"/>
      <c r="AB114" s="36">
        <f t="shared" si="20"/>
        <v>0</v>
      </c>
      <c r="AC114" s="68">
        <f t="shared" si="21"/>
        <v>0</v>
      </c>
      <c r="AD114" s="63">
        <v>2</v>
      </c>
      <c r="AE114" s="32">
        <f t="shared" si="22"/>
        <v>2</v>
      </c>
      <c r="AF114" s="56"/>
      <c r="AG114" s="56"/>
      <c r="AH114" s="37">
        <f t="shared" si="23"/>
        <v>17</v>
      </c>
      <c r="AI114" s="38">
        <v>65</v>
      </c>
      <c r="AJ114" s="30">
        <f t="shared" si="24"/>
        <v>82</v>
      </c>
      <c r="AK114" s="37">
        <f t="shared" si="25"/>
        <v>82</v>
      </c>
      <c r="AL114" s="39">
        <f t="shared" si="26"/>
        <v>1.02</v>
      </c>
      <c r="AM114" s="40"/>
      <c r="AN114" s="41">
        <f t="shared" si="16"/>
        <v>1</v>
      </c>
      <c r="AO114" s="41">
        <f t="shared" si="16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7"/>
        <v>0</v>
      </c>
      <c r="AX114" s="71">
        <f t="shared" si="28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17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8"/>
        <v>15</v>
      </c>
      <c r="V115" s="68">
        <f t="shared" si="19"/>
        <v>15</v>
      </c>
      <c r="W115" s="57"/>
      <c r="X115" s="60"/>
      <c r="Y115" s="45"/>
      <c r="Z115" s="48"/>
      <c r="AA115" s="35"/>
      <c r="AB115" s="36">
        <f t="shared" si="20"/>
        <v>0</v>
      </c>
      <c r="AC115" s="68">
        <f t="shared" si="21"/>
        <v>0</v>
      </c>
      <c r="AD115" s="63">
        <v>2</v>
      </c>
      <c r="AE115" s="32">
        <f t="shared" si="22"/>
        <v>2</v>
      </c>
      <c r="AF115" s="56"/>
      <c r="AG115" s="56"/>
      <c r="AH115" s="37">
        <f t="shared" si="23"/>
        <v>17</v>
      </c>
      <c r="AI115" s="38">
        <v>65</v>
      </c>
      <c r="AJ115" s="30">
        <f t="shared" si="24"/>
        <v>82</v>
      </c>
      <c r="AK115" s="37">
        <f t="shared" si="25"/>
        <v>82</v>
      </c>
      <c r="AL115" s="39">
        <f t="shared" si="26"/>
        <v>1.02</v>
      </c>
      <c r="AM115" s="40"/>
      <c r="AN115" s="41">
        <f t="shared" si="16"/>
        <v>1</v>
      </c>
      <c r="AO115" s="41">
        <f t="shared" si="16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7"/>
        <v>0</v>
      </c>
      <c r="AX115" s="71">
        <f t="shared" si="28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17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8"/>
        <v>15</v>
      </c>
      <c r="V116" s="68">
        <f t="shared" si="19"/>
        <v>15</v>
      </c>
      <c r="W116" s="57"/>
      <c r="X116" s="60"/>
      <c r="Y116" s="45"/>
      <c r="Z116" s="48"/>
      <c r="AA116" s="35"/>
      <c r="AB116" s="36">
        <f t="shared" si="20"/>
        <v>0</v>
      </c>
      <c r="AC116" s="68">
        <f t="shared" si="21"/>
        <v>0</v>
      </c>
      <c r="AD116" s="63">
        <v>2</v>
      </c>
      <c r="AE116" s="32">
        <f t="shared" si="22"/>
        <v>2</v>
      </c>
      <c r="AF116" s="56"/>
      <c r="AG116" s="56"/>
      <c r="AH116" s="37">
        <f t="shared" si="23"/>
        <v>17</v>
      </c>
      <c r="AI116" s="38">
        <v>65</v>
      </c>
      <c r="AJ116" s="30">
        <f t="shared" si="24"/>
        <v>82</v>
      </c>
      <c r="AK116" s="37">
        <f t="shared" si="25"/>
        <v>82</v>
      </c>
      <c r="AL116" s="39">
        <f t="shared" si="26"/>
        <v>1.02</v>
      </c>
      <c r="AM116" s="40"/>
      <c r="AN116" s="41">
        <f t="shared" si="16"/>
        <v>1</v>
      </c>
      <c r="AO116" s="41">
        <f t="shared" si="16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7"/>
        <v>0</v>
      </c>
      <c r="AX116" s="71">
        <f t="shared" si="28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17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8"/>
        <v>15</v>
      </c>
      <c r="V117" s="68">
        <f t="shared" si="19"/>
        <v>15</v>
      </c>
      <c r="W117" s="57"/>
      <c r="X117" s="60"/>
      <c r="Y117" s="45"/>
      <c r="Z117" s="48"/>
      <c r="AA117" s="35"/>
      <c r="AB117" s="36">
        <f t="shared" si="20"/>
        <v>0</v>
      </c>
      <c r="AC117" s="68">
        <f t="shared" si="21"/>
        <v>0</v>
      </c>
      <c r="AD117" s="63">
        <v>2</v>
      </c>
      <c r="AE117" s="32">
        <f t="shared" si="22"/>
        <v>2</v>
      </c>
      <c r="AF117" s="56"/>
      <c r="AG117" s="56"/>
      <c r="AH117" s="37">
        <f t="shared" si="23"/>
        <v>17</v>
      </c>
      <c r="AI117" s="38">
        <v>65</v>
      </c>
      <c r="AJ117" s="30">
        <f t="shared" si="24"/>
        <v>82</v>
      </c>
      <c r="AK117" s="37">
        <f t="shared" si="25"/>
        <v>82</v>
      </c>
      <c r="AL117" s="39">
        <f t="shared" si="26"/>
        <v>1.02</v>
      </c>
      <c r="AM117" s="40"/>
      <c r="AN117" s="41">
        <f t="shared" si="16"/>
        <v>1</v>
      </c>
      <c r="AO117" s="41">
        <f t="shared" si="16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7"/>
        <v>0</v>
      </c>
      <c r="AX117" s="71">
        <f t="shared" si="28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17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8"/>
        <v>15</v>
      </c>
      <c r="V118" s="68">
        <f t="shared" si="19"/>
        <v>15</v>
      </c>
      <c r="W118" s="57"/>
      <c r="X118" s="60"/>
      <c r="Y118" s="45"/>
      <c r="Z118" s="48"/>
      <c r="AA118" s="35"/>
      <c r="AB118" s="36">
        <f t="shared" si="20"/>
        <v>0</v>
      </c>
      <c r="AC118" s="68">
        <f t="shared" si="21"/>
        <v>0</v>
      </c>
      <c r="AD118" s="63">
        <v>2</v>
      </c>
      <c r="AE118" s="32">
        <f t="shared" si="22"/>
        <v>2</v>
      </c>
      <c r="AF118" s="56"/>
      <c r="AG118" s="56"/>
      <c r="AH118" s="37">
        <f t="shared" si="23"/>
        <v>17</v>
      </c>
      <c r="AI118" s="38">
        <v>65</v>
      </c>
      <c r="AJ118" s="30">
        <f t="shared" si="24"/>
        <v>82</v>
      </c>
      <c r="AK118" s="37">
        <f t="shared" si="25"/>
        <v>82</v>
      </c>
      <c r="AL118" s="39">
        <f t="shared" si="26"/>
        <v>1.02</v>
      </c>
      <c r="AM118" s="40"/>
      <c r="AN118" s="41">
        <f t="shared" si="16"/>
        <v>1</v>
      </c>
      <c r="AO118" s="41">
        <f t="shared" si="16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7"/>
        <v>0</v>
      </c>
      <c r="AX118" s="71">
        <f t="shared" si="28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17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8"/>
        <v>15</v>
      </c>
      <c r="V119" s="68">
        <f t="shared" si="19"/>
        <v>15</v>
      </c>
      <c r="W119" s="57"/>
      <c r="X119" s="60"/>
      <c r="Y119" s="45"/>
      <c r="Z119" s="48"/>
      <c r="AA119" s="35"/>
      <c r="AB119" s="36">
        <f t="shared" si="20"/>
        <v>0</v>
      </c>
      <c r="AC119" s="68">
        <f t="shared" si="21"/>
        <v>0</v>
      </c>
      <c r="AD119" s="63">
        <v>2</v>
      </c>
      <c r="AE119" s="32">
        <f t="shared" si="22"/>
        <v>2</v>
      </c>
      <c r="AF119" s="56"/>
      <c r="AG119" s="56"/>
      <c r="AH119" s="37">
        <f t="shared" si="23"/>
        <v>17</v>
      </c>
      <c r="AI119" s="38">
        <v>65</v>
      </c>
      <c r="AJ119" s="30">
        <f t="shared" si="24"/>
        <v>82</v>
      </c>
      <c r="AK119" s="37">
        <f t="shared" si="25"/>
        <v>82</v>
      </c>
      <c r="AL119" s="39">
        <f t="shared" si="26"/>
        <v>1.02</v>
      </c>
      <c r="AM119" s="40"/>
      <c r="AN119" s="41">
        <f t="shared" si="16"/>
        <v>1</v>
      </c>
      <c r="AO119" s="41">
        <f t="shared" si="16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7"/>
        <v>0</v>
      </c>
      <c r="AX119" s="71">
        <f t="shared" si="28"/>
        <v>0</v>
      </c>
    </row>
    <row r="120" spans="1:50" s="42" customFormat="1" ht="53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17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8"/>
        <v>15</v>
      </c>
      <c r="V120" s="68">
        <f t="shared" si="19"/>
        <v>15</v>
      </c>
      <c r="W120" s="57"/>
      <c r="X120" s="60"/>
      <c r="Y120" s="45"/>
      <c r="Z120" s="48"/>
      <c r="AA120" s="35"/>
      <c r="AB120" s="36">
        <f t="shared" si="20"/>
        <v>0</v>
      </c>
      <c r="AC120" s="68">
        <f t="shared" si="21"/>
        <v>0</v>
      </c>
      <c r="AD120" s="63">
        <v>2</v>
      </c>
      <c r="AE120" s="32">
        <f t="shared" si="22"/>
        <v>2</v>
      </c>
      <c r="AF120" s="56"/>
      <c r="AG120" s="56"/>
      <c r="AH120" s="37">
        <f t="shared" si="23"/>
        <v>17</v>
      </c>
      <c r="AI120" s="38">
        <v>65</v>
      </c>
      <c r="AJ120" s="30">
        <f t="shared" si="24"/>
        <v>82</v>
      </c>
      <c r="AK120" s="37">
        <f t="shared" si="25"/>
        <v>82</v>
      </c>
      <c r="AL120" s="39">
        <f t="shared" si="26"/>
        <v>1.02</v>
      </c>
      <c r="AM120" s="40"/>
      <c r="AN120" s="41">
        <f t="shared" si="16"/>
        <v>1</v>
      </c>
      <c r="AO120" s="41">
        <f t="shared" si="16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7"/>
        <v>0</v>
      </c>
      <c r="AX120" s="71">
        <f t="shared" si="28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17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8"/>
        <v>15</v>
      </c>
      <c r="V121" s="68">
        <f t="shared" si="19"/>
        <v>15</v>
      </c>
      <c r="W121" s="57"/>
      <c r="X121" s="60"/>
      <c r="Y121" s="45"/>
      <c r="Z121" s="48"/>
      <c r="AA121" s="35"/>
      <c r="AB121" s="36">
        <f t="shared" si="20"/>
        <v>0</v>
      </c>
      <c r="AC121" s="68">
        <f t="shared" si="21"/>
        <v>0</v>
      </c>
      <c r="AD121" s="63">
        <v>2</v>
      </c>
      <c r="AE121" s="32">
        <f t="shared" si="22"/>
        <v>2</v>
      </c>
      <c r="AF121" s="56"/>
      <c r="AG121" s="56"/>
      <c r="AH121" s="37">
        <f t="shared" si="23"/>
        <v>17</v>
      </c>
      <c r="AI121" s="38">
        <v>65</v>
      </c>
      <c r="AJ121" s="30">
        <f t="shared" si="24"/>
        <v>82</v>
      </c>
      <c r="AK121" s="37">
        <f t="shared" si="25"/>
        <v>82</v>
      </c>
      <c r="AL121" s="39">
        <f t="shared" si="26"/>
        <v>1.02</v>
      </c>
      <c r="AM121" s="40"/>
      <c r="AN121" s="41">
        <f t="shared" si="16"/>
        <v>1</v>
      </c>
      <c r="AO121" s="41">
        <f t="shared" si="16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7"/>
        <v>0</v>
      </c>
      <c r="AX121" s="71">
        <f t="shared" si="28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17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8"/>
        <v>15</v>
      </c>
      <c r="V122" s="68">
        <f t="shared" si="19"/>
        <v>15</v>
      </c>
      <c r="W122" s="57"/>
      <c r="X122" s="60"/>
      <c r="Y122" s="45"/>
      <c r="Z122" s="48"/>
      <c r="AA122" s="35"/>
      <c r="AB122" s="36">
        <f t="shared" si="20"/>
        <v>0</v>
      </c>
      <c r="AC122" s="68">
        <f t="shared" si="21"/>
        <v>0</v>
      </c>
      <c r="AD122" s="63">
        <v>2</v>
      </c>
      <c r="AE122" s="32">
        <f t="shared" si="22"/>
        <v>2</v>
      </c>
      <c r="AF122" s="56"/>
      <c r="AG122" s="56"/>
      <c r="AH122" s="37">
        <f t="shared" si="23"/>
        <v>17</v>
      </c>
      <c r="AI122" s="38">
        <v>65</v>
      </c>
      <c r="AJ122" s="30">
        <f t="shared" si="24"/>
        <v>82</v>
      </c>
      <c r="AK122" s="37">
        <f t="shared" si="25"/>
        <v>82</v>
      </c>
      <c r="AL122" s="39">
        <f t="shared" si="26"/>
        <v>1.02</v>
      </c>
      <c r="AM122" s="40"/>
      <c r="AN122" s="41">
        <f t="shared" si="16"/>
        <v>1</v>
      </c>
      <c r="AO122" s="41">
        <f t="shared" si="16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7"/>
        <v>0</v>
      </c>
      <c r="AX122" s="71">
        <f t="shared" si="28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17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8"/>
        <v>15</v>
      </c>
      <c r="V123" s="68">
        <f t="shared" si="19"/>
        <v>15</v>
      </c>
      <c r="W123" s="57"/>
      <c r="X123" s="60"/>
      <c r="Y123" s="45"/>
      <c r="Z123" s="48"/>
      <c r="AA123" s="35"/>
      <c r="AB123" s="36">
        <f t="shared" si="20"/>
        <v>0</v>
      </c>
      <c r="AC123" s="68">
        <f t="shared" si="21"/>
        <v>0</v>
      </c>
      <c r="AD123" s="63">
        <v>2</v>
      </c>
      <c r="AE123" s="32">
        <f t="shared" si="22"/>
        <v>2</v>
      </c>
      <c r="AF123" s="56"/>
      <c r="AG123" s="56"/>
      <c r="AH123" s="37">
        <f t="shared" si="23"/>
        <v>17</v>
      </c>
      <c r="AI123" s="38">
        <v>65</v>
      </c>
      <c r="AJ123" s="30">
        <f t="shared" si="24"/>
        <v>82</v>
      </c>
      <c r="AK123" s="37">
        <f t="shared" si="25"/>
        <v>82</v>
      </c>
      <c r="AL123" s="39">
        <f t="shared" si="26"/>
        <v>1.02</v>
      </c>
      <c r="AM123" s="40"/>
      <c r="AN123" s="41">
        <f t="shared" ref="AN123:AO142" si="29">100%+AM123</f>
        <v>1</v>
      </c>
      <c r="AO123" s="41">
        <f t="shared" si="29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7"/>
        <v>0</v>
      </c>
      <c r="AX123" s="71">
        <f t="shared" si="28"/>
        <v>0</v>
      </c>
    </row>
    <row r="124" spans="1:50" s="1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17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8"/>
        <v>15</v>
      </c>
      <c r="V124" s="68">
        <f t="shared" si="19"/>
        <v>15</v>
      </c>
      <c r="W124" s="57"/>
      <c r="X124" s="60"/>
      <c r="Y124" s="45"/>
      <c r="Z124" s="48"/>
      <c r="AA124" s="35"/>
      <c r="AB124" s="36">
        <f t="shared" si="20"/>
        <v>0</v>
      </c>
      <c r="AC124" s="68">
        <f t="shared" si="21"/>
        <v>0</v>
      </c>
      <c r="AD124" s="63">
        <v>2</v>
      </c>
      <c r="AE124" s="32">
        <f t="shared" si="22"/>
        <v>2</v>
      </c>
      <c r="AF124" s="56"/>
      <c r="AG124" s="56"/>
      <c r="AH124" s="37">
        <f t="shared" si="23"/>
        <v>17</v>
      </c>
      <c r="AI124" s="38">
        <v>65</v>
      </c>
      <c r="AJ124" s="30">
        <f t="shared" si="24"/>
        <v>82</v>
      </c>
      <c r="AK124" s="37">
        <f t="shared" si="25"/>
        <v>82</v>
      </c>
      <c r="AL124" s="39">
        <f t="shared" si="26"/>
        <v>1.02</v>
      </c>
      <c r="AM124" s="40"/>
      <c r="AN124" s="41">
        <f t="shared" si="29"/>
        <v>1</v>
      </c>
      <c r="AO124" s="41">
        <f t="shared" si="29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7"/>
        <v>0</v>
      </c>
      <c r="AX124" s="71">
        <f t="shared" si="28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17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8"/>
        <v>15</v>
      </c>
      <c r="V125" s="68">
        <f t="shared" si="19"/>
        <v>15</v>
      </c>
      <c r="W125" s="57"/>
      <c r="X125" s="60"/>
      <c r="Y125" s="45"/>
      <c r="Z125" s="48"/>
      <c r="AA125" s="35"/>
      <c r="AB125" s="36">
        <f t="shared" si="20"/>
        <v>0</v>
      </c>
      <c r="AC125" s="68">
        <f t="shared" si="21"/>
        <v>0</v>
      </c>
      <c r="AD125" s="63">
        <v>2</v>
      </c>
      <c r="AE125" s="32">
        <f t="shared" si="22"/>
        <v>2</v>
      </c>
      <c r="AF125" s="56"/>
      <c r="AG125" s="56"/>
      <c r="AH125" s="37">
        <f t="shared" si="23"/>
        <v>17</v>
      </c>
      <c r="AI125" s="38">
        <v>65</v>
      </c>
      <c r="AJ125" s="30">
        <f t="shared" si="24"/>
        <v>82</v>
      </c>
      <c r="AK125" s="37">
        <f t="shared" si="25"/>
        <v>82</v>
      </c>
      <c r="AL125" s="39">
        <f t="shared" si="26"/>
        <v>1.02</v>
      </c>
      <c r="AM125" s="40"/>
      <c r="AN125" s="41">
        <f t="shared" si="29"/>
        <v>1</v>
      </c>
      <c r="AO125" s="41">
        <f t="shared" si="29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7"/>
        <v>0</v>
      </c>
      <c r="AX125" s="71">
        <f t="shared" si="28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17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8"/>
        <v>15</v>
      </c>
      <c r="V126" s="68">
        <f t="shared" si="19"/>
        <v>15</v>
      </c>
      <c r="W126" s="57"/>
      <c r="X126" s="60"/>
      <c r="Y126" s="45"/>
      <c r="Z126" s="48"/>
      <c r="AA126" s="35"/>
      <c r="AB126" s="36">
        <f t="shared" si="20"/>
        <v>0</v>
      </c>
      <c r="AC126" s="68">
        <f t="shared" si="21"/>
        <v>0</v>
      </c>
      <c r="AD126" s="63">
        <v>2</v>
      </c>
      <c r="AE126" s="32">
        <f t="shared" si="22"/>
        <v>2</v>
      </c>
      <c r="AF126" s="56"/>
      <c r="AG126" s="56"/>
      <c r="AH126" s="37">
        <f t="shared" si="23"/>
        <v>17</v>
      </c>
      <c r="AI126" s="38">
        <v>65</v>
      </c>
      <c r="AJ126" s="30">
        <f t="shared" si="24"/>
        <v>82</v>
      </c>
      <c r="AK126" s="37">
        <f t="shared" si="25"/>
        <v>82</v>
      </c>
      <c r="AL126" s="39">
        <f t="shared" si="26"/>
        <v>1.02</v>
      </c>
      <c r="AM126" s="40"/>
      <c r="AN126" s="41">
        <f t="shared" si="29"/>
        <v>1</v>
      </c>
      <c r="AO126" s="41">
        <f t="shared" si="29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7"/>
        <v>0</v>
      </c>
      <c r="AX126" s="71">
        <f t="shared" si="28"/>
        <v>0</v>
      </c>
    </row>
    <row r="127" spans="1:50" s="1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17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8"/>
        <v>15</v>
      </c>
      <c r="V127" s="68">
        <f t="shared" si="19"/>
        <v>15</v>
      </c>
      <c r="W127" s="57"/>
      <c r="X127" s="60"/>
      <c r="Y127" s="45"/>
      <c r="Z127" s="48"/>
      <c r="AA127" s="35"/>
      <c r="AB127" s="36">
        <f t="shared" si="20"/>
        <v>0</v>
      </c>
      <c r="AC127" s="68">
        <f t="shared" si="21"/>
        <v>0</v>
      </c>
      <c r="AD127" s="63">
        <v>2</v>
      </c>
      <c r="AE127" s="32">
        <f t="shared" si="22"/>
        <v>2</v>
      </c>
      <c r="AF127" s="56"/>
      <c r="AG127" s="56"/>
      <c r="AH127" s="37">
        <f t="shared" si="23"/>
        <v>17</v>
      </c>
      <c r="AI127" s="38">
        <v>65</v>
      </c>
      <c r="AJ127" s="30">
        <f t="shared" si="24"/>
        <v>82</v>
      </c>
      <c r="AK127" s="37">
        <f t="shared" si="25"/>
        <v>82</v>
      </c>
      <c r="AL127" s="39">
        <f t="shared" si="26"/>
        <v>1.02</v>
      </c>
      <c r="AM127" s="40"/>
      <c r="AN127" s="41">
        <f t="shared" si="29"/>
        <v>1</v>
      </c>
      <c r="AO127" s="41">
        <f t="shared" si="29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7"/>
        <v>0</v>
      </c>
      <c r="AX127" s="71">
        <f t="shared" si="28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17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8"/>
        <v>15</v>
      </c>
      <c r="V128" s="68">
        <f t="shared" si="19"/>
        <v>15</v>
      </c>
      <c r="W128" s="57"/>
      <c r="X128" s="60"/>
      <c r="Y128" s="45"/>
      <c r="Z128" s="48"/>
      <c r="AA128" s="35"/>
      <c r="AB128" s="36">
        <f t="shared" si="20"/>
        <v>0</v>
      </c>
      <c r="AC128" s="68">
        <f t="shared" si="21"/>
        <v>0</v>
      </c>
      <c r="AD128" s="63">
        <v>2</v>
      </c>
      <c r="AE128" s="32">
        <f t="shared" si="22"/>
        <v>2</v>
      </c>
      <c r="AF128" s="56"/>
      <c r="AG128" s="56"/>
      <c r="AH128" s="37">
        <f t="shared" si="23"/>
        <v>17</v>
      </c>
      <c r="AI128" s="38">
        <v>65</v>
      </c>
      <c r="AJ128" s="30">
        <f t="shared" si="24"/>
        <v>82</v>
      </c>
      <c r="AK128" s="37">
        <f t="shared" si="25"/>
        <v>82</v>
      </c>
      <c r="AL128" s="39">
        <f t="shared" si="26"/>
        <v>1.02</v>
      </c>
      <c r="AM128" s="40"/>
      <c r="AN128" s="41">
        <f t="shared" si="29"/>
        <v>1</v>
      </c>
      <c r="AO128" s="41">
        <f t="shared" si="29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7"/>
        <v>0</v>
      </c>
      <c r="AX128" s="71">
        <f t="shared" si="28"/>
        <v>0</v>
      </c>
    </row>
    <row r="129" spans="1:50" s="4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17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8"/>
        <v>15</v>
      </c>
      <c r="V129" s="68">
        <f t="shared" si="19"/>
        <v>15</v>
      </c>
      <c r="W129" s="57"/>
      <c r="X129" s="60"/>
      <c r="Y129" s="45"/>
      <c r="Z129" s="48"/>
      <c r="AA129" s="35"/>
      <c r="AB129" s="36">
        <f t="shared" si="20"/>
        <v>0</v>
      </c>
      <c r="AC129" s="68">
        <f t="shared" si="21"/>
        <v>0</v>
      </c>
      <c r="AD129" s="63">
        <v>2</v>
      </c>
      <c r="AE129" s="32">
        <f t="shared" si="22"/>
        <v>2</v>
      </c>
      <c r="AF129" s="56"/>
      <c r="AG129" s="56"/>
      <c r="AH129" s="37">
        <f t="shared" si="23"/>
        <v>17</v>
      </c>
      <c r="AI129" s="38">
        <v>65</v>
      </c>
      <c r="AJ129" s="30">
        <f t="shared" si="24"/>
        <v>82</v>
      </c>
      <c r="AK129" s="37">
        <f t="shared" si="25"/>
        <v>82</v>
      </c>
      <c r="AL129" s="39">
        <f t="shared" si="26"/>
        <v>1.02</v>
      </c>
      <c r="AM129" s="40"/>
      <c r="AN129" s="41">
        <f t="shared" si="29"/>
        <v>1</v>
      </c>
      <c r="AO129" s="41">
        <f t="shared" si="29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7"/>
        <v>0</v>
      </c>
      <c r="AX129" s="71">
        <f t="shared" si="28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17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8"/>
        <v>15</v>
      </c>
      <c r="V130" s="68">
        <f t="shared" si="19"/>
        <v>15</v>
      </c>
      <c r="W130" s="57"/>
      <c r="X130" s="60"/>
      <c r="Y130" s="45"/>
      <c r="Z130" s="48"/>
      <c r="AA130" s="35"/>
      <c r="AB130" s="36">
        <f t="shared" si="20"/>
        <v>0</v>
      </c>
      <c r="AC130" s="68">
        <f t="shared" si="21"/>
        <v>0</v>
      </c>
      <c r="AD130" s="63">
        <v>2</v>
      </c>
      <c r="AE130" s="32">
        <f t="shared" si="22"/>
        <v>2</v>
      </c>
      <c r="AF130" s="56"/>
      <c r="AG130" s="56"/>
      <c r="AH130" s="37">
        <f t="shared" si="23"/>
        <v>17</v>
      </c>
      <c r="AI130" s="38">
        <v>65</v>
      </c>
      <c r="AJ130" s="30">
        <f t="shared" si="24"/>
        <v>82</v>
      </c>
      <c r="AK130" s="37">
        <f t="shared" si="25"/>
        <v>82</v>
      </c>
      <c r="AL130" s="39">
        <f t="shared" si="26"/>
        <v>1.02</v>
      </c>
      <c r="AM130" s="40"/>
      <c r="AN130" s="41">
        <f t="shared" si="29"/>
        <v>1</v>
      </c>
      <c r="AO130" s="41">
        <f t="shared" si="29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7"/>
        <v>0</v>
      </c>
      <c r="AX130" s="71">
        <f t="shared" si="28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17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8"/>
        <v>15</v>
      </c>
      <c r="V131" s="68">
        <f t="shared" si="19"/>
        <v>15</v>
      </c>
      <c r="W131" s="57"/>
      <c r="X131" s="60"/>
      <c r="Y131" s="45"/>
      <c r="Z131" s="48"/>
      <c r="AA131" s="35"/>
      <c r="AB131" s="36">
        <f t="shared" si="20"/>
        <v>0</v>
      </c>
      <c r="AC131" s="68">
        <f t="shared" si="21"/>
        <v>0</v>
      </c>
      <c r="AD131" s="63">
        <v>2</v>
      </c>
      <c r="AE131" s="32">
        <f t="shared" si="22"/>
        <v>2</v>
      </c>
      <c r="AF131" s="56"/>
      <c r="AG131" s="56"/>
      <c r="AH131" s="37">
        <f t="shared" si="23"/>
        <v>17</v>
      </c>
      <c r="AI131" s="38">
        <v>65</v>
      </c>
      <c r="AJ131" s="30">
        <f t="shared" si="24"/>
        <v>82</v>
      </c>
      <c r="AK131" s="37">
        <f t="shared" si="25"/>
        <v>82</v>
      </c>
      <c r="AL131" s="39">
        <f t="shared" si="26"/>
        <v>1.02</v>
      </c>
      <c r="AM131" s="40"/>
      <c r="AN131" s="41">
        <f t="shared" si="29"/>
        <v>1</v>
      </c>
      <c r="AO131" s="41">
        <f t="shared" si="29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7"/>
        <v>0</v>
      </c>
      <c r="AX131" s="71">
        <f t="shared" si="28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17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8"/>
        <v>15</v>
      </c>
      <c r="V132" s="68">
        <f t="shared" si="19"/>
        <v>15</v>
      </c>
      <c r="W132" s="57"/>
      <c r="X132" s="60"/>
      <c r="Y132" s="45"/>
      <c r="Z132" s="48"/>
      <c r="AA132" s="35"/>
      <c r="AB132" s="36">
        <f t="shared" si="20"/>
        <v>0</v>
      </c>
      <c r="AC132" s="68">
        <f t="shared" si="21"/>
        <v>0</v>
      </c>
      <c r="AD132" s="63">
        <v>2</v>
      </c>
      <c r="AE132" s="32">
        <f t="shared" si="22"/>
        <v>2</v>
      </c>
      <c r="AF132" s="56"/>
      <c r="AG132" s="56"/>
      <c r="AH132" s="37">
        <f t="shared" si="23"/>
        <v>17</v>
      </c>
      <c r="AI132" s="38">
        <v>65</v>
      </c>
      <c r="AJ132" s="30">
        <f t="shared" si="24"/>
        <v>82</v>
      </c>
      <c r="AK132" s="37">
        <f t="shared" si="25"/>
        <v>82</v>
      </c>
      <c r="AL132" s="39">
        <f t="shared" si="26"/>
        <v>1.02</v>
      </c>
      <c r="AM132" s="40"/>
      <c r="AN132" s="41">
        <f t="shared" si="29"/>
        <v>1</v>
      </c>
      <c r="AO132" s="41">
        <f t="shared" si="29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7"/>
        <v>0</v>
      </c>
      <c r="AX132" s="71">
        <f t="shared" si="28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17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8"/>
        <v>15</v>
      </c>
      <c r="V133" s="68">
        <f t="shared" si="19"/>
        <v>15</v>
      </c>
      <c r="W133" s="57"/>
      <c r="X133" s="60"/>
      <c r="Y133" s="45"/>
      <c r="Z133" s="48"/>
      <c r="AA133" s="35"/>
      <c r="AB133" s="36">
        <f t="shared" si="20"/>
        <v>0</v>
      </c>
      <c r="AC133" s="68">
        <f t="shared" si="21"/>
        <v>0</v>
      </c>
      <c r="AD133" s="63">
        <v>2</v>
      </c>
      <c r="AE133" s="32">
        <f t="shared" si="22"/>
        <v>2</v>
      </c>
      <c r="AF133" s="56"/>
      <c r="AG133" s="56"/>
      <c r="AH133" s="37">
        <f t="shared" si="23"/>
        <v>17</v>
      </c>
      <c r="AI133" s="38">
        <v>65</v>
      </c>
      <c r="AJ133" s="30">
        <f t="shared" si="24"/>
        <v>82</v>
      </c>
      <c r="AK133" s="37">
        <f t="shared" si="25"/>
        <v>82</v>
      </c>
      <c r="AL133" s="39">
        <f t="shared" si="26"/>
        <v>1.02</v>
      </c>
      <c r="AM133" s="40"/>
      <c r="AN133" s="41">
        <f t="shared" si="29"/>
        <v>1</v>
      </c>
      <c r="AO133" s="41">
        <f t="shared" si="29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7"/>
        <v>0</v>
      </c>
      <c r="AX133" s="71">
        <f t="shared" si="28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17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8"/>
        <v>15</v>
      </c>
      <c r="V134" s="68">
        <f t="shared" si="19"/>
        <v>15</v>
      </c>
      <c r="W134" s="57"/>
      <c r="X134" s="60"/>
      <c r="Y134" s="45"/>
      <c r="Z134" s="48"/>
      <c r="AA134" s="35"/>
      <c r="AB134" s="36">
        <f t="shared" si="20"/>
        <v>0</v>
      </c>
      <c r="AC134" s="68">
        <f t="shared" si="21"/>
        <v>0</v>
      </c>
      <c r="AD134" s="63">
        <v>2</v>
      </c>
      <c r="AE134" s="32">
        <f t="shared" si="22"/>
        <v>2</v>
      </c>
      <c r="AF134" s="56"/>
      <c r="AG134" s="56"/>
      <c r="AH134" s="37">
        <f t="shared" si="23"/>
        <v>17</v>
      </c>
      <c r="AI134" s="38">
        <v>65</v>
      </c>
      <c r="AJ134" s="30">
        <f t="shared" si="24"/>
        <v>82</v>
      </c>
      <c r="AK134" s="37">
        <f t="shared" si="25"/>
        <v>82</v>
      </c>
      <c r="AL134" s="39">
        <f t="shared" si="26"/>
        <v>1.02</v>
      </c>
      <c r="AM134" s="40"/>
      <c r="AN134" s="41">
        <f t="shared" si="29"/>
        <v>1</v>
      </c>
      <c r="AO134" s="41">
        <f t="shared" si="29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7"/>
        <v>0</v>
      </c>
      <c r="AX134" s="71">
        <f t="shared" si="28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17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8"/>
        <v>15</v>
      </c>
      <c r="V135" s="68">
        <f t="shared" si="19"/>
        <v>15</v>
      </c>
      <c r="W135" s="57"/>
      <c r="X135" s="60"/>
      <c r="Y135" s="45"/>
      <c r="Z135" s="48"/>
      <c r="AA135" s="35"/>
      <c r="AB135" s="36">
        <f t="shared" si="20"/>
        <v>0</v>
      </c>
      <c r="AC135" s="68">
        <f t="shared" si="21"/>
        <v>0</v>
      </c>
      <c r="AD135" s="63">
        <v>2</v>
      </c>
      <c r="AE135" s="32">
        <f t="shared" si="22"/>
        <v>2</v>
      </c>
      <c r="AF135" s="56"/>
      <c r="AG135" s="56"/>
      <c r="AH135" s="37">
        <f t="shared" si="23"/>
        <v>17</v>
      </c>
      <c r="AI135" s="38">
        <v>65</v>
      </c>
      <c r="AJ135" s="30">
        <f t="shared" si="24"/>
        <v>82</v>
      </c>
      <c r="AK135" s="37">
        <f t="shared" si="25"/>
        <v>82</v>
      </c>
      <c r="AL135" s="39">
        <f t="shared" si="26"/>
        <v>1.02</v>
      </c>
      <c r="AM135" s="40"/>
      <c r="AN135" s="41">
        <f t="shared" si="29"/>
        <v>1</v>
      </c>
      <c r="AO135" s="41">
        <f t="shared" si="29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7"/>
        <v>0</v>
      </c>
      <c r="AX135" s="71">
        <f t="shared" si="28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17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8"/>
        <v>15</v>
      </c>
      <c r="V136" s="68">
        <f t="shared" si="19"/>
        <v>15</v>
      </c>
      <c r="W136" s="57"/>
      <c r="X136" s="60"/>
      <c r="Y136" s="45"/>
      <c r="Z136" s="48"/>
      <c r="AA136" s="35"/>
      <c r="AB136" s="36">
        <f t="shared" si="20"/>
        <v>0</v>
      </c>
      <c r="AC136" s="68">
        <f t="shared" si="21"/>
        <v>0</v>
      </c>
      <c r="AD136" s="63">
        <v>2</v>
      </c>
      <c r="AE136" s="32">
        <f t="shared" si="22"/>
        <v>2</v>
      </c>
      <c r="AF136" s="56"/>
      <c r="AG136" s="56"/>
      <c r="AH136" s="37">
        <f t="shared" si="23"/>
        <v>17</v>
      </c>
      <c r="AI136" s="38">
        <v>65</v>
      </c>
      <c r="AJ136" s="30">
        <f t="shared" si="24"/>
        <v>82</v>
      </c>
      <c r="AK136" s="37">
        <f t="shared" si="25"/>
        <v>82</v>
      </c>
      <c r="AL136" s="39">
        <f t="shared" si="26"/>
        <v>1.02</v>
      </c>
      <c r="AM136" s="40"/>
      <c r="AN136" s="41">
        <f t="shared" si="29"/>
        <v>1</v>
      </c>
      <c r="AO136" s="41">
        <f t="shared" si="29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7"/>
        <v>0</v>
      </c>
      <c r="AX136" s="71">
        <f t="shared" si="28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17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8"/>
        <v>15</v>
      </c>
      <c r="V137" s="68">
        <f t="shared" si="19"/>
        <v>15</v>
      </c>
      <c r="W137" s="57"/>
      <c r="X137" s="60"/>
      <c r="Y137" s="45"/>
      <c r="Z137" s="48"/>
      <c r="AA137" s="35"/>
      <c r="AB137" s="36">
        <f t="shared" si="20"/>
        <v>0</v>
      </c>
      <c r="AC137" s="68">
        <f t="shared" si="21"/>
        <v>0</v>
      </c>
      <c r="AD137" s="63">
        <v>2</v>
      </c>
      <c r="AE137" s="32">
        <f t="shared" si="22"/>
        <v>2</v>
      </c>
      <c r="AF137" s="56"/>
      <c r="AG137" s="56"/>
      <c r="AH137" s="37">
        <f t="shared" si="23"/>
        <v>17</v>
      </c>
      <c r="AI137" s="38">
        <v>65</v>
      </c>
      <c r="AJ137" s="30">
        <f t="shared" si="24"/>
        <v>82</v>
      </c>
      <c r="AK137" s="37">
        <f t="shared" si="25"/>
        <v>82</v>
      </c>
      <c r="AL137" s="39">
        <f t="shared" si="26"/>
        <v>1.02</v>
      </c>
      <c r="AM137" s="40"/>
      <c r="AN137" s="41">
        <f t="shared" si="29"/>
        <v>1</v>
      </c>
      <c r="AO137" s="41">
        <f t="shared" si="29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7"/>
        <v>0</v>
      </c>
      <c r="AX137" s="71">
        <f t="shared" si="28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17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8"/>
        <v>15</v>
      </c>
      <c r="V138" s="68">
        <f t="shared" si="19"/>
        <v>15</v>
      </c>
      <c r="W138" s="57"/>
      <c r="X138" s="60"/>
      <c r="Y138" s="45"/>
      <c r="Z138" s="48"/>
      <c r="AA138" s="35"/>
      <c r="AB138" s="36">
        <f t="shared" si="20"/>
        <v>0</v>
      </c>
      <c r="AC138" s="68">
        <f t="shared" si="21"/>
        <v>0</v>
      </c>
      <c r="AD138" s="63">
        <v>2</v>
      </c>
      <c r="AE138" s="32">
        <f t="shared" si="22"/>
        <v>2</v>
      </c>
      <c r="AF138" s="56"/>
      <c r="AG138" s="56"/>
      <c r="AH138" s="37">
        <f t="shared" si="23"/>
        <v>17</v>
      </c>
      <c r="AI138" s="38">
        <v>65</v>
      </c>
      <c r="AJ138" s="30">
        <f t="shared" si="24"/>
        <v>82</v>
      </c>
      <c r="AK138" s="37">
        <f t="shared" si="25"/>
        <v>82</v>
      </c>
      <c r="AL138" s="39">
        <f t="shared" si="26"/>
        <v>1.02</v>
      </c>
      <c r="AM138" s="40"/>
      <c r="AN138" s="41">
        <f t="shared" si="29"/>
        <v>1</v>
      </c>
      <c r="AO138" s="41">
        <f t="shared" si="29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7"/>
        <v>0</v>
      </c>
      <c r="AX138" s="71">
        <f t="shared" si="28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ref="N139:N142" si="30">SUM(I139:M139)</f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8"/>
        <v>15</v>
      </c>
      <c r="V139" s="68">
        <f t="shared" si="19"/>
        <v>15</v>
      </c>
      <c r="W139" s="57"/>
      <c r="X139" s="60"/>
      <c r="Y139" s="45"/>
      <c r="Z139" s="48"/>
      <c r="AA139" s="35"/>
      <c r="AB139" s="36">
        <f t="shared" si="20"/>
        <v>0</v>
      </c>
      <c r="AC139" s="68">
        <f t="shared" si="21"/>
        <v>0</v>
      </c>
      <c r="AD139" s="63">
        <v>2</v>
      </c>
      <c r="AE139" s="32">
        <f t="shared" si="22"/>
        <v>2</v>
      </c>
      <c r="AF139" s="56"/>
      <c r="AG139" s="56"/>
      <c r="AH139" s="37">
        <f t="shared" si="23"/>
        <v>17</v>
      </c>
      <c r="AI139" s="38">
        <v>65</v>
      </c>
      <c r="AJ139" s="30">
        <f t="shared" si="24"/>
        <v>82</v>
      </c>
      <c r="AK139" s="37">
        <f t="shared" si="25"/>
        <v>82</v>
      </c>
      <c r="AL139" s="39">
        <f t="shared" si="26"/>
        <v>1.02</v>
      </c>
      <c r="AM139" s="40"/>
      <c r="AN139" s="41">
        <f t="shared" si="29"/>
        <v>1</v>
      </c>
      <c r="AO139" s="41">
        <f t="shared" si="29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7"/>
        <v>0</v>
      </c>
      <c r="AX139" s="71">
        <f t="shared" si="28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30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8"/>
        <v>15</v>
      </c>
      <c r="V140" s="68">
        <f t="shared" si="19"/>
        <v>15</v>
      </c>
      <c r="W140" s="57"/>
      <c r="X140" s="60"/>
      <c r="Y140" s="45"/>
      <c r="Z140" s="48"/>
      <c r="AA140" s="35"/>
      <c r="AB140" s="36">
        <f t="shared" si="20"/>
        <v>0</v>
      </c>
      <c r="AC140" s="68">
        <f t="shared" si="21"/>
        <v>0</v>
      </c>
      <c r="AD140" s="63">
        <v>2</v>
      </c>
      <c r="AE140" s="32">
        <f t="shared" si="22"/>
        <v>2</v>
      </c>
      <c r="AF140" s="56"/>
      <c r="AG140" s="56"/>
      <c r="AH140" s="37">
        <f t="shared" si="23"/>
        <v>17</v>
      </c>
      <c r="AI140" s="38">
        <v>65</v>
      </c>
      <c r="AJ140" s="30">
        <f t="shared" si="24"/>
        <v>82</v>
      </c>
      <c r="AK140" s="37">
        <f t="shared" si="25"/>
        <v>82</v>
      </c>
      <c r="AL140" s="39">
        <f t="shared" si="26"/>
        <v>1.02</v>
      </c>
      <c r="AM140" s="40"/>
      <c r="AN140" s="41">
        <f t="shared" si="29"/>
        <v>1</v>
      </c>
      <c r="AO140" s="41">
        <f t="shared" si="29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7"/>
        <v>0</v>
      </c>
      <c r="AX140" s="71">
        <f t="shared" si="28"/>
        <v>0</v>
      </c>
    </row>
    <row r="141" spans="1:50" s="42" customFormat="1" ht="47.2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30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8"/>
        <v>15</v>
      </c>
      <c r="V141" s="68">
        <f t="shared" si="19"/>
        <v>15</v>
      </c>
      <c r="W141" s="57"/>
      <c r="X141" s="60"/>
      <c r="Y141" s="45"/>
      <c r="Z141" s="48"/>
      <c r="AA141" s="35"/>
      <c r="AB141" s="36">
        <f t="shared" si="20"/>
        <v>0</v>
      </c>
      <c r="AC141" s="68">
        <f t="shared" si="21"/>
        <v>0</v>
      </c>
      <c r="AD141" s="63">
        <v>2</v>
      </c>
      <c r="AE141" s="32">
        <f t="shared" si="22"/>
        <v>2</v>
      </c>
      <c r="AF141" s="56"/>
      <c r="AG141" s="56"/>
      <c r="AH141" s="37">
        <f t="shared" si="23"/>
        <v>17</v>
      </c>
      <c r="AI141" s="38">
        <v>65</v>
      </c>
      <c r="AJ141" s="30">
        <f t="shared" si="24"/>
        <v>82</v>
      </c>
      <c r="AK141" s="37">
        <f t="shared" si="25"/>
        <v>82</v>
      </c>
      <c r="AL141" s="39">
        <f t="shared" si="26"/>
        <v>1.02</v>
      </c>
      <c r="AM141" s="40"/>
      <c r="AN141" s="41">
        <f t="shared" si="29"/>
        <v>1</v>
      </c>
      <c r="AO141" s="41">
        <f t="shared" si="29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7"/>
        <v>0</v>
      </c>
      <c r="AX141" s="71">
        <f t="shared" si="28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30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8"/>
        <v>15</v>
      </c>
      <c r="V142" s="68">
        <f t="shared" si="19"/>
        <v>15</v>
      </c>
      <c r="W142" s="57"/>
      <c r="X142" s="60"/>
      <c r="Y142" s="45"/>
      <c r="Z142" s="48"/>
      <c r="AA142" s="35"/>
      <c r="AB142" s="36">
        <f t="shared" si="20"/>
        <v>0</v>
      </c>
      <c r="AC142" s="68">
        <f t="shared" si="21"/>
        <v>0</v>
      </c>
      <c r="AD142" s="63">
        <v>2</v>
      </c>
      <c r="AE142" s="32">
        <f t="shared" si="22"/>
        <v>2</v>
      </c>
      <c r="AF142" s="56"/>
      <c r="AG142" s="56"/>
      <c r="AH142" s="37">
        <f t="shared" si="23"/>
        <v>17</v>
      </c>
      <c r="AI142" s="38">
        <v>65</v>
      </c>
      <c r="AJ142" s="30">
        <f t="shared" si="24"/>
        <v>82</v>
      </c>
      <c r="AK142" s="37">
        <f t="shared" si="25"/>
        <v>82</v>
      </c>
      <c r="AL142" s="39">
        <f t="shared" si="26"/>
        <v>1.02</v>
      </c>
      <c r="AM142" s="40"/>
      <c r="AN142" s="41">
        <f t="shared" si="29"/>
        <v>1</v>
      </c>
      <c r="AO142" s="41">
        <f t="shared" si="29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7"/>
        <v>0</v>
      </c>
      <c r="AX142" s="71">
        <f t="shared" si="28"/>
        <v>0</v>
      </c>
    </row>
  </sheetData>
  <mergeCells count="63">
    <mergeCell ref="A44:H44"/>
    <mergeCell ref="A46:H46"/>
    <mergeCell ref="A48:H48"/>
    <mergeCell ref="A50:H50"/>
    <mergeCell ref="AG1:AH1"/>
    <mergeCell ref="A24:H24"/>
    <mergeCell ref="A12:H12"/>
    <mergeCell ref="A14:H14"/>
    <mergeCell ref="A16:H16"/>
    <mergeCell ref="A18:H18"/>
    <mergeCell ref="A20:H20"/>
    <mergeCell ref="A22:H22"/>
    <mergeCell ref="A38:H38"/>
    <mergeCell ref="A40:H40"/>
    <mergeCell ref="A42:H42"/>
    <mergeCell ref="A26:H26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28:H28"/>
    <mergeCell ref="A30:H30"/>
    <mergeCell ref="A32:H32"/>
    <mergeCell ref="A34:H34"/>
    <mergeCell ref="A36:H36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4913633000</v>
      </c>
      <c r="E1" s="340"/>
      <c r="F1" s="339"/>
      <c r="G1" s="340"/>
      <c r="H1" s="66" t="s">
        <v>29</v>
      </c>
      <c r="I1" s="341">
        <v>5099688000</v>
      </c>
      <c r="J1" s="341"/>
      <c r="K1" s="183" t="s">
        <v>692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470</v>
      </c>
      <c r="AH1" s="323"/>
      <c r="AI1" s="324">
        <v>4913633000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5052743000</v>
      </c>
      <c r="E2" s="328"/>
      <c r="F2" s="329"/>
      <c r="G2" s="330"/>
      <c r="H2" s="3" t="s">
        <v>28</v>
      </c>
      <c r="I2" s="331">
        <f>D2*1</f>
        <v>5052743000</v>
      </c>
      <c r="J2" s="329"/>
      <c r="K2" s="129" t="s">
        <v>46</v>
      </c>
      <c r="L2" s="130" t="s">
        <v>30</v>
      </c>
      <c r="M2" s="332">
        <v>45973.666666666664</v>
      </c>
      <c r="N2" s="332"/>
      <c r="O2" s="332"/>
      <c r="P2" s="332"/>
      <c r="Q2" s="131" t="s">
        <v>585</v>
      </c>
      <c r="R2" s="131"/>
      <c r="S2" s="131"/>
      <c r="T2" s="94"/>
      <c r="U2" s="132"/>
      <c r="V2" s="132"/>
      <c r="W2" s="133"/>
      <c r="X2" s="134"/>
      <c r="Y2" s="333">
        <v>5939900000</v>
      </c>
      <c r="Z2" s="333"/>
      <c r="AA2" s="334">
        <f>I1</f>
        <v>5099688000</v>
      </c>
      <c r="AB2" s="335"/>
      <c r="AC2" s="336"/>
      <c r="AD2" s="337">
        <f>TRUNC(Y2/AA2,4)</f>
        <v>1.1647000000000001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38</v>
      </c>
      <c r="AS2" s="348">
        <f>AI1</f>
        <v>4913633000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48</v>
      </c>
      <c r="Q3" s="355"/>
      <c r="R3" s="361"/>
      <c r="S3" s="361"/>
      <c r="T3" s="355"/>
      <c r="U3" s="356"/>
      <c r="V3" s="304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305"/>
      <c r="AG3" s="305"/>
      <c r="AH3" s="305"/>
      <c r="AI3" s="305"/>
      <c r="AJ3" s="305"/>
      <c r="AK3" s="306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304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696</v>
      </c>
      <c r="D5" s="50" t="s">
        <v>693</v>
      </c>
      <c r="E5" s="54"/>
      <c r="F5" s="52"/>
      <c r="G5" s="53"/>
      <c r="H5" s="139"/>
      <c r="I5" s="79">
        <v>0.51</v>
      </c>
      <c r="J5" s="106">
        <v>0.49</v>
      </c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>
        <v>15</v>
      </c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17928117000</v>
      </c>
      <c r="X5" s="184">
        <v>2925617000</v>
      </c>
      <c r="Y5" s="33"/>
      <c r="Z5" s="90"/>
      <c r="AA5" s="102"/>
      <c r="AB5" s="124">
        <f>ROUND((((W5*I5)+(X5*J5)+(Y5*K5)+(Z5*L5)+(AA5*M5))/$I$2),2)*13</f>
        <v>27.169999999999998</v>
      </c>
      <c r="AC5" s="125">
        <f>IF(AB5&gt;=13,13,AB5)</f>
        <v>13</v>
      </c>
      <c r="AD5" s="63">
        <v>3</v>
      </c>
      <c r="AE5" s="123">
        <f>IF((AC5+AD5)&gt;=15,15,(AC5+AD5))</f>
        <v>15</v>
      </c>
      <c r="AF5" s="113">
        <f>0.5*I5</f>
        <v>0.255</v>
      </c>
      <c r="AG5" s="114">
        <v>3.88</v>
      </c>
      <c r="AH5" s="115">
        <f>IF((V5+AE5+AF5)&gt;=30,30,(V5+AE5+AF5))</f>
        <v>30</v>
      </c>
      <c r="AI5" s="116">
        <v>65</v>
      </c>
      <c r="AJ5" s="44">
        <f>V5+AE5+AF5+AI5+AG5</f>
        <v>99.134999999999991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24">
        <v>91.78</v>
      </c>
      <c r="J6" s="104">
        <v>85</v>
      </c>
      <c r="K6" s="104"/>
      <c r="L6" s="104"/>
      <c r="M6" s="104"/>
      <c r="N6" s="143">
        <f>I6*I5+J6*J5+K6*K5+L6*L5+M6*M5</f>
        <v>88.457799999999992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697</v>
      </c>
      <c r="D7" s="50" t="s">
        <v>694</v>
      </c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1">
        <v>15</v>
      </c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28147269000</v>
      </c>
      <c r="X7" s="33">
        <v>6290343000</v>
      </c>
      <c r="Y7" s="33"/>
      <c r="Z7" s="45"/>
      <c r="AA7" s="35"/>
      <c r="AB7" s="36">
        <f>ROUND((((W7*I7)+(X7*J7)+(Y7*K7)+(Z7*L7)+(AA7*M7))/$I$2),2)*13</f>
        <v>44.85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3.88</v>
      </c>
      <c r="AH7" s="37">
        <f>IF((V7+AE7+AF7)&gt;=30,30,(V7+AE7+AF7))</f>
        <v>30</v>
      </c>
      <c r="AI7" s="38">
        <v>65</v>
      </c>
      <c r="AJ7" s="30">
        <f>V7+AE7+AF7+AI7+AG7</f>
        <v>98.88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2" t="s">
        <v>58</v>
      </c>
      <c r="D9" s="50" t="s">
        <v>695</v>
      </c>
      <c r="E9" s="54"/>
      <c r="F9" s="54"/>
      <c r="G9" s="53"/>
      <c r="H9" s="140"/>
      <c r="I9" s="79">
        <v>0.65</v>
      </c>
      <c r="J9" s="26">
        <v>0.35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75440266000</v>
      </c>
      <c r="X9" s="33">
        <v>571923000</v>
      </c>
      <c r="Y9" s="33"/>
      <c r="Z9" s="45"/>
      <c r="AA9" s="35"/>
      <c r="AB9" s="36">
        <f>ROUND((((W9*I9)+(X9*J9)+(Y9*K9)+(Z9*L9)+(AA9*M9))/$I$2),2)*13</f>
        <v>126.62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3.88</v>
      </c>
      <c r="AH9" s="37">
        <f>IF((V9+AE9+AF9)&gt;=30,30,(V9+AE9+AF9))</f>
        <v>30</v>
      </c>
      <c r="AI9" s="38">
        <v>65</v>
      </c>
      <c r="AJ9" s="30">
        <f>V9+AE9+AF9+AI9+AG9</f>
        <v>98.88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/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9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17</v>
      </c>
      <c r="AI11" s="38">
        <v>65</v>
      </c>
      <c r="AJ11" s="30">
        <f t="shared" ref="AJ11:AJ74" si="7">V11+AE11+AF11+AI11+AG11</f>
        <v>82</v>
      </c>
      <c r="AK11" s="37">
        <f t="shared" ref="AK11:AK74" si="8">IF(AH11+AI11+AG11&gt;=95,95,AH11+AI11+AG11)</f>
        <v>82</v>
      </c>
      <c r="AL11" s="39">
        <f t="shared" ref="AL11:AL74" si="9">-((50-((176+(45+(50-AH11)))))/200)</f>
        <v>1.02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/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/>
      <c r="D13" s="52"/>
      <c r="E13" s="54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63">
        <v>2</v>
      </c>
      <c r="AE13" s="32">
        <f t="shared" si="5"/>
        <v>2</v>
      </c>
      <c r="AF13" s="61"/>
      <c r="AG13" s="114"/>
      <c r="AH13" s="37">
        <f t="shared" si="6"/>
        <v>17</v>
      </c>
      <c r="AI13" s="38">
        <v>65</v>
      </c>
      <c r="AJ13" s="30">
        <f t="shared" si="7"/>
        <v>82</v>
      </c>
      <c r="AK13" s="37">
        <f t="shared" si="8"/>
        <v>82</v>
      </c>
      <c r="AL13" s="39">
        <f t="shared" si="9"/>
        <v>1.02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698</v>
      </c>
      <c r="D14" s="52" t="s">
        <v>699</v>
      </c>
      <c r="E14" s="186"/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/>
      <c r="X14" s="33"/>
      <c r="Y14" s="33"/>
      <c r="Z14" s="45"/>
      <c r="AA14" s="35"/>
      <c r="AB14" s="36">
        <f t="shared" si="3"/>
        <v>0</v>
      </c>
      <c r="AC14" s="68">
        <f t="shared" si="4"/>
        <v>0</v>
      </c>
      <c r="AD14" s="63">
        <v>2</v>
      </c>
      <c r="AE14" s="32">
        <f t="shared" si="5"/>
        <v>2</v>
      </c>
      <c r="AF14" s="61"/>
      <c r="AG14" s="114"/>
      <c r="AH14" s="37">
        <f t="shared" si="6"/>
        <v>17</v>
      </c>
      <c r="AI14" s="38">
        <v>65</v>
      </c>
      <c r="AJ14" s="30">
        <f t="shared" si="7"/>
        <v>82</v>
      </c>
      <c r="AK14" s="37">
        <f t="shared" si="8"/>
        <v>82</v>
      </c>
      <c r="AL14" s="39">
        <f t="shared" si="9"/>
        <v>1.02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/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3"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tabSelected="1" zoomScale="80" zoomScaleNormal="80" workbookViewId="0">
      <selection activeCell="P6" sqref="P5:P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4" width="8.33203125" style="1" customWidth="1"/>
    <col min="5" max="5" width="10.44140625" style="1" customWidth="1"/>
    <col min="6" max="7" width="8.33203125" style="1" customWidth="1"/>
    <col min="8" max="8" width="8.109375" style="1" customWidth="1"/>
    <col min="9" max="10" width="9" style="1" customWidth="1"/>
    <col min="11" max="13" width="8.5546875" style="1" customWidth="1"/>
    <col min="14" max="14" width="6.88671875" style="1" customWidth="1"/>
    <col min="15" max="15" width="8.1093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10.88671875" style="1" customWidth="1"/>
    <col min="29" max="29" width="7.6640625" style="47" hidden="1" customWidth="1"/>
    <col min="30" max="31" width="7.6640625" style="47" customWidth="1"/>
    <col min="32" max="32" width="7" style="1" customWidth="1"/>
    <col min="33" max="33" width="7.21875" style="1" customWidth="1"/>
    <col min="34" max="34" width="7.6640625" style="1" customWidth="1"/>
    <col min="35" max="35" width="4.6640625" style="1" customWidth="1"/>
    <col min="36" max="36" width="9.5546875" style="1" customWidth="1"/>
    <col min="37" max="37" width="9.4414062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/>
      <c r="E1" s="340"/>
      <c r="F1" s="339"/>
      <c r="G1" s="340"/>
      <c r="H1" s="66" t="s">
        <v>29</v>
      </c>
      <c r="I1" s="341"/>
      <c r="J1" s="341"/>
      <c r="K1" s="183" t="s">
        <v>703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705</v>
      </c>
      <c r="AH1" s="323"/>
      <c r="AI1" s="324"/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/>
      <c r="E2" s="328"/>
      <c r="F2" s="329"/>
      <c r="G2" s="330"/>
      <c r="H2" s="3" t="s">
        <v>28</v>
      </c>
      <c r="I2" s="331">
        <f>D2*1</f>
        <v>0</v>
      </c>
      <c r="J2" s="329"/>
      <c r="K2" s="129" t="s">
        <v>46</v>
      </c>
      <c r="L2" s="130" t="s">
        <v>30</v>
      </c>
      <c r="M2" s="332">
        <v>46028.458333333336</v>
      </c>
      <c r="N2" s="332"/>
      <c r="O2" s="332"/>
      <c r="P2" s="332"/>
      <c r="Q2" s="131" t="s">
        <v>702</v>
      </c>
      <c r="R2" s="131"/>
      <c r="S2" s="131"/>
      <c r="T2" s="94"/>
      <c r="U2" s="132"/>
      <c r="V2" s="132"/>
      <c r="W2" s="133"/>
      <c r="X2" s="134"/>
      <c r="Y2" s="333"/>
      <c r="Z2" s="333"/>
      <c r="AA2" s="334">
        <f>I1</f>
        <v>0</v>
      </c>
      <c r="AB2" s="335"/>
      <c r="AC2" s="336"/>
      <c r="AD2" s="337" t="e">
        <f>TRUNC(Y2/AA2,4)</f>
        <v>#DIV/0!</v>
      </c>
      <c r="AE2" s="338"/>
      <c r="AF2" s="387"/>
      <c r="AG2" s="387"/>
      <c r="AH2" s="387"/>
      <c r="AI2" s="387"/>
      <c r="AJ2" s="387"/>
      <c r="AK2" s="387"/>
      <c r="AL2" s="387"/>
      <c r="AM2" s="387"/>
      <c r="AN2" s="387"/>
      <c r="AP2" s="1"/>
      <c r="AQ2" s="11" t="s">
        <v>117</v>
      </c>
      <c r="AR2" s="137" t="s">
        <v>38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700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48</v>
      </c>
      <c r="Q3" s="355"/>
      <c r="R3" s="361"/>
      <c r="S3" s="361"/>
      <c r="T3" s="355"/>
      <c r="U3" s="356"/>
      <c r="V3" s="320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318"/>
      <c r="AG3" s="318"/>
      <c r="AH3" s="318"/>
      <c r="AI3" s="318"/>
      <c r="AJ3" s="318"/>
      <c r="AK3" s="319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320" t="s">
        <v>704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/>
      <c r="B5" s="54"/>
      <c r="C5" s="295"/>
      <c r="D5" s="251"/>
      <c r="E5" s="54"/>
      <c r="F5" s="52"/>
      <c r="G5" s="53"/>
      <c r="H5" s="140"/>
      <c r="I5" s="311"/>
      <c r="J5" s="266"/>
      <c r="K5" s="26"/>
      <c r="L5" s="120"/>
      <c r="M5" s="99"/>
      <c r="N5" s="121">
        <f>SUM(I5:M5)</f>
        <v>0</v>
      </c>
      <c r="O5" s="122">
        <v>1</v>
      </c>
      <c r="P5" s="307"/>
      <c r="Q5" s="81"/>
      <c r="R5" s="80"/>
      <c r="S5" s="126"/>
      <c r="T5" s="100"/>
      <c r="U5" s="123">
        <f>ROUND(((P5*I5)+(Q5*J5)+(R5*K5)+(S5*L5)+(T5*M5))*O5,2)</f>
        <v>0</v>
      </c>
      <c r="V5" s="101">
        <f>IF(U5&gt;=15,15,U5)</f>
        <v>0</v>
      </c>
      <c r="W5" s="308"/>
      <c r="X5" s="184"/>
      <c r="Y5" s="33"/>
      <c r="Z5" s="90"/>
      <c r="AA5" s="102"/>
      <c r="AB5" s="124" t="e">
        <f>ROUND((((W5*I5)+(X5*J5)+(Y5*K5)+(Z5*L5)+(AA5*M5))/$I$2),2)*13</f>
        <v>#DIV/0!</v>
      </c>
      <c r="AC5" s="125" t="e">
        <f>IF(AB5&gt;=13,13,AB5)</f>
        <v>#DIV/0!</v>
      </c>
      <c r="AD5" s="63"/>
      <c r="AE5" s="123" t="e">
        <f>IF((AC5+AD5)&gt;=15,15,(AC5+AD5))</f>
        <v>#DIV/0!</v>
      </c>
      <c r="AF5" s="113"/>
      <c r="AG5" s="114"/>
      <c r="AH5" s="115" t="e">
        <f>IF((V5+AE5+AF5)&gt;=30,30,(V5+AE5+AF5))</f>
        <v>#DIV/0!</v>
      </c>
      <c r="AI5" s="116">
        <v>65</v>
      </c>
      <c r="AJ5" s="44" t="e">
        <f>V5+AE5+AF5+AI5+AG5</f>
        <v>#DIV/0!</v>
      </c>
      <c r="AK5" s="115" t="e">
        <f>IF(AH5+AI5+AG5&gt;=95,95,AH5+AI5+AG5)</f>
        <v>#DIV/0!</v>
      </c>
      <c r="AL5" s="108" t="e">
        <f>-((50-((176+(45+(50-AH5)))))/200)</f>
        <v>#DIV/0!</v>
      </c>
      <c r="AM5" s="109"/>
      <c r="AN5" s="110">
        <f>100%+AM5</f>
        <v>1</v>
      </c>
      <c r="AO5" s="110">
        <f>100%+AN5</f>
        <v>2</v>
      </c>
      <c r="AP5" s="43"/>
      <c r="AQ5" s="70"/>
      <c r="AR5" s="312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04"/>
      <c r="J6" s="104"/>
      <c r="K6" s="104"/>
      <c r="L6" s="104"/>
      <c r="M6" s="104"/>
      <c r="N6" s="143">
        <f>I6*I5+J6*J5+K6*K5+L6*L5+M6*M5</f>
        <v>0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/>
      <c r="B7" s="251"/>
      <c r="C7" s="52"/>
      <c r="D7" s="251"/>
      <c r="E7" s="52"/>
      <c r="F7" s="54"/>
      <c r="G7" s="85"/>
      <c r="H7" s="140"/>
      <c r="I7" s="79"/>
      <c r="J7" s="272"/>
      <c r="K7" s="26"/>
      <c r="L7" s="77"/>
      <c r="M7" s="78"/>
      <c r="N7" s="27">
        <f>SUM(I7:M7)</f>
        <v>0</v>
      </c>
      <c r="O7" s="28">
        <v>1</v>
      </c>
      <c r="P7" s="80"/>
      <c r="Q7" s="81"/>
      <c r="R7" s="80"/>
      <c r="S7" s="30"/>
      <c r="T7" s="89"/>
      <c r="U7" s="32">
        <f>ROUND(((P7*I7)+(Q7*J7)+(R7*K7)+(S7*L7)+(T7*M7))*O7,2)</f>
        <v>0</v>
      </c>
      <c r="V7" s="68">
        <f>IF(U7&gt;=15,15,U7)</f>
        <v>0</v>
      </c>
      <c r="W7" s="33"/>
      <c r="X7" s="33"/>
      <c r="Y7" s="33"/>
      <c r="Z7" s="45"/>
      <c r="AA7" s="35"/>
      <c r="AB7" s="36" t="e">
        <f>ROUND((((W7*I7)+(X7*J7)+(Y7*K7)+(Z7*L7)+(AA7*M7))/$I$2),2)*13</f>
        <v>#DIV/0!</v>
      </c>
      <c r="AC7" s="68" t="e">
        <f>IF(AB7&gt;=13,13,AB7)</f>
        <v>#DIV/0!</v>
      </c>
      <c r="AD7" s="63"/>
      <c r="AE7" s="32" t="e">
        <f>IF((AC7+AD7)&gt;=15,15,(AC7+AD7))</f>
        <v>#DIV/0!</v>
      </c>
      <c r="AF7" s="61"/>
      <c r="AG7" s="114"/>
      <c r="AH7" s="37" t="e">
        <f>IF((V7+AE7+AF7)&gt;=30,30,(V7+AE7+AF7))</f>
        <v>#DIV/0!</v>
      </c>
      <c r="AI7" s="38">
        <v>65</v>
      </c>
      <c r="AJ7" s="30" t="e">
        <f>V7+AE7+AF7+AI7+AG7</f>
        <v>#DIV/0!</v>
      </c>
      <c r="AK7" s="37" t="e">
        <f>IF(AH7+AI7+AG7&gt;=95,95,AH7+AI7+AG7)</f>
        <v>#DIV/0!</v>
      </c>
      <c r="AL7" s="39" t="e">
        <f>-((50-((176+(45+(50-AH7)))))/200)</f>
        <v>#DIV/0!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85"/>
      <c r="J8" s="104"/>
      <c r="K8" s="104"/>
      <c r="L8" s="104"/>
      <c r="M8" s="104"/>
      <c r="N8" s="107">
        <f>I8*I7+J8*J7+K8*K7+L8*L7+M8*M7</f>
        <v>0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51"/>
      <c r="B9" s="54"/>
      <c r="C9" s="295"/>
      <c r="D9" s="251"/>
      <c r="E9" s="251"/>
      <c r="F9" s="54"/>
      <c r="G9" s="53"/>
      <c r="H9" s="140"/>
      <c r="I9" s="311"/>
      <c r="J9" s="272"/>
      <c r="K9" s="272"/>
      <c r="L9" s="77"/>
      <c r="M9" s="78"/>
      <c r="N9" s="27">
        <f>SUM(I9:M9)</f>
        <v>0</v>
      </c>
      <c r="O9" s="28">
        <v>1</v>
      </c>
      <c r="P9" s="307"/>
      <c r="Q9" s="307"/>
      <c r="R9" s="307"/>
      <c r="S9" s="31"/>
      <c r="T9" s="89"/>
      <c r="U9" s="32">
        <f>ROUND(((P9*I9)+(Q9*J9)+(R9*K9)+(S9*L9)+(T9*M9))*O9,2)</f>
        <v>0</v>
      </c>
      <c r="V9" s="68">
        <f>IF(U9&gt;=15,15,U9)</f>
        <v>0</v>
      </c>
      <c r="W9" s="308"/>
      <c r="X9" s="33"/>
      <c r="Y9" s="308"/>
      <c r="Z9" s="45"/>
      <c r="AA9" s="35"/>
      <c r="AB9" s="36" t="e">
        <f>ROUND((((W9*I9)+(X9*J9)+(Y9*K9)+(Z9*L9)+(AA9*M9))/$I$2),2)*13</f>
        <v>#DIV/0!</v>
      </c>
      <c r="AC9" s="68" t="e">
        <f>IF(AB9&gt;=13,13,AB9)</f>
        <v>#DIV/0!</v>
      </c>
      <c r="AD9" s="63"/>
      <c r="AE9" s="32" t="e">
        <f>IF((AC9+AD9)&gt;=15,15,(AC9+AD9))</f>
        <v>#DIV/0!</v>
      </c>
      <c r="AF9" s="61"/>
      <c r="AG9" s="114"/>
      <c r="AH9" s="37" t="e">
        <f>IF((V9+AE9+AF9)&gt;=30,30,(V9+AE9+AF9))</f>
        <v>#DIV/0!</v>
      </c>
      <c r="AI9" s="38">
        <v>65</v>
      </c>
      <c r="AJ9" s="30" t="e">
        <f>V9+AE9+AF9+AI9+AG9</f>
        <v>#DIV/0!</v>
      </c>
      <c r="AK9" s="37" t="e">
        <f>IF(AH9+AI9+AG9&gt;=95,95,AH9+AI9+AG9)</f>
        <v>#DIV/0!</v>
      </c>
      <c r="AL9" s="39" t="e">
        <f>-((50-((176+(45+(50-AH9)))))/200)</f>
        <v>#DIV/0!</v>
      </c>
      <c r="AM9" s="40"/>
      <c r="AN9" s="41">
        <f>100%+AM9</f>
        <v>1</v>
      </c>
      <c r="AO9" s="41">
        <f>100%+AN9</f>
        <v>2</v>
      </c>
      <c r="AP9" s="43"/>
      <c r="AQ9" s="70"/>
      <c r="AR9" s="310"/>
      <c r="AS9" s="58"/>
      <c r="AT9" s="310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309"/>
      <c r="J10" s="104"/>
      <c r="K10" s="309"/>
      <c r="L10" s="104"/>
      <c r="M10" s="104"/>
      <c r="N10" s="107">
        <f>I10*I9+J10*J9+K10*K9+L10*L9+M10*M9</f>
        <v>0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295"/>
      <c r="D11" s="251"/>
      <c r="E11" s="251"/>
      <c r="F11" s="54"/>
      <c r="G11" s="53"/>
      <c r="H11" s="140"/>
      <c r="I11" s="311"/>
      <c r="J11" s="272"/>
      <c r="K11" s="272"/>
      <c r="L11" s="91"/>
      <c r="M11" s="78"/>
      <c r="N11" s="27">
        <f t="shared" ref="N11:N41" si="0">SUM(I11:M11)</f>
        <v>0</v>
      </c>
      <c r="O11" s="28">
        <v>1</v>
      </c>
      <c r="P11" s="307"/>
      <c r="Q11" s="80"/>
      <c r="R11" s="321"/>
      <c r="S11" s="30"/>
      <c r="T11" s="89"/>
      <c r="U11" s="32">
        <f t="shared" ref="U11:U73" si="1">ROUND(((P11*I11)+(Q11*J11)+(R11*K11)+(S11*L11)+(T11*M11))*O11,2)</f>
        <v>0</v>
      </c>
      <c r="V11" s="68">
        <f t="shared" ref="V11:V73" si="2">IF(U11&gt;=15,15,U11)</f>
        <v>0</v>
      </c>
      <c r="W11" s="317"/>
      <c r="X11" s="33"/>
      <c r="Y11" s="308"/>
      <c r="Z11" s="45"/>
      <c r="AA11" s="35"/>
      <c r="AB11" s="36" t="e">
        <f t="shared" ref="AB11:AB73" si="3">ROUND((((W11*I11)+(X11*J11)+(Y11*K11)+(Z11*L11)+(AA11*M11))/$I$2),2)*13</f>
        <v>#DIV/0!</v>
      </c>
      <c r="AC11" s="68" t="e">
        <f t="shared" ref="AC11:AC73" si="4">IF(AB11&gt;=13,13,AB11)</f>
        <v>#DIV/0!</v>
      </c>
      <c r="AD11" s="63"/>
      <c r="AE11" s="32" t="e">
        <f t="shared" ref="AE11:AE73" si="5">IF((AC11+AD11)&gt;=15,15,(AC11+AD11))</f>
        <v>#DIV/0!</v>
      </c>
      <c r="AF11" s="61"/>
      <c r="AG11" s="114"/>
      <c r="AH11" s="37" t="e">
        <f t="shared" ref="AH11:AH73" si="6">IF((V11+AE11+AF11)&gt;=30,30,(V11+AE11+AF11))</f>
        <v>#DIV/0!</v>
      </c>
      <c r="AI11" s="38">
        <v>65</v>
      </c>
      <c r="AJ11" s="30" t="e">
        <f t="shared" ref="AJ11:AJ73" si="7">V11+AE11+AF11+AI11+AG11</f>
        <v>#DIV/0!</v>
      </c>
      <c r="AK11" s="37" t="e">
        <f t="shared" ref="AK11:AK73" si="8">IF(AH11+AI11+AG11&gt;=95,95,AH11+AI11+AG11)</f>
        <v>#DIV/0!</v>
      </c>
      <c r="AL11" s="39" t="e">
        <f t="shared" ref="AL11:AL73" si="9">-((50-((176+(45+(50-AH11)))))/200)</f>
        <v>#DIV/0!</v>
      </c>
      <c r="AM11" s="40"/>
      <c r="AN11" s="41">
        <f t="shared" ref="AN11:AO29" si="10">100%+AM11</f>
        <v>1</v>
      </c>
      <c r="AO11" s="41">
        <f>100%+AN11</f>
        <v>2</v>
      </c>
      <c r="AP11" s="43"/>
      <c r="AQ11" s="70"/>
      <c r="AR11" s="310"/>
      <c r="AS11" s="58"/>
      <c r="AT11" s="310"/>
      <c r="AU11" s="58"/>
      <c r="AV11" s="59"/>
      <c r="AW11" s="71">
        <f t="shared" ref="AW11:AW73" si="11">AR11+AS11+AT11+AU11+AV11</f>
        <v>0</v>
      </c>
      <c r="AX11" s="71">
        <f t="shared" ref="AX11:AX73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309"/>
      <c r="J12" s="104"/>
      <c r="K12" s="309"/>
      <c r="L12" s="104"/>
      <c r="M12" s="104"/>
      <c r="N12" s="107">
        <f>I12*I11+J12*J11+K12*K11+L12*L11+M12*M11</f>
        <v>0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23"/>
      <c r="C13" s="295"/>
      <c r="D13" s="295"/>
      <c r="E13" s="54"/>
      <c r="F13" s="54"/>
      <c r="G13" s="53"/>
      <c r="H13" s="140"/>
      <c r="I13" s="311"/>
      <c r="J13" s="272"/>
      <c r="K13" s="26"/>
      <c r="L13" s="77"/>
      <c r="M13" s="78"/>
      <c r="N13" s="27">
        <f t="shared" si="0"/>
        <v>0</v>
      </c>
      <c r="O13" s="28">
        <v>1</v>
      </c>
      <c r="P13" s="307"/>
      <c r="Q13" s="307"/>
      <c r="R13" s="56"/>
      <c r="S13" s="31"/>
      <c r="T13" s="89"/>
      <c r="U13" s="32">
        <f t="shared" si="1"/>
        <v>0</v>
      </c>
      <c r="V13" s="68">
        <f t="shared" si="2"/>
        <v>0</v>
      </c>
      <c r="W13" s="308"/>
      <c r="X13" s="308"/>
      <c r="Y13" s="34"/>
      <c r="Z13" s="45"/>
      <c r="AA13" s="35"/>
      <c r="AB13" s="36" t="e">
        <f t="shared" si="3"/>
        <v>#DIV/0!</v>
      </c>
      <c r="AC13" s="68" t="e">
        <f t="shared" si="4"/>
        <v>#DIV/0!</v>
      </c>
      <c r="AD13" s="63"/>
      <c r="AE13" s="32" t="e">
        <f t="shared" si="5"/>
        <v>#DIV/0!</v>
      </c>
      <c r="AF13" s="61"/>
      <c r="AG13" s="114"/>
      <c r="AH13" s="37" t="e">
        <f t="shared" si="6"/>
        <v>#DIV/0!</v>
      </c>
      <c r="AI13" s="38">
        <v>65</v>
      </c>
      <c r="AJ13" s="30" t="e">
        <f t="shared" si="7"/>
        <v>#DIV/0!</v>
      </c>
      <c r="AK13" s="37" t="e">
        <f t="shared" si="8"/>
        <v>#DIV/0!</v>
      </c>
      <c r="AL13" s="39" t="e">
        <f t="shared" si="9"/>
        <v>#DIV/0!</v>
      </c>
      <c r="AM13" s="40"/>
      <c r="AN13" s="41">
        <f t="shared" si="10"/>
        <v>1</v>
      </c>
      <c r="AO13" s="41">
        <f>100%+AN13</f>
        <v>2</v>
      </c>
      <c r="AP13" s="43">
        <v>521200000</v>
      </c>
      <c r="AQ13" s="70"/>
      <c r="AR13" s="310"/>
      <c r="AS13" s="310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309"/>
      <c r="J14" s="104"/>
      <c r="K14" s="309"/>
      <c r="L14" s="104"/>
      <c r="M14" s="104"/>
      <c r="N14" s="107">
        <f>I14*I13+J14*J13+K14*K13+L14*L13+M14*M13</f>
        <v>0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295"/>
      <c r="D15" s="295"/>
      <c r="E15" s="54"/>
      <c r="F15" s="54"/>
      <c r="G15" s="53"/>
      <c r="H15" s="140"/>
      <c r="I15" s="311"/>
      <c r="J15" s="272"/>
      <c r="K15" s="26"/>
      <c r="L15" s="77"/>
      <c r="M15" s="78"/>
      <c r="N15" s="27">
        <f t="shared" ref="N15" si="13">SUM(I15:M15)</f>
        <v>0</v>
      </c>
      <c r="O15" s="28">
        <v>1</v>
      </c>
      <c r="P15" s="307"/>
      <c r="Q15" s="307"/>
      <c r="R15" s="56"/>
      <c r="S15" s="31"/>
      <c r="T15" s="89"/>
      <c r="U15" s="32">
        <f t="shared" ref="U15" si="14">ROUND(((P15*I15)+(Q15*J15)+(R15*K15)+(S15*L15)+(T15*M15))*O15,2)</f>
        <v>0</v>
      </c>
      <c r="V15" s="68">
        <f t="shared" ref="V15" si="15">IF(U15&gt;=15,15,U15)</f>
        <v>0</v>
      </c>
      <c r="W15" s="308"/>
      <c r="X15" s="308"/>
      <c r="Y15" s="34"/>
      <c r="Z15" s="45"/>
      <c r="AA15" s="35"/>
      <c r="AB15" s="36" t="e">
        <f t="shared" ref="AB15" si="16">ROUND((((W15*I15)+(X15*J15)+(Y15*K15)+(Z15*L15)+(AA15*M15))/$I$2),2)*13</f>
        <v>#DIV/0!</v>
      </c>
      <c r="AC15" s="68" t="e">
        <f t="shared" ref="AC15" si="17">IF(AB15&gt;=13,13,AB15)</f>
        <v>#DIV/0!</v>
      </c>
      <c r="AD15" s="63"/>
      <c r="AE15" s="32" t="e">
        <f t="shared" ref="AE15" si="18">IF((AC15+AD15)&gt;=15,15,(AC15+AD15))</f>
        <v>#DIV/0!</v>
      </c>
      <c r="AF15" s="61"/>
      <c r="AG15" s="114"/>
      <c r="AH15" s="37" t="e">
        <f t="shared" ref="AH15" si="19">IF((V15+AE15+AF15)&gt;=30,30,(V15+AE15+AF15))</f>
        <v>#DIV/0!</v>
      </c>
      <c r="AI15" s="38">
        <v>65</v>
      </c>
      <c r="AJ15" s="30" t="e">
        <f t="shared" ref="AJ15" si="20">V15+AE15+AF15+AI15+AG15</f>
        <v>#DIV/0!</v>
      </c>
      <c r="AK15" s="37" t="e">
        <f t="shared" ref="AK15" si="21">IF(AH15+AI15+AG15&gt;=95,95,AH15+AI15+AG15)</f>
        <v>#DIV/0!</v>
      </c>
      <c r="AL15" s="39" t="e">
        <f t="shared" ref="AL15" si="22">-((50-((176+(45+(50-AH15)))))/200)</f>
        <v>#DIV/0!</v>
      </c>
      <c r="AM15" s="40"/>
      <c r="AN15" s="41">
        <f t="shared" ref="AN15" si="23">100%+AM15</f>
        <v>1</v>
      </c>
      <c r="AO15" s="41">
        <f>100%+AN15</f>
        <v>2</v>
      </c>
      <c r="AP15" s="43">
        <v>521200000</v>
      </c>
      <c r="AQ15" s="70"/>
      <c r="AR15" s="310"/>
      <c r="AS15" s="310"/>
      <c r="AT15" s="58"/>
      <c r="AU15" s="58"/>
      <c r="AV15" s="59"/>
      <c r="AW15" s="71">
        <f t="shared" ref="AW15" si="24">AR15+AS15+AT15+AU15+AV15</f>
        <v>0</v>
      </c>
      <c r="AX15" s="71">
        <f t="shared" ref="AX15" si="25">(AR15*I15)+(AS15*J15)+(AT15*K15)+(AU15*L15)+(AV15*M15)</f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309"/>
      <c r="J16" s="104"/>
      <c r="K16" s="309"/>
      <c r="L16" s="104"/>
      <c r="M16" s="104"/>
      <c r="N16" s="107">
        <f>I16*I15+J16*J15+K16*K15+L16*L15+M16*M15</f>
        <v>0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76"/>
      <c r="C17" s="52"/>
      <c r="D17" s="52"/>
      <c r="E17" s="49"/>
      <c r="F17" s="49"/>
      <c r="G17" s="53"/>
      <c r="H17" s="64"/>
      <c r="I17" s="79"/>
      <c r="J17" s="26"/>
      <c r="K17" s="26"/>
      <c r="L17" s="26"/>
      <c r="M17" s="62"/>
      <c r="N17" s="27">
        <f t="shared" si="0"/>
        <v>0</v>
      </c>
      <c r="O17" s="28">
        <v>1</v>
      </c>
      <c r="P17" s="80"/>
      <c r="Q17" s="80"/>
      <c r="R17" s="81"/>
      <c r="S17" s="30"/>
      <c r="T17" s="31"/>
      <c r="U17" s="32">
        <f t="shared" si="1"/>
        <v>0</v>
      </c>
      <c r="V17" s="68">
        <f t="shared" si="2"/>
        <v>0</v>
      </c>
      <c r="W17" s="84"/>
      <c r="X17" s="58"/>
      <c r="Y17" s="57"/>
      <c r="Z17" s="48"/>
      <c r="AA17" s="35"/>
      <c r="AB17" s="36" t="e">
        <f t="shared" si="3"/>
        <v>#DIV/0!</v>
      </c>
      <c r="AC17" s="68" t="e">
        <f t="shared" si="4"/>
        <v>#DIV/0!</v>
      </c>
      <c r="AD17" s="63"/>
      <c r="AE17" s="32" t="e">
        <f t="shared" si="5"/>
        <v>#DIV/0!</v>
      </c>
      <c r="AF17" s="56"/>
      <c r="AG17" s="114"/>
      <c r="AH17" s="37" t="e">
        <f t="shared" si="6"/>
        <v>#DIV/0!</v>
      </c>
      <c r="AI17" s="38">
        <v>65</v>
      </c>
      <c r="AJ17" s="30" t="e">
        <f t="shared" si="7"/>
        <v>#DIV/0!</v>
      </c>
      <c r="AK17" s="37" t="e">
        <f t="shared" si="8"/>
        <v>#DIV/0!</v>
      </c>
      <c r="AL17" s="39" t="e">
        <f t="shared" si="9"/>
        <v>#DIV/0!</v>
      </c>
      <c r="AM17" s="40"/>
      <c r="AN17" s="41">
        <f t="shared" si="10"/>
        <v>1</v>
      </c>
      <c r="AO17" s="41">
        <f>100%+AN17</f>
        <v>2</v>
      </c>
      <c r="AP17" s="43">
        <v>792800000</v>
      </c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309"/>
      <c r="J18" s="104"/>
      <c r="K18" s="309"/>
      <c r="L18" s="104"/>
      <c r="M18" s="104"/>
      <c r="N18" s="107">
        <f>I18*I17+J18*J17+K18*K17+L18*L17+M18*M17</f>
        <v>0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/>
      <c r="J19" s="26"/>
      <c r="K19" s="26"/>
      <c r="L19" s="26"/>
      <c r="M19" s="62"/>
      <c r="N19" s="27">
        <f t="shared" si="0"/>
        <v>0</v>
      </c>
      <c r="O19" s="28">
        <v>1</v>
      </c>
      <c r="P19" s="29"/>
      <c r="Q19" s="30"/>
      <c r="R19" s="30"/>
      <c r="S19" s="30"/>
      <c r="T19" s="31"/>
      <c r="U19" s="32">
        <f t="shared" si="1"/>
        <v>0</v>
      </c>
      <c r="V19" s="68">
        <f t="shared" si="2"/>
        <v>0</v>
      </c>
      <c r="W19" s="82"/>
      <c r="X19" s="34"/>
      <c r="Y19" s="33"/>
      <c r="Z19" s="48"/>
      <c r="AA19" s="35"/>
      <c r="AB19" s="36" t="e">
        <f t="shared" si="3"/>
        <v>#DIV/0!</v>
      </c>
      <c r="AC19" s="68" t="e">
        <f t="shared" si="4"/>
        <v>#DIV/0!</v>
      </c>
      <c r="AD19" s="63"/>
      <c r="AE19" s="32" t="e">
        <f t="shared" si="5"/>
        <v>#DIV/0!</v>
      </c>
      <c r="AF19" s="56"/>
      <c r="AG19" s="114"/>
      <c r="AH19" s="37" t="e">
        <f t="shared" si="6"/>
        <v>#DIV/0!</v>
      </c>
      <c r="AI19" s="38">
        <v>65</v>
      </c>
      <c r="AJ19" s="30" t="e">
        <f t="shared" si="7"/>
        <v>#DIV/0!</v>
      </c>
      <c r="AK19" s="37" t="e">
        <f t="shared" si="8"/>
        <v>#DIV/0!</v>
      </c>
      <c r="AL19" s="39" t="e">
        <f t="shared" si="9"/>
        <v>#DIV/0!</v>
      </c>
      <c r="AM19" s="40"/>
      <c r="AN19" s="41">
        <f t="shared" si="10"/>
        <v>1</v>
      </c>
      <c r="AO19" s="41">
        <f>100%+AN19</f>
        <v>2</v>
      </c>
      <c r="AP19" s="43">
        <v>3385700000</v>
      </c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309"/>
      <c r="J20" s="104"/>
      <c r="K20" s="309"/>
      <c r="L20" s="104"/>
      <c r="M20" s="104"/>
      <c r="N20" s="107">
        <f>I20*I19+J20*J19+K20*K19+L20*L19+M20*M19</f>
        <v>0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/>
      <c r="B21" s="23"/>
      <c r="C21" s="52"/>
      <c r="D21" s="52"/>
      <c r="E21" s="49"/>
      <c r="F21" s="49"/>
      <c r="G21" s="53"/>
      <c r="H21" s="64"/>
      <c r="I21" s="25"/>
      <c r="J21" s="26"/>
      <c r="K21" s="26"/>
      <c r="L21" s="26"/>
      <c r="M21" s="62"/>
      <c r="N21" s="27">
        <f t="shared" si="0"/>
        <v>0</v>
      </c>
      <c r="O21" s="28">
        <v>1</v>
      </c>
      <c r="P21" s="30"/>
      <c r="Q21" s="30"/>
      <c r="R21" s="56"/>
      <c r="S21" s="30"/>
      <c r="T21" s="31"/>
      <c r="U21" s="32">
        <f t="shared" si="1"/>
        <v>0</v>
      </c>
      <c r="V21" s="68">
        <f t="shared" si="2"/>
        <v>0</v>
      </c>
      <c r="W21" s="75"/>
      <c r="X21" s="33"/>
      <c r="Y21" s="34"/>
      <c r="Z21" s="48"/>
      <c r="AA21" s="35"/>
      <c r="AB21" s="36" t="e">
        <f t="shared" si="3"/>
        <v>#DIV/0!</v>
      </c>
      <c r="AC21" s="68" t="e">
        <f t="shared" si="4"/>
        <v>#DIV/0!</v>
      </c>
      <c r="AD21" s="63"/>
      <c r="AE21" s="32" t="e">
        <f t="shared" si="5"/>
        <v>#DIV/0!</v>
      </c>
      <c r="AF21" s="56"/>
      <c r="AG21" s="114"/>
      <c r="AH21" s="37" t="e">
        <f t="shared" si="6"/>
        <v>#DIV/0!</v>
      </c>
      <c r="AI21" s="38">
        <v>65</v>
      </c>
      <c r="AJ21" s="30" t="e">
        <f t="shared" si="7"/>
        <v>#DIV/0!</v>
      </c>
      <c r="AK21" s="37" t="e">
        <f t="shared" si="8"/>
        <v>#DIV/0!</v>
      </c>
      <c r="AL21" s="39" t="e">
        <f t="shared" si="9"/>
        <v>#DIV/0!</v>
      </c>
      <c r="AM21" s="40"/>
      <c r="AN21" s="41">
        <f t="shared" si="10"/>
        <v>1</v>
      </c>
      <c r="AO21" s="41">
        <f>100%+AN21</f>
        <v>2</v>
      </c>
      <c r="AP21" s="43">
        <v>10872600000</v>
      </c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309"/>
      <c r="J22" s="104"/>
      <c r="K22" s="309"/>
      <c r="L22" s="104"/>
      <c r="M22" s="104"/>
      <c r="N22" s="107">
        <f>I22*I21+J22*J21+K22*K21+L22*L21+M22*M21</f>
        <v>0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/>
      <c r="B23" s="49"/>
      <c r="C23" s="259"/>
      <c r="D23" s="52"/>
      <c r="E23" s="49"/>
      <c r="F23" s="49"/>
      <c r="G23" s="53"/>
      <c r="H23" s="64"/>
      <c r="I23" s="303"/>
      <c r="J23" s="272"/>
      <c r="K23" s="26"/>
      <c r="L23" s="26"/>
      <c r="M23" s="62"/>
      <c r="N23" s="27">
        <f t="shared" si="0"/>
        <v>0</v>
      </c>
      <c r="O23" s="28">
        <v>1</v>
      </c>
      <c r="P23" s="313"/>
      <c r="Q23" s="277"/>
      <c r="R23" s="30"/>
      <c r="S23" s="30"/>
      <c r="T23" s="31"/>
      <c r="U23" s="32">
        <f t="shared" si="1"/>
        <v>0</v>
      </c>
      <c r="V23" s="68">
        <f t="shared" si="2"/>
        <v>0</v>
      </c>
      <c r="W23" s="314"/>
      <c r="X23" s="315"/>
      <c r="Y23" s="45"/>
      <c r="Z23" s="48"/>
      <c r="AA23" s="35"/>
      <c r="AB23" s="36" t="e">
        <f t="shared" si="3"/>
        <v>#DIV/0!</v>
      </c>
      <c r="AC23" s="68" t="e">
        <f t="shared" si="4"/>
        <v>#DIV/0!</v>
      </c>
      <c r="AD23" s="63"/>
      <c r="AE23" s="32" t="e">
        <f t="shared" si="5"/>
        <v>#DIV/0!</v>
      </c>
      <c r="AF23" s="56"/>
      <c r="AG23" s="114"/>
      <c r="AH23" s="37" t="e">
        <f t="shared" si="6"/>
        <v>#DIV/0!</v>
      </c>
      <c r="AI23" s="38">
        <v>65</v>
      </c>
      <c r="AJ23" s="30" t="e">
        <f t="shared" si="7"/>
        <v>#DIV/0!</v>
      </c>
      <c r="AK23" s="37" t="e">
        <f t="shared" si="8"/>
        <v>#DIV/0!</v>
      </c>
      <c r="AL23" s="39" t="e">
        <f t="shared" si="9"/>
        <v>#DIV/0!</v>
      </c>
      <c r="AM23" s="40"/>
      <c r="AN23" s="41">
        <f t="shared" si="10"/>
        <v>1</v>
      </c>
      <c r="AO23" s="41">
        <f>100%+AN23</f>
        <v>2</v>
      </c>
      <c r="AP23" s="316">
        <v>8501300000</v>
      </c>
      <c r="AQ23" s="70"/>
      <c r="AR23" s="310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309"/>
      <c r="J24" s="104"/>
      <c r="K24" s="309"/>
      <c r="L24" s="104"/>
      <c r="M24" s="104"/>
      <c r="N24" s="107">
        <f>I24*I23+J24*J23+K24*K23+L24*L23+M24*M23</f>
        <v>0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/>
      <c r="B25" s="49"/>
      <c r="C25" s="52"/>
      <c r="D25" s="49"/>
      <c r="E25" s="49"/>
      <c r="F25" s="49"/>
      <c r="G25" s="53"/>
      <c r="H25" s="64"/>
      <c r="I25" s="303"/>
      <c r="J25" s="26"/>
      <c r="K25" s="26"/>
      <c r="L25" s="26"/>
      <c r="M25" s="62"/>
      <c r="N25" s="27">
        <f t="shared" si="0"/>
        <v>0</v>
      </c>
      <c r="O25" s="28">
        <v>1</v>
      </c>
      <c r="P25" s="313"/>
      <c r="Q25" s="81"/>
      <c r="R25" s="30"/>
      <c r="S25" s="30"/>
      <c r="T25" s="31"/>
      <c r="U25" s="32">
        <f t="shared" si="1"/>
        <v>0</v>
      </c>
      <c r="V25" s="68">
        <f t="shared" si="2"/>
        <v>0</v>
      </c>
      <c r="W25" s="314"/>
      <c r="X25" s="60"/>
      <c r="Y25" s="45"/>
      <c r="Z25" s="48"/>
      <c r="AA25" s="35"/>
      <c r="AB25" s="36" t="e">
        <f t="shared" si="3"/>
        <v>#DIV/0!</v>
      </c>
      <c r="AC25" s="68" t="e">
        <f t="shared" si="4"/>
        <v>#DIV/0!</v>
      </c>
      <c r="AD25" s="63"/>
      <c r="AE25" s="32" t="e">
        <f t="shared" si="5"/>
        <v>#DIV/0!</v>
      </c>
      <c r="AF25" s="56"/>
      <c r="AG25" s="114"/>
      <c r="AH25" s="37" t="e">
        <f t="shared" si="6"/>
        <v>#DIV/0!</v>
      </c>
      <c r="AI25" s="38">
        <v>65</v>
      </c>
      <c r="AJ25" s="30" t="e">
        <f t="shared" si="7"/>
        <v>#DIV/0!</v>
      </c>
      <c r="AK25" s="37" t="e">
        <f t="shared" si="8"/>
        <v>#DIV/0!</v>
      </c>
      <c r="AL25" s="39" t="e">
        <f t="shared" si="9"/>
        <v>#DIV/0!</v>
      </c>
      <c r="AM25" s="40"/>
      <c r="AN25" s="41">
        <f t="shared" si="10"/>
        <v>1</v>
      </c>
      <c r="AO25" s="41">
        <f>100%+AN25</f>
        <v>2</v>
      </c>
      <c r="AP25" s="43">
        <v>4931800000</v>
      </c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84" t="s">
        <v>43</v>
      </c>
      <c r="B26" s="385"/>
      <c r="C26" s="385"/>
      <c r="D26" s="385"/>
      <c r="E26" s="385"/>
      <c r="F26" s="385"/>
      <c r="G26" s="385"/>
      <c r="H26" s="386"/>
      <c r="I26" s="309"/>
      <c r="J26" s="104"/>
      <c r="K26" s="104"/>
      <c r="L26" s="104"/>
      <c r="M26" s="104"/>
      <c r="N26" s="107">
        <f>I26*I25+J26*J25+K26*K25+L26*L25+M26*M25</f>
        <v>0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/>
      <c r="J27" s="26"/>
      <c r="K27" s="26"/>
      <c r="L27" s="26"/>
      <c r="M27" s="62"/>
      <c r="N27" s="27">
        <f t="shared" si="0"/>
        <v>0</v>
      </c>
      <c r="O27" s="28">
        <v>1</v>
      </c>
      <c r="P27" s="29"/>
      <c r="Q27" s="30"/>
      <c r="R27" s="30"/>
      <c r="S27" s="30"/>
      <c r="T27" s="31"/>
      <c r="U27" s="32">
        <f t="shared" si="1"/>
        <v>0</v>
      </c>
      <c r="V27" s="68">
        <f t="shared" si="2"/>
        <v>0</v>
      </c>
      <c r="W27" s="57"/>
      <c r="X27" s="60"/>
      <c r="Y27" s="45"/>
      <c r="Z27" s="48"/>
      <c r="AA27" s="35"/>
      <c r="AB27" s="36" t="e">
        <f t="shared" si="3"/>
        <v>#DIV/0!</v>
      </c>
      <c r="AC27" s="68" t="e">
        <f t="shared" si="4"/>
        <v>#DIV/0!</v>
      </c>
      <c r="AD27" s="63"/>
      <c r="AE27" s="32" t="e">
        <f t="shared" si="5"/>
        <v>#DIV/0!</v>
      </c>
      <c r="AF27" s="56"/>
      <c r="AG27" s="56"/>
      <c r="AH27" s="37" t="e">
        <f t="shared" si="6"/>
        <v>#DIV/0!</v>
      </c>
      <c r="AI27" s="38">
        <v>65</v>
      </c>
      <c r="AJ27" s="30" t="e">
        <f t="shared" si="7"/>
        <v>#DIV/0!</v>
      </c>
      <c r="AK27" s="37" t="e">
        <f t="shared" si="8"/>
        <v>#DIV/0!</v>
      </c>
      <c r="AL27" s="39" t="e">
        <f t="shared" si="9"/>
        <v>#DIV/0!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84" t="s">
        <v>43</v>
      </c>
      <c r="B28" s="385"/>
      <c r="C28" s="385"/>
      <c r="D28" s="385"/>
      <c r="E28" s="385"/>
      <c r="F28" s="385"/>
      <c r="G28" s="385"/>
      <c r="H28" s="386"/>
      <c r="I28" s="309"/>
      <c r="J28" s="104"/>
      <c r="K28" s="104"/>
      <c r="L28" s="104"/>
      <c r="M28" s="104"/>
      <c r="N28" s="107">
        <f>I28*I27+J28*J27+K28*K27+L28*L27+M28*M27</f>
        <v>0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/>
      <c r="J29" s="26"/>
      <c r="K29" s="26"/>
      <c r="L29" s="26"/>
      <c r="M29" s="62"/>
      <c r="N29" s="27">
        <f t="shared" si="0"/>
        <v>0</v>
      </c>
      <c r="O29" s="28">
        <v>1</v>
      </c>
      <c r="P29" s="29"/>
      <c r="Q29" s="30"/>
      <c r="R29" s="30"/>
      <c r="S29" s="30"/>
      <c r="T29" s="31"/>
      <c r="U29" s="32">
        <f t="shared" si="1"/>
        <v>0</v>
      </c>
      <c r="V29" s="68">
        <f t="shared" si="2"/>
        <v>0</v>
      </c>
      <c r="W29" s="57"/>
      <c r="X29" s="60"/>
      <c r="Y29" s="45"/>
      <c r="Z29" s="48"/>
      <c r="AA29" s="35"/>
      <c r="AB29" s="36" t="e">
        <f t="shared" si="3"/>
        <v>#DIV/0!</v>
      </c>
      <c r="AC29" s="68" t="e">
        <f t="shared" si="4"/>
        <v>#DIV/0!</v>
      </c>
      <c r="AD29" s="63"/>
      <c r="AE29" s="32" t="e">
        <f t="shared" si="5"/>
        <v>#DIV/0!</v>
      </c>
      <c r="AF29" s="56"/>
      <c r="AG29" s="56"/>
      <c r="AH29" s="37" t="e">
        <f t="shared" si="6"/>
        <v>#DIV/0!</v>
      </c>
      <c r="AI29" s="38">
        <v>65</v>
      </c>
      <c r="AJ29" s="30" t="e">
        <f t="shared" si="7"/>
        <v>#DIV/0!</v>
      </c>
      <c r="AK29" s="37" t="e">
        <f t="shared" si="8"/>
        <v>#DIV/0!</v>
      </c>
      <c r="AL29" s="39" t="e">
        <f t="shared" si="9"/>
        <v>#DIV/0!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84" t="s">
        <v>43</v>
      </c>
      <c r="B30" s="385"/>
      <c r="C30" s="385"/>
      <c r="D30" s="385"/>
      <c r="E30" s="385"/>
      <c r="F30" s="385"/>
      <c r="G30" s="385"/>
      <c r="H30" s="386"/>
      <c r="I30" s="309"/>
      <c r="J30" s="104"/>
      <c r="K30" s="104"/>
      <c r="L30" s="104"/>
      <c r="M30" s="104"/>
      <c r="N30" s="107">
        <f>I30*I29+J30*J29+K30*K29+L30*L29+M30*M29</f>
        <v>0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/>
      <c r="J31" s="26"/>
      <c r="K31" s="26"/>
      <c r="L31" s="26"/>
      <c r="M31" s="62"/>
      <c r="N31" s="27">
        <f t="shared" si="0"/>
        <v>0</v>
      </c>
      <c r="O31" s="28">
        <v>1</v>
      </c>
      <c r="P31" s="29"/>
      <c r="Q31" s="30"/>
      <c r="R31" s="30"/>
      <c r="S31" s="30"/>
      <c r="T31" s="31"/>
      <c r="U31" s="32">
        <f t="shared" si="1"/>
        <v>0</v>
      </c>
      <c r="V31" s="68">
        <f t="shared" si="2"/>
        <v>0</v>
      </c>
      <c r="W31" s="57"/>
      <c r="X31" s="60"/>
      <c r="Y31" s="45"/>
      <c r="Z31" s="48"/>
      <c r="AA31" s="35"/>
      <c r="AB31" s="36" t="e">
        <f t="shared" si="3"/>
        <v>#DIV/0!</v>
      </c>
      <c r="AC31" s="68" t="e">
        <f t="shared" si="4"/>
        <v>#DIV/0!</v>
      </c>
      <c r="AD31" s="63"/>
      <c r="AE31" s="32" t="e">
        <f t="shared" si="5"/>
        <v>#DIV/0!</v>
      </c>
      <c r="AF31" s="56"/>
      <c r="AG31" s="56"/>
      <c r="AH31" s="37" t="e">
        <f t="shared" si="6"/>
        <v>#DIV/0!</v>
      </c>
      <c r="AI31" s="38">
        <v>65</v>
      </c>
      <c r="AJ31" s="30" t="e">
        <f t="shared" si="7"/>
        <v>#DIV/0!</v>
      </c>
      <c r="AK31" s="37" t="e">
        <f t="shared" si="8"/>
        <v>#DIV/0!</v>
      </c>
      <c r="AL31" s="39" t="e">
        <f t="shared" si="9"/>
        <v>#DIV/0!</v>
      </c>
      <c r="AM31" s="40"/>
      <c r="AN31" s="41">
        <f t="shared" ref="AN31:AO49" si="26">100%+AM31</f>
        <v>1</v>
      </c>
      <c r="AO31" s="41">
        <f t="shared" si="26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84" t="s">
        <v>43</v>
      </c>
      <c r="B32" s="385"/>
      <c r="C32" s="385"/>
      <c r="D32" s="385"/>
      <c r="E32" s="385"/>
      <c r="F32" s="385"/>
      <c r="G32" s="385"/>
      <c r="H32" s="386"/>
      <c r="I32" s="309"/>
      <c r="J32" s="104"/>
      <c r="K32" s="104"/>
      <c r="L32" s="104"/>
      <c r="M32" s="104"/>
      <c r="N32" s="107">
        <f>I32*I31+J32*J31+K32*K31+L32*L31+M32*M31</f>
        <v>0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/>
      <c r="J33" s="26"/>
      <c r="K33" s="26"/>
      <c r="L33" s="26"/>
      <c r="M33" s="62"/>
      <c r="N33" s="27">
        <f t="shared" si="0"/>
        <v>0</v>
      </c>
      <c r="O33" s="28">
        <v>1</v>
      </c>
      <c r="P33" s="29"/>
      <c r="Q33" s="30"/>
      <c r="R33" s="30"/>
      <c r="S33" s="30"/>
      <c r="T33" s="31"/>
      <c r="U33" s="32">
        <f t="shared" si="1"/>
        <v>0</v>
      </c>
      <c r="V33" s="68">
        <f t="shared" si="2"/>
        <v>0</v>
      </c>
      <c r="W33" s="57"/>
      <c r="X33" s="60"/>
      <c r="Y33" s="45"/>
      <c r="Z33" s="48"/>
      <c r="AA33" s="35"/>
      <c r="AB33" s="36" t="e">
        <f t="shared" si="3"/>
        <v>#DIV/0!</v>
      </c>
      <c r="AC33" s="68" t="e">
        <f t="shared" si="4"/>
        <v>#DIV/0!</v>
      </c>
      <c r="AD33" s="63"/>
      <c r="AE33" s="32" t="e">
        <f t="shared" si="5"/>
        <v>#DIV/0!</v>
      </c>
      <c r="AF33" s="56"/>
      <c r="AG33" s="56"/>
      <c r="AH33" s="37" t="e">
        <f t="shared" si="6"/>
        <v>#DIV/0!</v>
      </c>
      <c r="AI33" s="38">
        <v>65</v>
      </c>
      <c r="AJ33" s="30" t="e">
        <f t="shared" si="7"/>
        <v>#DIV/0!</v>
      </c>
      <c r="AK33" s="37" t="e">
        <f t="shared" si="8"/>
        <v>#DIV/0!</v>
      </c>
      <c r="AL33" s="39" t="e">
        <f t="shared" si="9"/>
        <v>#DIV/0!</v>
      </c>
      <c r="AM33" s="40"/>
      <c r="AN33" s="41">
        <f t="shared" si="26"/>
        <v>1</v>
      </c>
      <c r="AO33" s="41">
        <f t="shared" si="26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84" t="s">
        <v>43</v>
      </c>
      <c r="B34" s="385"/>
      <c r="C34" s="385"/>
      <c r="D34" s="385"/>
      <c r="E34" s="385"/>
      <c r="F34" s="385"/>
      <c r="G34" s="385"/>
      <c r="H34" s="386"/>
      <c r="I34" s="309"/>
      <c r="J34" s="104"/>
      <c r="K34" s="104"/>
      <c r="L34" s="104"/>
      <c r="M34" s="104"/>
      <c r="N34" s="107">
        <f>I34*I33+J34*J33+K34*K33+L34*L33+M34*M33</f>
        <v>0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/>
      <c r="J35" s="26"/>
      <c r="K35" s="26"/>
      <c r="L35" s="26"/>
      <c r="M35" s="62"/>
      <c r="N35" s="27">
        <f t="shared" si="0"/>
        <v>0</v>
      </c>
      <c r="O35" s="28">
        <v>1</v>
      </c>
      <c r="P35" s="29"/>
      <c r="Q35" s="30"/>
      <c r="R35" s="30"/>
      <c r="S35" s="30"/>
      <c r="T35" s="31"/>
      <c r="U35" s="32">
        <f t="shared" si="1"/>
        <v>0</v>
      </c>
      <c r="V35" s="68">
        <f t="shared" si="2"/>
        <v>0</v>
      </c>
      <c r="W35" s="57"/>
      <c r="X35" s="60"/>
      <c r="Y35" s="45"/>
      <c r="Z35" s="48"/>
      <c r="AA35" s="35"/>
      <c r="AB35" s="36" t="e">
        <f t="shared" si="3"/>
        <v>#DIV/0!</v>
      </c>
      <c r="AC35" s="68" t="e">
        <f t="shared" si="4"/>
        <v>#DIV/0!</v>
      </c>
      <c r="AD35" s="63"/>
      <c r="AE35" s="32" t="e">
        <f t="shared" si="5"/>
        <v>#DIV/0!</v>
      </c>
      <c r="AF35" s="56"/>
      <c r="AG35" s="56"/>
      <c r="AH35" s="37" t="e">
        <f t="shared" si="6"/>
        <v>#DIV/0!</v>
      </c>
      <c r="AI35" s="38">
        <v>65</v>
      </c>
      <c r="AJ35" s="30" t="e">
        <f t="shared" si="7"/>
        <v>#DIV/0!</v>
      </c>
      <c r="AK35" s="37" t="e">
        <f t="shared" si="8"/>
        <v>#DIV/0!</v>
      </c>
      <c r="AL35" s="39" t="e">
        <f t="shared" si="9"/>
        <v>#DIV/0!</v>
      </c>
      <c r="AM35" s="40"/>
      <c r="AN35" s="41">
        <f t="shared" si="26"/>
        <v>1</v>
      </c>
      <c r="AO35" s="41">
        <f t="shared" si="26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84" t="s">
        <v>43</v>
      </c>
      <c r="B36" s="385"/>
      <c r="C36" s="385"/>
      <c r="D36" s="385"/>
      <c r="E36" s="385"/>
      <c r="F36" s="385"/>
      <c r="G36" s="385"/>
      <c r="H36" s="386"/>
      <c r="I36" s="309"/>
      <c r="J36" s="104"/>
      <c r="K36" s="104"/>
      <c r="L36" s="104"/>
      <c r="M36" s="104"/>
      <c r="N36" s="107">
        <f>I36*I35+J36*J35+K36*K35+L36*L35+M36*M35</f>
        <v>0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/>
      <c r="J37" s="26"/>
      <c r="K37" s="26"/>
      <c r="L37" s="26"/>
      <c r="M37" s="62"/>
      <c r="N37" s="27">
        <f t="shared" si="0"/>
        <v>0</v>
      </c>
      <c r="O37" s="28">
        <v>1</v>
      </c>
      <c r="P37" s="29"/>
      <c r="Q37" s="30"/>
      <c r="R37" s="30"/>
      <c r="S37" s="30"/>
      <c r="T37" s="31"/>
      <c r="U37" s="32">
        <f t="shared" si="1"/>
        <v>0</v>
      </c>
      <c r="V37" s="68">
        <f t="shared" si="2"/>
        <v>0</v>
      </c>
      <c r="W37" s="57"/>
      <c r="X37" s="60"/>
      <c r="Y37" s="45"/>
      <c r="Z37" s="48"/>
      <c r="AA37" s="35"/>
      <c r="AB37" s="36" t="e">
        <f t="shared" si="3"/>
        <v>#DIV/0!</v>
      </c>
      <c r="AC37" s="68" t="e">
        <f t="shared" si="4"/>
        <v>#DIV/0!</v>
      </c>
      <c r="AD37" s="63"/>
      <c r="AE37" s="32" t="e">
        <f t="shared" si="5"/>
        <v>#DIV/0!</v>
      </c>
      <c r="AF37" s="56"/>
      <c r="AG37" s="56"/>
      <c r="AH37" s="37" t="e">
        <f t="shared" si="6"/>
        <v>#DIV/0!</v>
      </c>
      <c r="AI37" s="38">
        <v>65</v>
      </c>
      <c r="AJ37" s="30" t="e">
        <f t="shared" si="7"/>
        <v>#DIV/0!</v>
      </c>
      <c r="AK37" s="37" t="e">
        <f t="shared" si="8"/>
        <v>#DIV/0!</v>
      </c>
      <c r="AL37" s="39" t="e">
        <f t="shared" si="9"/>
        <v>#DIV/0!</v>
      </c>
      <c r="AM37" s="40"/>
      <c r="AN37" s="41">
        <f t="shared" si="26"/>
        <v>1</v>
      </c>
      <c r="AO37" s="41">
        <f t="shared" si="26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21.95" customHeight="1" thickBot="1" x14ac:dyDescent="0.2">
      <c r="A38" s="384" t="s">
        <v>43</v>
      </c>
      <c r="B38" s="385"/>
      <c r="C38" s="385"/>
      <c r="D38" s="385"/>
      <c r="E38" s="385"/>
      <c r="F38" s="385"/>
      <c r="G38" s="385"/>
      <c r="H38" s="386"/>
      <c r="I38" s="309"/>
      <c r="J38" s="104"/>
      <c r="K38" s="104"/>
      <c r="L38" s="104"/>
      <c r="M38" s="104"/>
      <c r="N38" s="107">
        <f>I38*I37+J38*J37+K38*K37+L38*L37+M38*M37</f>
        <v>0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/>
      <c r="J39" s="26"/>
      <c r="K39" s="26"/>
      <c r="L39" s="26"/>
      <c r="M39" s="62"/>
      <c r="N39" s="27">
        <f t="shared" si="0"/>
        <v>0</v>
      </c>
      <c r="O39" s="28">
        <v>1</v>
      </c>
      <c r="P39" s="29"/>
      <c r="Q39" s="30"/>
      <c r="R39" s="30"/>
      <c r="S39" s="30"/>
      <c r="T39" s="31"/>
      <c r="U39" s="32">
        <f t="shared" si="1"/>
        <v>0</v>
      </c>
      <c r="V39" s="68">
        <f t="shared" si="2"/>
        <v>0</v>
      </c>
      <c r="W39" s="57"/>
      <c r="X39" s="60"/>
      <c r="Y39" s="45"/>
      <c r="Z39" s="48"/>
      <c r="AA39" s="35"/>
      <c r="AB39" s="36" t="e">
        <f t="shared" si="3"/>
        <v>#DIV/0!</v>
      </c>
      <c r="AC39" s="68" t="e">
        <f t="shared" si="4"/>
        <v>#DIV/0!</v>
      </c>
      <c r="AD39" s="63"/>
      <c r="AE39" s="32" t="e">
        <f t="shared" si="5"/>
        <v>#DIV/0!</v>
      </c>
      <c r="AF39" s="56"/>
      <c r="AG39" s="56"/>
      <c r="AH39" s="37" t="e">
        <f t="shared" si="6"/>
        <v>#DIV/0!</v>
      </c>
      <c r="AI39" s="38">
        <v>65</v>
      </c>
      <c r="AJ39" s="30" t="e">
        <f t="shared" si="7"/>
        <v>#DIV/0!</v>
      </c>
      <c r="AK39" s="37" t="e">
        <f t="shared" si="8"/>
        <v>#DIV/0!</v>
      </c>
      <c r="AL39" s="39" t="e">
        <f t="shared" si="9"/>
        <v>#DIV/0!</v>
      </c>
      <c r="AM39" s="40"/>
      <c r="AN39" s="41">
        <f t="shared" si="26"/>
        <v>1</v>
      </c>
      <c r="AO39" s="41">
        <f t="shared" si="26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21.95" customHeight="1" thickBot="1" x14ac:dyDescent="0.2">
      <c r="A40" s="384" t="s">
        <v>43</v>
      </c>
      <c r="B40" s="385"/>
      <c r="C40" s="385"/>
      <c r="D40" s="385"/>
      <c r="E40" s="385"/>
      <c r="F40" s="385"/>
      <c r="G40" s="385"/>
      <c r="H40" s="386"/>
      <c r="I40" s="309"/>
      <c r="J40" s="104"/>
      <c r="K40" s="104"/>
      <c r="L40" s="104"/>
      <c r="M40" s="104"/>
      <c r="N40" s="107">
        <f>I40*I39+J40*J39+K40*K39+L40*L39+M40*M39</f>
        <v>0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/>
      <c r="J41" s="26"/>
      <c r="K41" s="26"/>
      <c r="L41" s="26"/>
      <c r="M41" s="62"/>
      <c r="N41" s="27">
        <f t="shared" si="0"/>
        <v>0</v>
      </c>
      <c r="O41" s="28">
        <v>1</v>
      </c>
      <c r="P41" s="29"/>
      <c r="Q41" s="30"/>
      <c r="R41" s="30"/>
      <c r="S41" s="30"/>
      <c r="T41" s="31"/>
      <c r="U41" s="32">
        <f t="shared" si="1"/>
        <v>0</v>
      </c>
      <c r="V41" s="68">
        <f t="shared" si="2"/>
        <v>0</v>
      </c>
      <c r="W41" s="57"/>
      <c r="X41" s="60"/>
      <c r="Y41" s="45"/>
      <c r="Z41" s="48"/>
      <c r="AA41" s="35"/>
      <c r="AB41" s="36" t="e">
        <f t="shared" si="3"/>
        <v>#DIV/0!</v>
      </c>
      <c r="AC41" s="68" t="e">
        <f t="shared" si="4"/>
        <v>#DIV/0!</v>
      </c>
      <c r="AD41" s="63"/>
      <c r="AE41" s="32" t="e">
        <f t="shared" si="5"/>
        <v>#DIV/0!</v>
      </c>
      <c r="AF41" s="56"/>
      <c r="AG41" s="56"/>
      <c r="AH41" s="37" t="e">
        <f t="shared" si="6"/>
        <v>#DIV/0!</v>
      </c>
      <c r="AI41" s="38">
        <v>65</v>
      </c>
      <c r="AJ41" s="30" t="e">
        <f t="shared" si="7"/>
        <v>#DIV/0!</v>
      </c>
      <c r="AK41" s="37" t="e">
        <f t="shared" si="8"/>
        <v>#DIV/0!</v>
      </c>
      <c r="AL41" s="39" t="e">
        <f t="shared" si="9"/>
        <v>#DIV/0!</v>
      </c>
      <c r="AM41" s="40"/>
      <c r="AN41" s="41">
        <f t="shared" si="26"/>
        <v>1</v>
      </c>
      <c r="AO41" s="41">
        <f t="shared" si="26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21.95" customHeight="1" thickBot="1" x14ac:dyDescent="0.2">
      <c r="A42" s="384" t="s">
        <v>43</v>
      </c>
      <c r="B42" s="385"/>
      <c r="C42" s="385"/>
      <c r="D42" s="385"/>
      <c r="E42" s="385"/>
      <c r="F42" s="385"/>
      <c r="G42" s="385"/>
      <c r="H42" s="386"/>
      <c r="I42" s="309"/>
      <c r="J42" s="104"/>
      <c r="K42" s="104"/>
      <c r="L42" s="104"/>
      <c r="M42" s="104"/>
      <c r="N42" s="107">
        <f>I42*I41+J42*J41+K42*K41+L42*L41+M42*M41</f>
        <v>0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/>
      <c r="J43" s="26"/>
      <c r="K43" s="26"/>
      <c r="L43" s="26"/>
      <c r="M43" s="62"/>
      <c r="N43" s="27">
        <f t="shared" ref="N43:N105" si="27">SUM(I43:M43)</f>
        <v>0</v>
      </c>
      <c r="O43" s="28">
        <v>1</v>
      </c>
      <c r="P43" s="29"/>
      <c r="Q43" s="30"/>
      <c r="R43" s="30"/>
      <c r="S43" s="30"/>
      <c r="T43" s="31"/>
      <c r="U43" s="32">
        <f t="shared" si="1"/>
        <v>0</v>
      </c>
      <c r="V43" s="68">
        <f t="shared" si="2"/>
        <v>0</v>
      </c>
      <c r="W43" s="57"/>
      <c r="X43" s="60"/>
      <c r="Y43" s="45"/>
      <c r="Z43" s="48"/>
      <c r="AA43" s="35"/>
      <c r="AB43" s="36" t="e">
        <f t="shared" si="3"/>
        <v>#DIV/0!</v>
      </c>
      <c r="AC43" s="68" t="e">
        <f t="shared" si="4"/>
        <v>#DIV/0!</v>
      </c>
      <c r="AD43" s="63"/>
      <c r="AE43" s="32" t="e">
        <f t="shared" si="5"/>
        <v>#DIV/0!</v>
      </c>
      <c r="AF43" s="56"/>
      <c r="AG43" s="56"/>
      <c r="AH43" s="37" t="e">
        <f t="shared" si="6"/>
        <v>#DIV/0!</v>
      </c>
      <c r="AI43" s="38">
        <v>65</v>
      </c>
      <c r="AJ43" s="30" t="e">
        <f t="shared" si="7"/>
        <v>#DIV/0!</v>
      </c>
      <c r="AK43" s="37" t="e">
        <f t="shared" si="8"/>
        <v>#DIV/0!</v>
      </c>
      <c r="AL43" s="39" t="e">
        <f t="shared" si="9"/>
        <v>#DIV/0!</v>
      </c>
      <c r="AM43" s="40"/>
      <c r="AN43" s="41">
        <f t="shared" si="26"/>
        <v>1</v>
      </c>
      <c r="AO43" s="41">
        <f t="shared" si="26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21.95" customHeight="1" thickBot="1" x14ac:dyDescent="0.2">
      <c r="A44" s="384" t="s">
        <v>43</v>
      </c>
      <c r="B44" s="385"/>
      <c r="C44" s="385"/>
      <c r="D44" s="385"/>
      <c r="E44" s="385"/>
      <c r="F44" s="385"/>
      <c r="G44" s="385"/>
      <c r="H44" s="386"/>
      <c r="I44" s="309"/>
      <c r="J44" s="104"/>
      <c r="K44" s="104"/>
      <c r="L44" s="104"/>
      <c r="M44" s="104"/>
      <c r="N44" s="107">
        <f>I44*I43+J44*J43+K44*K43+L44*L43+M44*M43</f>
        <v>0</v>
      </c>
      <c r="O44" s="28"/>
      <c r="P44" s="29"/>
      <c r="Q44" s="30"/>
      <c r="R44" s="30"/>
      <c r="S44" s="31"/>
      <c r="T44" s="89"/>
      <c r="U44" s="32"/>
      <c r="V44" s="68"/>
      <c r="W44" s="98"/>
      <c r="X44" s="45"/>
      <c r="Y44" s="93"/>
      <c r="Z44" s="45"/>
      <c r="AA44" s="35"/>
      <c r="AB44" s="36"/>
      <c r="AC44" s="68"/>
      <c r="AD44" s="32"/>
      <c r="AE44" s="32"/>
      <c r="AF44" s="61"/>
      <c r="AG44" s="56"/>
      <c r="AH44" s="37"/>
      <c r="AI44" s="38"/>
      <c r="AJ44" s="30"/>
      <c r="AK44" s="37"/>
      <c r="AL44" s="39"/>
      <c r="AM44" s="40"/>
      <c r="AN44" s="41"/>
      <c r="AO44" s="41"/>
      <c r="AP44" s="43"/>
      <c r="AQ44" s="70"/>
      <c r="AR44" s="58"/>
      <c r="AS44" s="58"/>
      <c r="AT44" s="58"/>
      <c r="AU44" s="58"/>
      <c r="AV44" s="59"/>
      <c r="AW44" s="71"/>
      <c r="AX44" s="71"/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/>
      <c r="J45" s="26"/>
      <c r="K45" s="26"/>
      <c r="L45" s="26"/>
      <c r="M45" s="62"/>
      <c r="N45" s="27">
        <f t="shared" si="27"/>
        <v>0</v>
      </c>
      <c r="O45" s="28">
        <v>1</v>
      </c>
      <c r="P45" s="29"/>
      <c r="Q45" s="30"/>
      <c r="R45" s="30"/>
      <c r="S45" s="30"/>
      <c r="T45" s="31"/>
      <c r="U45" s="32">
        <f t="shared" si="1"/>
        <v>0</v>
      </c>
      <c r="V45" s="68">
        <f t="shared" si="2"/>
        <v>0</v>
      </c>
      <c r="W45" s="57"/>
      <c r="X45" s="60"/>
      <c r="Y45" s="45"/>
      <c r="Z45" s="48"/>
      <c r="AA45" s="35"/>
      <c r="AB45" s="36" t="e">
        <f t="shared" si="3"/>
        <v>#DIV/0!</v>
      </c>
      <c r="AC45" s="68" t="e">
        <f t="shared" si="4"/>
        <v>#DIV/0!</v>
      </c>
      <c r="AD45" s="63"/>
      <c r="AE45" s="32" t="e">
        <f t="shared" si="5"/>
        <v>#DIV/0!</v>
      </c>
      <c r="AF45" s="56"/>
      <c r="AG45" s="56"/>
      <c r="AH45" s="37" t="e">
        <f t="shared" si="6"/>
        <v>#DIV/0!</v>
      </c>
      <c r="AI45" s="38">
        <v>65</v>
      </c>
      <c r="AJ45" s="30" t="e">
        <f t="shared" si="7"/>
        <v>#DIV/0!</v>
      </c>
      <c r="AK45" s="37" t="e">
        <f t="shared" si="8"/>
        <v>#DIV/0!</v>
      </c>
      <c r="AL45" s="39" t="e">
        <f t="shared" si="9"/>
        <v>#DIV/0!</v>
      </c>
      <c r="AM45" s="40"/>
      <c r="AN45" s="41">
        <f t="shared" si="26"/>
        <v>1</v>
      </c>
      <c r="AO45" s="41">
        <f t="shared" si="26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21.95" customHeight="1" thickBot="1" x14ac:dyDescent="0.2">
      <c r="A46" s="384" t="s">
        <v>43</v>
      </c>
      <c r="B46" s="385"/>
      <c r="C46" s="385"/>
      <c r="D46" s="385"/>
      <c r="E46" s="385"/>
      <c r="F46" s="385"/>
      <c r="G46" s="385"/>
      <c r="H46" s="386"/>
      <c r="I46" s="309"/>
      <c r="J46" s="104"/>
      <c r="K46" s="104"/>
      <c r="L46" s="104"/>
      <c r="M46" s="104"/>
      <c r="N46" s="107">
        <f>I46*I45+J46*J45+K46*K45+L46*L45+M46*M45</f>
        <v>0</v>
      </c>
      <c r="O46" s="28"/>
      <c r="P46" s="29"/>
      <c r="Q46" s="30"/>
      <c r="R46" s="30"/>
      <c r="S46" s="31"/>
      <c r="T46" s="89"/>
      <c r="U46" s="32"/>
      <c r="V46" s="68"/>
      <c r="W46" s="98"/>
      <c r="X46" s="45"/>
      <c r="Y46" s="93"/>
      <c r="Z46" s="45"/>
      <c r="AA46" s="35"/>
      <c r="AB46" s="36"/>
      <c r="AC46" s="68"/>
      <c r="AD46" s="32"/>
      <c r="AE46" s="32"/>
      <c r="AF46" s="61"/>
      <c r="AG46" s="56"/>
      <c r="AH46" s="37"/>
      <c r="AI46" s="38"/>
      <c r="AJ46" s="30"/>
      <c r="AK46" s="37"/>
      <c r="AL46" s="39"/>
      <c r="AM46" s="40"/>
      <c r="AN46" s="41"/>
      <c r="AO46" s="41"/>
      <c r="AP46" s="43"/>
      <c r="AQ46" s="70"/>
      <c r="AR46" s="58"/>
      <c r="AS46" s="58"/>
      <c r="AT46" s="58"/>
      <c r="AU46" s="58"/>
      <c r="AV46" s="59"/>
      <c r="AW46" s="71"/>
      <c r="AX46" s="71"/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/>
      <c r="J47" s="26"/>
      <c r="K47" s="26"/>
      <c r="L47" s="26"/>
      <c r="M47" s="62"/>
      <c r="N47" s="27">
        <f t="shared" si="27"/>
        <v>0</v>
      </c>
      <c r="O47" s="28">
        <v>1</v>
      </c>
      <c r="P47" s="29"/>
      <c r="Q47" s="30"/>
      <c r="R47" s="30"/>
      <c r="S47" s="30"/>
      <c r="T47" s="31"/>
      <c r="U47" s="32">
        <f t="shared" si="1"/>
        <v>0</v>
      </c>
      <c r="V47" s="68">
        <f t="shared" si="2"/>
        <v>0</v>
      </c>
      <c r="W47" s="57"/>
      <c r="X47" s="60"/>
      <c r="Y47" s="45"/>
      <c r="Z47" s="48"/>
      <c r="AA47" s="35"/>
      <c r="AB47" s="36" t="e">
        <f t="shared" si="3"/>
        <v>#DIV/0!</v>
      </c>
      <c r="AC47" s="68" t="e">
        <f t="shared" si="4"/>
        <v>#DIV/0!</v>
      </c>
      <c r="AD47" s="63"/>
      <c r="AE47" s="32" t="e">
        <f t="shared" si="5"/>
        <v>#DIV/0!</v>
      </c>
      <c r="AF47" s="56"/>
      <c r="AG47" s="56"/>
      <c r="AH47" s="37" t="e">
        <f t="shared" si="6"/>
        <v>#DIV/0!</v>
      </c>
      <c r="AI47" s="38">
        <v>65</v>
      </c>
      <c r="AJ47" s="30" t="e">
        <f t="shared" si="7"/>
        <v>#DIV/0!</v>
      </c>
      <c r="AK47" s="37" t="e">
        <f t="shared" si="8"/>
        <v>#DIV/0!</v>
      </c>
      <c r="AL47" s="39" t="e">
        <f t="shared" si="9"/>
        <v>#DIV/0!</v>
      </c>
      <c r="AM47" s="40"/>
      <c r="AN47" s="41">
        <f t="shared" si="26"/>
        <v>1</v>
      </c>
      <c r="AO47" s="41">
        <f t="shared" si="26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21.95" customHeight="1" thickBot="1" x14ac:dyDescent="0.2">
      <c r="A48" s="384" t="s">
        <v>43</v>
      </c>
      <c r="B48" s="385"/>
      <c r="C48" s="385"/>
      <c r="D48" s="385"/>
      <c r="E48" s="385"/>
      <c r="F48" s="385"/>
      <c r="G48" s="385"/>
      <c r="H48" s="386"/>
      <c r="I48" s="309"/>
      <c r="J48" s="104"/>
      <c r="K48" s="104"/>
      <c r="L48" s="104"/>
      <c r="M48" s="104"/>
      <c r="N48" s="107">
        <f>I48*I47+J48*J47+K48*K47+L48*L47+M48*M47</f>
        <v>0</v>
      </c>
      <c r="O48" s="28"/>
      <c r="P48" s="29"/>
      <c r="Q48" s="30"/>
      <c r="R48" s="30"/>
      <c r="S48" s="31"/>
      <c r="T48" s="89"/>
      <c r="U48" s="32"/>
      <c r="V48" s="68"/>
      <c r="W48" s="98"/>
      <c r="X48" s="45"/>
      <c r="Y48" s="93"/>
      <c r="Z48" s="45"/>
      <c r="AA48" s="35"/>
      <c r="AB48" s="36"/>
      <c r="AC48" s="68"/>
      <c r="AD48" s="32"/>
      <c r="AE48" s="32"/>
      <c r="AF48" s="61"/>
      <c r="AG48" s="56"/>
      <c r="AH48" s="37"/>
      <c r="AI48" s="38"/>
      <c r="AJ48" s="30"/>
      <c r="AK48" s="37"/>
      <c r="AL48" s="39"/>
      <c r="AM48" s="40"/>
      <c r="AN48" s="41"/>
      <c r="AO48" s="41"/>
      <c r="AP48" s="43"/>
      <c r="AQ48" s="70"/>
      <c r="AR48" s="58"/>
      <c r="AS48" s="58"/>
      <c r="AT48" s="58"/>
      <c r="AU48" s="58"/>
      <c r="AV48" s="59"/>
      <c r="AW48" s="71"/>
      <c r="AX48" s="71"/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/>
      <c r="J49" s="26"/>
      <c r="K49" s="26"/>
      <c r="L49" s="26"/>
      <c r="M49" s="62"/>
      <c r="N49" s="27">
        <f t="shared" si="27"/>
        <v>0</v>
      </c>
      <c r="O49" s="28">
        <v>1</v>
      </c>
      <c r="P49" s="29"/>
      <c r="Q49" s="30"/>
      <c r="R49" s="30"/>
      <c r="S49" s="30"/>
      <c r="T49" s="31"/>
      <c r="U49" s="32">
        <f t="shared" si="1"/>
        <v>0</v>
      </c>
      <c r="V49" s="68">
        <f t="shared" si="2"/>
        <v>0</v>
      </c>
      <c r="W49" s="57"/>
      <c r="X49" s="60"/>
      <c r="Y49" s="45"/>
      <c r="Z49" s="48"/>
      <c r="AA49" s="35"/>
      <c r="AB49" s="36" t="e">
        <f t="shared" si="3"/>
        <v>#DIV/0!</v>
      </c>
      <c r="AC49" s="68" t="e">
        <f t="shared" si="4"/>
        <v>#DIV/0!</v>
      </c>
      <c r="AD49" s="63"/>
      <c r="AE49" s="32" t="e">
        <f t="shared" si="5"/>
        <v>#DIV/0!</v>
      </c>
      <c r="AF49" s="56"/>
      <c r="AG49" s="56"/>
      <c r="AH49" s="37" t="e">
        <f t="shared" si="6"/>
        <v>#DIV/0!</v>
      </c>
      <c r="AI49" s="38">
        <v>65</v>
      </c>
      <c r="AJ49" s="30" t="e">
        <f t="shared" si="7"/>
        <v>#DIV/0!</v>
      </c>
      <c r="AK49" s="37" t="e">
        <f t="shared" si="8"/>
        <v>#DIV/0!</v>
      </c>
      <c r="AL49" s="39" t="e">
        <f t="shared" si="9"/>
        <v>#DIV/0!</v>
      </c>
      <c r="AM49" s="40"/>
      <c r="AN49" s="41">
        <f t="shared" si="26"/>
        <v>1</v>
      </c>
      <c r="AO49" s="41">
        <f t="shared" si="26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21.95" customHeight="1" thickBot="1" x14ac:dyDescent="0.2">
      <c r="A50" s="384" t="s">
        <v>43</v>
      </c>
      <c r="B50" s="385"/>
      <c r="C50" s="385"/>
      <c r="D50" s="385"/>
      <c r="E50" s="385"/>
      <c r="F50" s="385"/>
      <c r="G50" s="385"/>
      <c r="H50" s="386"/>
      <c r="I50" s="309"/>
      <c r="J50" s="104"/>
      <c r="K50" s="104"/>
      <c r="L50" s="104"/>
      <c r="M50" s="104"/>
      <c r="N50" s="107">
        <f>I50*I49+J50*J49+K50*K49+L50*L49+M50*M49</f>
        <v>0</v>
      </c>
      <c r="O50" s="28"/>
      <c r="P50" s="29"/>
      <c r="Q50" s="30"/>
      <c r="R50" s="30"/>
      <c r="S50" s="31"/>
      <c r="T50" s="89"/>
      <c r="U50" s="32"/>
      <c r="V50" s="68"/>
      <c r="W50" s="98"/>
      <c r="X50" s="45"/>
      <c r="Y50" s="93"/>
      <c r="Z50" s="45"/>
      <c r="AA50" s="35"/>
      <c r="AB50" s="36"/>
      <c r="AC50" s="68"/>
      <c r="AD50" s="32"/>
      <c r="AE50" s="32"/>
      <c r="AF50" s="61"/>
      <c r="AG50" s="56"/>
      <c r="AH50" s="37"/>
      <c r="AI50" s="38"/>
      <c r="AJ50" s="30"/>
      <c r="AK50" s="37"/>
      <c r="AL50" s="39"/>
      <c r="AM50" s="40"/>
      <c r="AN50" s="41"/>
      <c r="AO50" s="41"/>
      <c r="AP50" s="43"/>
      <c r="AQ50" s="70"/>
      <c r="AR50" s="58"/>
      <c r="AS50" s="58"/>
      <c r="AT50" s="58"/>
      <c r="AU50" s="58"/>
      <c r="AV50" s="59"/>
      <c r="AW50" s="71"/>
      <c r="AX50" s="71"/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/>
      <c r="J51" s="26"/>
      <c r="K51" s="26"/>
      <c r="L51" s="26"/>
      <c r="M51" s="62"/>
      <c r="N51" s="27">
        <f t="shared" si="27"/>
        <v>0</v>
      </c>
      <c r="O51" s="28">
        <v>1</v>
      </c>
      <c r="P51" s="29"/>
      <c r="Q51" s="30"/>
      <c r="R51" s="30"/>
      <c r="S51" s="30"/>
      <c r="T51" s="31"/>
      <c r="U51" s="32">
        <f t="shared" si="1"/>
        <v>0</v>
      </c>
      <c r="V51" s="68">
        <f t="shared" si="2"/>
        <v>0</v>
      </c>
      <c r="W51" s="57"/>
      <c r="X51" s="60"/>
      <c r="Y51" s="45"/>
      <c r="Z51" s="48"/>
      <c r="AA51" s="35"/>
      <c r="AB51" s="36" t="e">
        <f t="shared" si="3"/>
        <v>#DIV/0!</v>
      </c>
      <c r="AC51" s="68" t="e">
        <f t="shared" si="4"/>
        <v>#DIV/0!</v>
      </c>
      <c r="AD51" s="63"/>
      <c r="AE51" s="32" t="e">
        <f t="shared" si="5"/>
        <v>#DIV/0!</v>
      </c>
      <c r="AF51" s="56"/>
      <c r="AG51" s="56"/>
      <c r="AH51" s="37" t="e">
        <f t="shared" si="6"/>
        <v>#DIV/0!</v>
      </c>
      <c r="AI51" s="38">
        <v>65</v>
      </c>
      <c r="AJ51" s="30" t="e">
        <f t="shared" si="7"/>
        <v>#DIV/0!</v>
      </c>
      <c r="AK51" s="37" t="e">
        <f t="shared" si="8"/>
        <v>#DIV/0!</v>
      </c>
      <c r="AL51" s="39" t="e">
        <f t="shared" si="9"/>
        <v>#DIV/0!</v>
      </c>
      <c r="AM51" s="40"/>
      <c r="AN51" s="41">
        <f t="shared" ref="AN51:AO69" si="28">100%+AM51</f>
        <v>1</v>
      </c>
      <c r="AO51" s="41">
        <f t="shared" si="28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21.95" customHeight="1" thickBot="1" x14ac:dyDescent="0.2">
      <c r="A52" s="384" t="s">
        <v>43</v>
      </c>
      <c r="B52" s="385"/>
      <c r="C52" s="385"/>
      <c r="D52" s="385"/>
      <c r="E52" s="385"/>
      <c r="F52" s="385"/>
      <c r="G52" s="385"/>
      <c r="H52" s="386"/>
      <c r="I52" s="309"/>
      <c r="J52" s="104"/>
      <c r="K52" s="104"/>
      <c r="L52" s="104"/>
      <c r="M52" s="104"/>
      <c r="N52" s="107">
        <f>I52*I51+J52*J51+K52*K51+L52*L51+M52*M51</f>
        <v>0</v>
      </c>
      <c r="O52" s="28"/>
      <c r="P52" s="29"/>
      <c r="Q52" s="30"/>
      <c r="R52" s="30"/>
      <c r="S52" s="31"/>
      <c r="T52" s="89"/>
      <c r="U52" s="32"/>
      <c r="V52" s="68"/>
      <c r="W52" s="98"/>
      <c r="X52" s="45"/>
      <c r="Y52" s="93"/>
      <c r="Z52" s="45"/>
      <c r="AA52" s="35"/>
      <c r="AB52" s="36"/>
      <c r="AC52" s="68"/>
      <c r="AD52" s="32"/>
      <c r="AE52" s="32"/>
      <c r="AF52" s="61"/>
      <c r="AG52" s="56"/>
      <c r="AH52" s="37"/>
      <c r="AI52" s="38"/>
      <c r="AJ52" s="30"/>
      <c r="AK52" s="37"/>
      <c r="AL52" s="39"/>
      <c r="AM52" s="40"/>
      <c r="AN52" s="41"/>
      <c r="AO52" s="41"/>
      <c r="AP52" s="43"/>
      <c r="AQ52" s="70"/>
      <c r="AR52" s="58"/>
      <c r="AS52" s="58"/>
      <c r="AT52" s="58"/>
      <c r="AU52" s="58"/>
      <c r="AV52" s="59"/>
      <c r="AW52" s="71"/>
      <c r="AX52" s="71"/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/>
      <c r="J53" s="26"/>
      <c r="K53" s="26"/>
      <c r="L53" s="26"/>
      <c r="M53" s="62"/>
      <c r="N53" s="27">
        <f t="shared" si="27"/>
        <v>0</v>
      </c>
      <c r="O53" s="28">
        <v>1</v>
      </c>
      <c r="P53" s="29"/>
      <c r="Q53" s="30"/>
      <c r="R53" s="30"/>
      <c r="S53" s="30"/>
      <c r="T53" s="31"/>
      <c r="U53" s="32">
        <f t="shared" si="1"/>
        <v>0</v>
      </c>
      <c r="V53" s="68">
        <f t="shared" si="2"/>
        <v>0</v>
      </c>
      <c r="W53" s="57"/>
      <c r="X53" s="60"/>
      <c r="Y53" s="45"/>
      <c r="Z53" s="48"/>
      <c r="AA53" s="35"/>
      <c r="AB53" s="36" t="e">
        <f t="shared" si="3"/>
        <v>#DIV/0!</v>
      </c>
      <c r="AC53" s="68" t="e">
        <f t="shared" si="4"/>
        <v>#DIV/0!</v>
      </c>
      <c r="AD53" s="63"/>
      <c r="AE53" s="32" t="e">
        <f t="shared" si="5"/>
        <v>#DIV/0!</v>
      </c>
      <c r="AF53" s="56"/>
      <c r="AG53" s="56"/>
      <c r="AH53" s="37" t="e">
        <f t="shared" si="6"/>
        <v>#DIV/0!</v>
      </c>
      <c r="AI53" s="38">
        <v>65</v>
      </c>
      <c r="AJ53" s="30" t="e">
        <f t="shared" si="7"/>
        <v>#DIV/0!</v>
      </c>
      <c r="AK53" s="37" t="e">
        <f t="shared" si="8"/>
        <v>#DIV/0!</v>
      </c>
      <c r="AL53" s="39" t="e">
        <f t="shared" si="9"/>
        <v>#DIV/0!</v>
      </c>
      <c r="AM53" s="40"/>
      <c r="AN53" s="41">
        <f t="shared" si="28"/>
        <v>1</v>
      </c>
      <c r="AO53" s="41">
        <f t="shared" si="28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21.95" customHeight="1" thickBot="1" x14ac:dyDescent="0.2">
      <c r="A54" s="384" t="s">
        <v>43</v>
      </c>
      <c r="B54" s="385"/>
      <c r="C54" s="385"/>
      <c r="D54" s="385"/>
      <c r="E54" s="385"/>
      <c r="F54" s="385"/>
      <c r="G54" s="385"/>
      <c r="H54" s="386"/>
      <c r="I54" s="309"/>
      <c r="J54" s="26"/>
      <c r="K54" s="104"/>
      <c r="L54" s="104"/>
      <c r="M54" s="104"/>
      <c r="N54" s="107">
        <f>I54*I53+J54*J53+K54*K53+L54*L53+M54*M53</f>
        <v>0</v>
      </c>
      <c r="O54" s="28"/>
      <c r="P54" s="29"/>
      <c r="Q54" s="30"/>
      <c r="R54" s="30"/>
      <c r="S54" s="31"/>
      <c r="T54" s="89"/>
      <c r="U54" s="32"/>
      <c r="V54" s="68"/>
      <c r="W54" s="98"/>
      <c r="X54" s="45"/>
      <c r="Y54" s="93"/>
      <c r="Z54" s="45"/>
      <c r="AA54" s="35"/>
      <c r="AB54" s="36"/>
      <c r="AC54" s="68"/>
      <c r="AD54" s="32"/>
      <c r="AE54" s="32"/>
      <c r="AF54" s="61"/>
      <c r="AG54" s="56"/>
      <c r="AH54" s="37"/>
      <c r="AI54" s="38"/>
      <c r="AJ54" s="30"/>
      <c r="AK54" s="37"/>
      <c r="AL54" s="39"/>
      <c r="AM54" s="40"/>
      <c r="AN54" s="41"/>
      <c r="AO54" s="41"/>
      <c r="AP54" s="43"/>
      <c r="AQ54" s="70"/>
      <c r="AR54" s="58"/>
      <c r="AS54" s="58"/>
      <c r="AT54" s="58"/>
      <c r="AU54" s="58"/>
      <c r="AV54" s="59"/>
      <c r="AW54" s="71"/>
      <c r="AX54" s="71"/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/>
      <c r="J55" s="26"/>
      <c r="K55" s="26"/>
      <c r="L55" s="26"/>
      <c r="M55" s="62"/>
      <c r="N55" s="27">
        <f t="shared" si="27"/>
        <v>0</v>
      </c>
      <c r="O55" s="28">
        <v>1</v>
      </c>
      <c r="P55" s="29"/>
      <c r="Q55" s="30"/>
      <c r="R55" s="30"/>
      <c r="S55" s="30"/>
      <c r="T55" s="31"/>
      <c r="U55" s="32">
        <f t="shared" si="1"/>
        <v>0</v>
      </c>
      <c r="V55" s="68">
        <f t="shared" si="2"/>
        <v>0</v>
      </c>
      <c r="W55" s="57"/>
      <c r="X55" s="60"/>
      <c r="Y55" s="45"/>
      <c r="Z55" s="48"/>
      <c r="AA55" s="35"/>
      <c r="AB55" s="36" t="e">
        <f t="shared" si="3"/>
        <v>#DIV/0!</v>
      </c>
      <c r="AC55" s="68" t="e">
        <f t="shared" si="4"/>
        <v>#DIV/0!</v>
      </c>
      <c r="AD55" s="63"/>
      <c r="AE55" s="32" t="e">
        <f t="shared" si="5"/>
        <v>#DIV/0!</v>
      </c>
      <c r="AF55" s="56"/>
      <c r="AG55" s="56"/>
      <c r="AH55" s="37" t="e">
        <f t="shared" si="6"/>
        <v>#DIV/0!</v>
      </c>
      <c r="AI55" s="38">
        <v>65</v>
      </c>
      <c r="AJ55" s="30" t="e">
        <f t="shared" si="7"/>
        <v>#DIV/0!</v>
      </c>
      <c r="AK55" s="37" t="e">
        <f t="shared" si="8"/>
        <v>#DIV/0!</v>
      </c>
      <c r="AL55" s="39" t="e">
        <f t="shared" si="9"/>
        <v>#DIV/0!</v>
      </c>
      <c r="AM55" s="40"/>
      <c r="AN55" s="41">
        <f t="shared" si="28"/>
        <v>1</v>
      </c>
      <c r="AO55" s="41">
        <f t="shared" si="28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21.95" customHeight="1" thickBot="1" x14ac:dyDescent="0.2">
      <c r="A56" s="384" t="s">
        <v>43</v>
      </c>
      <c r="B56" s="385"/>
      <c r="C56" s="385"/>
      <c r="D56" s="385"/>
      <c r="E56" s="385"/>
      <c r="F56" s="385"/>
      <c r="G56" s="385"/>
      <c r="H56" s="386"/>
      <c r="I56" s="309"/>
      <c r="J56" s="26"/>
      <c r="K56" s="104"/>
      <c r="L56" s="104"/>
      <c r="M56" s="104"/>
      <c r="N56" s="107">
        <f>I56*I55+J56*J55+K56*K55+L56*L55+M56*M55</f>
        <v>0</v>
      </c>
      <c r="O56" s="28"/>
      <c r="P56" s="29"/>
      <c r="Q56" s="30"/>
      <c r="R56" s="30"/>
      <c r="S56" s="31"/>
      <c r="T56" s="89"/>
      <c r="U56" s="32"/>
      <c r="V56" s="68"/>
      <c r="W56" s="98"/>
      <c r="X56" s="45"/>
      <c r="Y56" s="93"/>
      <c r="Z56" s="45"/>
      <c r="AA56" s="35"/>
      <c r="AB56" s="36"/>
      <c r="AC56" s="68"/>
      <c r="AD56" s="32"/>
      <c r="AE56" s="32"/>
      <c r="AF56" s="61"/>
      <c r="AG56" s="56"/>
      <c r="AH56" s="37"/>
      <c r="AI56" s="38"/>
      <c r="AJ56" s="30"/>
      <c r="AK56" s="37"/>
      <c r="AL56" s="39"/>
      <c r="AM56" s="40"/>
      <c r="AN56" s="41"/>
      <c r="AO56" s="41"/>
      <c r="AP56" s="43"/>
      <c r="AQ56" s="70"/>
      <c r="AR56" s="58"/>
      <c r="AS56" s="58"/>
      <c r="AT56" s="58"/>
      <c r="AU56" s="58"/>
      <c r="AV56" s="59"/>
      <c r="AW56" s="71"/>
      <c r="AX56" s="71"/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/>
      <c r="J57" s="26"/>
      <c r="K57" s="26"/>
      <c r="L57" s="26"/>
      <c r="M57" s="62"/>
      <c r="N57" s="27">
        <f t="shared" si="27"/>
        <v>0</v>
      </c>
      <c r="O57" s="28">
        <v>1</v>
      </c>
      <c r="P57" s="29"/>
      <c r="Q57" s="30"/>
      <c r="R57" s="30"/>
      <c r="S57" s="30"/>
      <c r="T57" s="31"/>
      <c r="U57" s="32">
        <f t="shared" si="1"/>
        <v>0</v>
      </c>
      <c r="V57" s="68">
        <f t="shared" si="2"/>
        <v>0</v>
      </c>
      <c r="W57" s="57"/>
      <c r="X57" s="60"/>
      <c r="Y57" s="45"/>
      <c r="Z57" s="48"/>
      <c r="AA57" s="35"/>
      <c r="AB57" s="36" t="e">
        <f t="shared" si="3"/>
        <v>#DIV/0!</v>
      </c>
      <c r="AC57" s="68" t="e">
        <f t="shared" si="4"/>
        <v>#DIV/0!</v>
      </c>
      <c r="AD57" s="63"/>
      <c r="AE57" s="32" t="e">
        <f t="shared" si="5"/>
        <v>#DIV/0!</v>
      </c>
      <c r="AF57" s="56"/>
      <c r="AG57" s="56"/>
      <c r="AH57" s="37" t="e">
        <f t="shared" si="6"/>
        <v>#DIV/0!</v>
      </c>
      <c r="AI57" s="38">
        <v>65</v>
      </c>
      <c r="AJ57" s="30" t="e">
        <f t="shared" si="7"/>
        <v>#DIV/0!</v>
      </c>
      <c r="AK57" s="37" t="e">
        <f t="shared" si="8"/>
        <v>#DIV/0!</v>
      </c>
      <c r="AL57" s="39" t="e">
        <f t="shared" si="9"/>
        <v>#DIV/0!</v>
      </c>
      <c r="AM57" s="40"/>
      <c r="AN57" s="41">
        <f t="shared" si="28"/>
        <v>1</v>
      </c>
      <c r="AO57" s="41">
        <f t="shared" si="28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21.95" customHeight="1" thickBot="1" x14ac:dyDescent="0.2">
      <c r="A58" s="384" t="s">
        <v>43</v>
      </c>
      <c r="B58" s="385"/>
      <c r="C58" s="385"/>
      <c r="D58" s="385"/>
      <c r="E58" s="385"/>
      <c r="F58" s="385"/>
      <c r="G58" s="385"/>
      <c r="H58" s="386"/>
      <c r="I58" s="309"/>
      <c r="J58" s="26"/>
      <c r="K58" s="104"/>
      <c r="L58" s="104"/>
      <c r="M58" s="104"/>
      <c r="N58" s="107">
        <f>I58*I57+J58*J57+K58*K57+L58*L57+M58*M57</f>
        <v>0</v>
      </c>
      <c r="O58" s="28"/>
      <c r="P58" s="29"/>
      <c r="Q58" s="30"/>
      <c r="R58" s="30"/>
      <c r="S58" s="31"/>
      <c r="T58" s="89"/>
      <c r="U58" s="32"/>
      <c r="V58" s="68"/>
      <c r="W58" s="98"/>
      <c r="X58" s="45"/>
      <c r="Y58" s="93"/>
      <c r="Z58" s="45"/>
      <c r="AA58" s="35"/>
      <c r="AB58" s="36"/>
      <c r="AC58" s="68"/>
      <c r="AD58" s="32"/>
      <c r="AE58" s="32"/>
      <c r="AF58" s="61"/>
      <c r="AG58" s="56"/>
      <c r="AH58" s="37"/>
      <c r="AI58" s="38"/>
      <c r="AJ58" s="30"/>
      <c r="AK58" s="37"/>
      <c r="AL58" s="39"/>
      <c r="AM58" s="40"/>
      <c r="AN58" s="41"/>
      <c r="AO58" s="41"/>
      <c r="AP58" s="43"/>
      <c r="AQ58" s="70"/>
      <c r="AR58" s="58"/>
      <c r="AS58" s="58"/>
      <c r="AT58" s="58"/>
      <c r="AU58" s="58"/>
      <c r="AV58" s="59"/>
      <c r="AW58" s="71"/>
      <c r="AX58" s="71"/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/>
      <c r="J59" s="26"/>
      <c r="K59" s="26"/>
      <c r="L59" s="26"/>
      <c r="M59" s="62"/>
      <c r="N59" s="27">
        <f t="shared" si="27"/>
        <v>0</v>
      </c>
      <c r="O59" s="28">
        <v>1</v>
      </c>
      <c r="P59" s="29"/>
      <c r="Q59" s="30"/>
      <c r="R59" s="30"/>
      <c r="S59" s="30"/>
      <c r="T59" s="31"/>
      <c r="U59" s="32">
        <f t="shared" si="1"/>
        <v>0</v>
      </c>
      <c r="V59" s="68">
        <f t="shared" si="2"/>
        <v>0</v>
      </c>
      <c r="W59" s="57"/>
      <c r="X59" s="60"/>
      <c r="Y59" s="45"/>
      <c r="Z59" s="48"/>
      <c r="AA59" s="35"/>
      <c r="AB59" s="36" t="e">
        <f t="shared" si="3"/>
        <v>#DIV/0!</v>
      </c>
      <c r="AC59" s="68" t="e">
        <f t="shared" si="4"/>
        <v>#DIV/0!</v>
      </c>
      <c r="AD59" s="63"/>
      <c r="AE59" s="32" t="e">
        <f t="shared" si="5"/>
        <v>#DIV/0!</v>
      </c>
      <c r="AF59" s="56"/>
      <c r="AG59" s="56"/>
      <c r="AH59" s="37" t="e">
        <f t="shared" si="6"/>
        <v>#DIV/0!</v>
      </c>
      <c r="AI59" s="38">
        <v>65</v>
      </c>
      <c r="AJ59" s="30" t="e">
        <f t="shared" si="7"/>
        <v>#DIV/0!</v>
      </c>
      <c r="AK59" s="37" t="e">
        <f t="shared" si="8"/>
        <v>#DIV/0!</v>
      </c>
      <c r="AL59" s="39" t="e">
        <f t="shared" si="9"/>
        <v>#DIV/0!</v>
      </c>
      <c r="AM59" s="40"/>
      <c r="AN59" s="41">
        <f t="shared" si="28"/>
        <v>1</v>
      </c>
      <c r="AO59" s="41">
        <f t="shared" si="28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21.95" customHeight="1" thickBot="1" x14ac:dyDescent="0.2">
      <c r="A60" s="384" t="s">
        <v>43</v>
      </c>
      <c r="B60" s="385"/>
      <c r="C60" s="385"/>
      <c r="D60" s="385"/>
      <c r="E60" s="385"/>
      <c r="F60" s="385"/>
      <c r="G60" s="385"/>
      <c r="H60" s="386"/>
      <c r="I60" s="309"/>
      <c r="J60" s="26"/>
      <c r="K60" s="104"/>
      <c r="L60" s="104"/>
      <c r="M60" s="104"/>
      <c r="N60" s="107">
        <f>I60*I59+J60*J59+K60*K59+L60*L59+M60*M59</f>
        <v>0</v>
      </c>
      <c r="O60" s="28"/>
      <c r="P60" s="29"/>
      <c r="Q60" s="30"/>
      <c r="R60" s="30"/>
      <c r="S60" s="31"/>
      <c r="T60" s="89"/>
      <c r="U60" s="32"/>
      <c r="V60" s="68"/>
      <c r="W60" s="98"/>
      <c r="X60" s="45"/>
      <c r="Y60" s="93"/>
      <c r="Z60" s="45"/>
      <c r="AA60" s="35"/>
      <c r="AB60" s="36"/>
      <c r="AC60" s="68"/>
      <c r="AD60" s="32"/>
      <c r="AE60" s="32"/>
      <c r="AF60" s="61"/>
      <c r="AG60" s="56"/>
      <c r="AH60" s="37"/>
      <c r="AI60" s="38"/>
      <c r="AJ60" s="30"/>
      <c r="AK60" s="37"/>
      <c r="AL60" s="39"/>
      <c r="AM60" s="40"/>
      <c r="AN60" s="41"/>
      <c r="AO60" s="41"/>
      <c r="AP60" s="43"/>
      <c r="AQ60" s="70"/>
      <c r="AR60" s="58"/>
      <c r="AS60" s="58"/>
      <c r="AT60" s="58"/>
      <c r="AU60" s="58"/>
      <c r="AV60" s="59"/>
      <c r="AW60" s="71"/>
      <c r="AX60" s="71"/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/>
      <c r="J61" s="26"/>
      <c r="K61" s="26"/>
      <c r="L61" s="26"/>
      <c r="M61" s="62"/>
      <c r="N61" s="27">
        <f t="shared" si="27"/>
        <v>0</v>
      </c>
      <c r="O61" s="28">
        <v>1</v>
      </c>
      <c r="P61" s="29"/>
      <c r="Q61" s="30"/>
      <c r="R61" s="30"/>
      <c r="S61" s="30"/>
      <c r="T61" s="31"/>
      <c r="U61" s="32">
        <f t="shared" si="1"/>
        <v>0</v>
      </c>
      <c r="V61" s="68">
        <f t="shared" si="2"/>
        <v>0</v>
      </c>
      <c r="W61" s="57"/>
      <c r="X61" s="60"/>
      <c r="Y61" s="45"/>
      <c r="Z61" s="48"/>
      <c r="AA61" s="35"/>
      <c r="AB61" s="36" t="e">
        <f t="shared" si="3"/>
        <v>#DIV/0!</v>
      </c>
      <c r="AC61" s="68" t="e">
        <f t="shared" si="4"/>
        <v>#DIV/0!</v>
      </c>
      <c r="AD61" s="63"/>
      <c r="AE61" s="32" t="e">
        <f t="shared" si="5"/>
        <v>#DIV/0!</v>
      </c>
      <c r="AF61" s="56"/>
      <c r="AG61" s="56"/>
      <c r="AH61" s="37" t="e">
        <f t="shared" si="6"/>
        <v>#DIV/0!</v>
      </c>
      <c r="AI61" s="38">
        <v>65</v>
      </c>
      <c r="AJ61" s="30" t="e">
        <f t="shared" si="7"/>
        <v>#DIV/0!</v>
      </c>
      <c r="AK61" s="37" t="e">
        <f t="shared" si="8"/>
        <v>#DIV/0!</v>
      </c>
      <c r="AL61" s="39" t="e">
        <f t="shared" si="9"/>
        <v>#DIV/0!</v>
      </c>
      <c r="AM61" s="40"/>
      <c r="AN61" s="41">
        <f t="shared" si="28"/>
        <v>1</v>
      </c>
      <c r="AO61" s="41">
        <f t="shared" si="28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21.95" customHeight="1" thickBot="1" x14ac:dyDescent="0.2">
      <c r="A62" s="384" t="s">
        <v>43</v>
      </c>
      <c r="B62" s="385"/>
      <c r="C62" s="385"/>
      <c r="D62" s="385"/>
      <c r="E62" s="385"/>
      <c r="F62" s="385"/>
      <c r="G62" s="385"/>
      <c r="H62" s="386"/>
      <c r="I62" s="309"/>
      <c r="J62" s="26"/>
      <c r="K62" s="104"/>
      <c r="L62" s="104"/>
      <c r="M62" s="104"/>
      <c r="N62" s="107">
        <f>I62*I61+J62*J61+K62*K61+L62*L61+M62*M61</f>
        <v>0</v>
      </c>
      <c r="O62" s="28"/>
      <c r="P62" s="29"/>
      <c r="Q62" s="30"/>
      <c r="R62" s="30"/>
      <c r="S62" s="31"/>
      <c r="T62" s="89"/>
      <c r="U62" s="32"/>
      <c r="V62" s="68"/>
      <c r="W62" s="98"/>
      <c r="X62" s="45"/>
      <c r="Y62" s="93"/>
      <c r="Z62" s="45"/>
      <c r="AA62" s="35"/>
      <c r="AB62" s="36"/>
      <c r="AC62" s="68"/>
      <c r="AD62" s="32"/>
      <c r="AE62" s="32"/>
      <c r="AF62" s="61"/>
      <c r="AG62" s="56"/>
      <c r="AH62" s="37"/>
      <c r="AI62" s="38"/>
      <c r="AJ62" s="30"/>
      <c r="AK62" s="37"/>
      <c r="AL62" s="39"/>
      <c r="AM62" s="40"/>
      <c r="AN62" s="41"/>
      <c r="AO62" s="41"/>
      <c r="AP62" s="43"/>
      <c r="AQ62" s="70"/>
      <c r="AR62" s="58"/>
      <c r="AS62" s="58"/>
      <c r="AT62" s="58"/>
      <c r="AU62" s="58"/>
      <c r="AV62" s="59"/>
      <c r="AW62" s="71"/>
      <c r="AX62" s="71"/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/>
      <c r="J63" s="26"/>
      <c r="K63" s="26"/>
      <c r="L63" s="26"/>
      <c r="M63" s="62"/>
      <c r="N63" s="27">
        <f t="shared" si="27"/>
        <v>0</v>
      </c>
      <c r="O63" s="28">
        <v>1</v>
      </c>
      <c r="P63" s="29"/>
      <c r="Q63" s="30"/>
      <c r="R63" s="30"/>
      <c r="S63" s="30"/>
      <c r="T63" s="31"/>
      <c r="U63" s="32">
        <f t="shared" si="1"/>
        <v>0</v>
      </c>
      <c r="V63" s="68">
        <f t="shared" si="2"/>
        <v>0</v>
      </c>
      <c r="W63" s="57"/>
      <c r="X63" s="60"/>
      <c r="Y63" s="45"/>
      <c r="Z63" s="48"/>
      <c r="AA63" s="35"/>
      <c r="AB63" s="36" t="e">
        <f t="shared" si="3"/>
        <v>#DIV/0!</v>
      </c>
      <c r="AC63" s="68" t="e">
        <f t="shared" si="4"/>
        <v>#DIV/0!</v>
      </c>
      <c r="AD63" s="63"/>
      <c r="AE63" s="32" t="e">
        <f t="shared" si="5"/>
        <v>#DIV/0!</v>
      </c>
      <c r="AF63" s="56"/>
      <c r="AG63" s="56"/>
      <c r="AH63" s="37" t="e">
        <f t="shared" si="6"/>
        <v>#DIV/0!</v>
      </c>
      <c r="AI63" s="38">
        <v>65</v>
      </c>
      <c r="AJ63" s="30" t="e">
        <f t="shared" si="7"/>
        <v>#DIV/0!</v>
      </c>
      <c r="AK63" s="37" t="e">
        <f t="shared" si="8"/>
        <v>#DIV/0!</v>
      </c>
      <c r="AL63" s="39" t="e">
        <f t="shared" si="9"/>
        <v>#DIV/0!</v>
      </c>
      <c r="AM63" s="40"/>
      <c r="AN63" s="41">
        <f t="shared" si="28"/>
        <v>1</v>
      </c>
      <c r="AO63" s="41">
        <f t="shared" si="28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21.95" customHeight="1" thickBot="1" x14ac:dyDescent="0.2">
      <c r="A64" s="384" t="s">
        <v>43</v>
      </c>
      <c r="B64" s="385"/>
      <c r="C64" s="385"/>
      <c r="D64" s="385"/>
      <c r="E64" s="385"/>
      <c r="F64" s="385"/>
      <c r="G64" s="385"/>
      <c r="H64" s="386"/>
      <c r="I64" s="309"/>
      <c r="J64" s="26"/>
      <c r="K64" s="104"/>
      <c r="L64" s="104"/>
      <c r="M64" s="104"/>
      <c r="N64" s="107">
        <f>I64*I63+J64*J63+K64*K63+L64*L63+M64*M63</f>
        <v>0</v>
      </c>
      <c r="O64" s="28"/>
      <c r="P64" s="29"/>
      <c r="Q64" s="30"/>
      <c r="R64" s="30"/>
      <c r="S64" s="31"/>
      <c r="T64" s="89"/>
      <c r="U64" s="32"/>
      <c r="V64" s="68"/>
      <c r="W64" s="98"/>
      <c r="X64" s="45"/>
      <c r="Y64" s="93"/>
      <c r="Z64" s="45"/>
      <c r="AA64" s="35"/>
      <c r="AB64" s="36"/>
      <c r="AC64" s="68"/>
      <c r="AD64" s="32"/>
      <c r="AE64" s="32"/>
      <c r="AF64" s="61"/>
      <c r="AG64" s="56"/>
      <c r="AH64" s="37"/>
      <c r="AI64" s="38"/>
      <c r="AJ64" s="30"/>
      <c r="AK64" s="37"/>
      <c r="AL64" s="39"/>
      <c r="AM64" s="40"/>
      <c r="AN64" s="41"/>
      <c r="AO64" s="41"/>
      <c r="AP64" s="43"/>
      <c r="AQ64" s="70"/>
      <c r="AR64" s="58"/>
      <c r="AS64" s="58"/>
      <c r="AT64" s="58"/>
      <c r="AU64" s="58"/>
      <c r="AV64" s="59"/>
      <c r="AW64" s="71"/>
      <c r="AX64" s="71"/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/>
      <c r="J65" s="26"/>
      <c r="K65" s="26"/>
      <c r="L65" s="26"/>
      <c r="M65" s="62"/>
      <c r="N65" s="27">
        <f t="shared" si="27"/>
        <v>0</v>
      </c>
      <c r="O65" s="28">
        <v>1</v>
      </c>
      <c r="P65" s="29"/>
      <c r="Q65" s="30"/>
      <c r="R65" s="30"/>
      <c r="S65" s="30"/>
      <c r="T65" s="31"/>
      <c r="U65" s="32">
        <f t="shared" si="1"/>
        <v>0</v>
      </c>
      <c r="V65" s="68">
        <f t="shared" si="2"/>
        <v>0</v>
      </c>
      <c r="W65" s="57"/>
      <c r="X65" s="60"/>
      <c r="Y65" s="45"/>
      <c r="Z65" s="48"/>
      <c r="AA65" s="35"/>
      <c r="AB65" s="36" t="e">
        <f t="shared" si="3"/>
        <v>#DIV/0!</v>
      </c>
      <c r="AC65" s="68" t="e">
        <f t="shared" si="4"/>
        <v>#DIV/0!</v>
      </c>
      <c r="AD65" s="63"/>
      <c r="AE65" s="32" t="e">
        <f t="shared" si="5"/>
        <v>#DIV/0!</v>
      </c>
      <c r="AF65" s="56"/>
      <c r="AG65" s="56"/>
      <c r="AH65" s="37" t="e">
        <f t="shared" si="6"/>
        <v>#DIV/0!</v>
      </c>
      <c r="AI65" s="38">
        <v>65</v>
      </c>
      <c r="AJ65" s="30" t="e">
        <f t="shared" si="7"/>
        <v>#DIV/0!</v>
      </c>
      <c r="AK65" s="37" t="e">
        <f t="shared" si="8"/>
        <v>#DIV/0!</v>
      </c>
      <c r="AL65" s="39" t="e">
        <f t="shared" si="9"/>
        <v>#DIV/0!</v>
      </c>
      <c r="AM65" s="40"/>
      <c r="AN65" s="41">
        <f t="shared" si="28"/>
        <v>1</v>
      </c>
      <c r="AO65" s="41">
        <f t="shared" si="28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21.95" customHeight="1" thickBot="1" x14ac:dyDescent="0.2">
      <c r="A66" s="384" t="s">
        <v>43</v>
      </c>
      <c r="B66" s="385"/>
      <c r="C66" s="385"/>
      <c r="D66" s="385"/>
      <c r="E66" s="385"/>
      <c r="F66" s="385"/>
      <c r="G66" s="385"/>
      <c r="H66" s="386"/>
      <c r="I66" s="309"/>
      <c r="J66" s="26"/>
      <c r="K66" s="104"/>
      <c r="L66" s="104"/>
      <c r="M66" s="104"/>
      <c r="N66" s="107">
        <f>I66*I65+J66*J65+K66*K65+L66*L65+M66*M65</f>
        <v>0</v>
      </c>
      <c r="O66" s="28"/>
      <c r="P66" s="29"/>
      <c r="Q66" s="30"/>
      <c r="R66" s="30"/>
      <c r="S66" s="31"/>
      <c r="T66" s="89"/>
      <c r="U66" s="32"/>
      <c r="V66" s="68"/>
      <c r="W66" s="98"/>
      <c r="X66" s="45"/>
      <c r="Y66" s="93"/>
      <c r="Z66" s="45"/>
      <c r="AA66" s="35"/>
      <c r="AB66" s="36"/>
      <c r="AC66" s="68"/>
      <c r="AD66" s="32"/>
      <c r="AE66" s="32"/>
      <c r="AF66" s="61"/>
      <c r="AG66" s="56"/>
      <c r="AH66" s="37"/>
      <c r="AI66" s="38"/>
      <c r="AJ66" s="30"/>
      <c r="AK66" s="37"/>
      <c r="AL66" s="39"/>
      <c r="AM66" s="40"/>
      <c r="AN66" s="41"/>
      <c r="AO66" s="41"/>
      <c r="AP66" s="43"/>
      <c r="AQ66" s="70"/>
      <c r="AR66" s="58"/>
      <c r="AS66" s="58"/>
      <c r="AT66" s="58"/>
      <c r="AU66" s="58"/>
      <c r="AV66" s="59"/>
      <c r="AW66" s="71"/>
      <c r="AX66" s="71"/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/>
      <c r="J67" s="26"/>
      <c r="K67" s="26"/>
      <c r="L67" s="26"/>
      <c r="M67" s="62"/>
      <c r="N67" s="27">
        <f t="shared" si="27"/>
        <v>0</v>
      </c>
      <c r="O67" s="28">
        <v>1</v>
      </c>
      <c r="P67" s="29"/>
      <c r="Q67" s="30"/>
      <c r="R67" s="30"/>
      <c r="S67" s="30"/>
      <c r="T67" s="31"/>
      <c r="U67" s="32">
        <f t="shared" si="1"/>
        <v>0</v>
      </c>
      <c r="V67" s="68">
        <f t="shared" si="2"/>
        <v>0</v>
      </c>
      <c r="W67" s="57"/>
      <c r="X67" s="60"/>
      <c r="Y67" s="45"/>
      <c r="Z67" s="48"/>
      <c r="AA67" s="35"/>
      <c r="AB67" s="36" t="e">
        <f t="shared" si="3"/>
        <v>#DIV/0!</v>
      </c>
      <c r="AC67" s="68" t="e">
        <f t="shared" si="4"/>
        <v>#DIV/0!</v>
      </c>
      <c r="AD67" s="63"/>
      <c r="AE67" s="32" t="e">
        <f t="shared" si="5"/>
        <v>#DIV/0!</v>
      </c>
      <c r="AF67" s="56"/>
      <c r="AG67" s="56"/>
      <c r="AH67" s="37" t="e">
        <f t="shared" si="6"/>
        <v>#DIV/0!</v>
      </c>
      <c r="AI67" s="38">
        <v>65</v>
      </c>
      <c r="AJ67" s="30" t="e">
        <f t="shared" si="7"/>
        <v>#DIV/0!</v>
      </c>
      <c r="AK67" s="37" t="e">
        <f t="shared" si="8"/>
        <v>#DIV/0!</v>
      </c>
      <c r="AL67" s="39" t="e">
        <f t="shared" si="9"/>
        <v>#DIV/0!</v>
      </c>
      <c r="AM67" s="40"/>
      <c r="AN67" s="41">
        <f t="shared" si="28"/>
        <v>1</v>
      </c>
      <c r="AO67" s="41">
        <f t="shared" si="28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21.95" customHeight="1" thickBot="1" x14ac:dyDescent="0.2">
      <c r="A68" s="384" t="s">
        <v>43</v>
      </c>
      <c r="B68" s="385"/>
      <c r="C68" s="385"/>
      <c r="D68" s="385"/>
      <c r="E68" s="385"/>
      <c r="F68" s="385"/>
      <c r="G68" s="385"/>
      <c r="H68" s="386"/>
      <c r="I68" s="309"/>
      <c r="J68" s="26"/>
      <c r="K68" s="104"/>
      <c r="L68" s="104"/>
      <c r="M68" s="104"/>
      <c r="N68" s="107">
        <f>I68*I67+J68*J67+K68*K67+L68*L67+M68*M67</f>
        <v>0</v>
      </c>
      <c r="O68" s="28"/>
      <c r="P68" s="29"/>
      <c r="Q68" s="30"/>
      <c r="R68" s="30"/>
      <c r="S68" s="31"/>
      <c r="T68" s="89"/>
      <c r="U68" s="32"/>
      <c r="V68" s="68"/>
      <c r="W68" s="98"/>
      <c r="X68" s="45"/>
      <c r="Y68" s="93"/>
      <c r="Z68" s="45"/>
      <c r="AA68" s="35"/>
      <c r="AB68" s="36"/>
      <c r="AC68" s="68"/>
      <c r="AD68" s="32"/>
      <c r="AE68" s="32"/>
      <c r="AF68" s="61"/>
      <c r="AG68" s="56"/>
      <c r="AH68" s="37"/>
      <c r="AI68" s="38"/>
      <c r="AJ68" s="30"/>
      <c r="AK68" s="37"/>
      <c r="AL68" s="39"/>
      <c r="AM68" s="40"/>
      <c r="AN68" s="41"/>
      <c r="AO68" s="41"/>
      <c r="AP68" s="43"/>
      <c r="AQ68" s="70"/>
      <c r="AR68" s="58"/>
      <c r="AS68" s="58"/>
      <c r="AT68" s="58"/>
      <c r="AU68" s="58"/>
      <c r="AV68" s="59"/>
      <c r="AW68" s="71"/>
      <c r="AX68" s="71"/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/>
      <c r="J69" s="26"/>
      <c r="K69" s="26"/>
      <c r="L69" s="26"/>
      <c r="M69" s="62"/>
      <c r="N69" s="27">
        <f t="shared" si="27"/>
        <v>0</v>
      </c>
      <c r="O69" s="28">
        <v>1</v>
      </c>
      <c r="P69" s="29"/>
      <c r="Q69" s="30"/>
      <c r="R69" s="30"/>
      <c r="S69" s="30"/>
      <c r="T69" s="31"/>
      <c r="U69" s="32">
        <f t="shared" si="1"/>
        <v>0</v>
      </c>
      <c r="V69" s="68">
        <f t="shared" si="2"/>
        <v>0</v>
      </c>
      <c r="W69" s="57"/>
      <c r="X69" s="60"/>
      <c r="Y69" s="45"/>
      <c r="Z69" s="48"/>
      <c r="AA69" s="35"/>
      <c r="AB69" s="36" t="e">
        <f t="shared" si="3"/>
        <v>#DIV/0!</v>
      </c>
      <c r="AC69" s="68" t="e">
        <f t="shared" si="4"/>
        <v>#DIV/0!</v>
      </c>
      <c r="AD69" s="63"/>
      <c r="AE69" s="32" t="e">
        <f t="shared" si="5"/>
        <v>#DIV/0!</v>
      </c>
      <c r="AF69" s="56"/>
      <c r="AG69" s="56"/>
      <c r="AH69" s="37" t="e">
        <f t="shared" si="6"/>
        <v>#DIV/0!</v>
      </c>
      <c r="AI69" s="38">
        <v>65</v>
      </c>
      <c r="AJ69" s="30" t="e">
        <f t="shared" si="7"/>
        <v>#DIV/0!</v>
      </c>
      <c r="AK69" s="37" t="e">
        <f t="shared" si="8"/>
        <v>#DIV/0!</v>
      </c>
      <c r="AL69" s="39" t="e">
        <f t="shared" si="9"/>
        <v>#DIV/0!</v>
      </c>
      <c r="AM69" s="40"/>
      <c r="AN69" s="41">
        <f t="shared" si="28"/>
        <v>1</v>
      </c>
      <c r="AO69" s="41">
        <f t="shared" si="28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21.95" customHeight="1" thickBot="1" x14ac:dyDescent="0.2">
      <c r="A70" s="384" t="s">
        <v>43</v>
      </c>
      <c r="B70" s="385"/>
      <c r="C70" s="385"/>
      <c r="D70" s="385"/>
      <c r="E70" s="385"/>
      <c r="F70" s="385"/>
      <c r="G70" s="385"/>
      <c r="H70" s="386"/>
      <c r="I70" s="309"/>
      <c r="J70" s="26"/>
      <c r="K70" s="104"/>
      <c r="L70" s="104"/>
      <c r="M70" s="104"/>
      <c r="N70" s="107">
        <f>I70*I69+J70*J69+K70*K69+L70*L69+M70*M69</f>
        <v>0</v>
      </c>
      <c r="O70" s="28"/>
      <c r="P70" s="29"/>
      <c r="Q70" s="30"/>
      <c r="R70" s="30"/>
      <c r="S70" s="31"/>
      <c r="T70" s="89"/>
      <c r="U70" s="32"/>
      <c r="V70" s="68"/>
      <c r="W70" s="98"/>
      <c r="X70" s="45"/>
      <c r="Y70" s="93"/>
      <c r="Z70" s="45"/>
      <c r="AA70" s="35"/>
      <c r="AB70" s="36"/>
      <c r="AC70" s="68"/>
      <c r="AD70" s="32"/>
      <c r="AE70" s="32"/>
      <c r="AF70" s="61"/>
      <c r="AG70" s="56"/>
      <c r="AH70" s="37"/>
      <c r="AI70" s="38"/>
      <c r="AJ70" s="30"/>
      <c r="AK70" s="37"/>
      <c r="AL70" s="39"/>
      <c r="AM70" s="40"/>
      <c r="AN70" s="41"/>
      <c r="AO70" s="41"/>
      <c r="AP70" s="43"/>
      <c r="AQ70" s="70"/>
      <c r="AR70" s="58"/>
      <c r="AS70" s="58"/>
      <c r="AT70" s="58"/>
      <c r="AU70" s="58"/>
      <c r="AV70" s="59"/>
      <c r="AW70" s="71"/>
      <c r="AX70" s="71"/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/>
      <c r="J71" s="26"/>
      <c r="K71" s="26"/>
      <c r="L71" s="26"/>
      <c r="M71" s="62"/>
      <c r="N71" s="27">
        <f t="shared" si="27"/>
        <v>0</v>
      </c>
      <c r="O71" s="28">
        <v>1</v>
      </c>
      <c r="P71" s="29"/>
      <c r="Q71" s="30"/>
      <c r="R71" s="30"/>
      <c r="S71" s="30"/>
      <c r="T71" s="31"/>
      <c r="U71" s="32">
        <f t="shared" si="1"/>
        <v>0</v>
      </c>
      <c r="V71" s="68">
        <f t="shared" si="2"/>
        <v>0</v>
      </c>
      <c r="W71" s="57"/>
      <c r="X71" s="60"/>
      <c r="Y71" s="45"/>
      <c r="Z71" s="48"/>
      <c r="AA71" s="35"/>
      <c r="AB71" s="36" t="e">
        <f t="shared" si="3"/>
        <v>#DIV/0!</v>
      </c>
      <c r="AC71" s="68" t="e">
        <f t="shared" si="4"/>
        <v>#DIV/0!</v>
      </c>
      <c r="AD71" s="63"/>
      <c r="AE71" s="32" t="e">
        <f t="shared" si="5"/>
        <v>#DIV/0!</v>
      </c>
      <c r="AF71" s="56"/>
      <c r="AG71" s="56"/>
      <c r="AH71" s="37" t="e">
        <f t="shared" si="6"/>
        <v>#DIV/0!</v>
      </c>
      <c r="AI71" s="38">
        <v>65</v>
      </c>
      <c r="AJ71" s="30" t="e">
        <f t="shared" si="7"/>
        <v>#DIV/0!</v>
      </c>
      <c r="AK71" s="37" t="e">
        <f t="shared" si="8"/>
        <v>#DIV/0!</v>
      </c>
      <c r="AL71" s="39" t="e">
        <f t="shared" si="9"/>
        <v>#DIV/0!</v>
      </c>
      <c r="AM71" s="40"/>
      <c r="AN71" s="41">
        <f t="shared" ref="AN71:AO89" si="29">100%+AM71</f>
        <v>1</v>
      </c>
      <c r="AO71" s="41">
        <f t="shared" si="29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21.95" customHeight="1" thickBot="1" x14ac:dyDescent="0.2">
      <c r="A72" s="384" t="s">
        <v>43</v>
      </c>
      <c r="B72" s="385"/>
      <c r="C72" s="385"/>
      <c r="D72" s="385"/>
      <c r="E72" s="385"/>
      <c r="F72" s="385"/>
      <c r="G72" s="385"/>
      <c r="H72" s="386"/>
      <c r="I72" s="309"/>
      <c r="J72" s="26"/>
      <c r="K72" s="104"/>
      <c r="L72" s="104"/>
      <c r="M72" s="104"/>
      <c r="N72" s="107">
        <f>I72*I71+J72*J71+K72*K71+L72*L71+M72*M71</f>
        <v>0</v>
      </c>
      <c r="O72" s="28"/>
      <c r="P72" s="29"/>
      <c r="Q72" s="30"/>
      <c r="R72" s="30"/>
      <c r="S72" s="31"/>
      <c r="T72" s="89"/>
      <c r="U72" s="32"/>
      <c r="V72" s="68"/>
      <c r="W72" s="98"/>
      <c r="X72" s="45"/>
      <c r="Y72" s="93"/>
      <c r="Z72" s="45"/>
      <c r="AA72" s="35"/>
      <c r="AB72" s="36"/>
      <c r="AC72" s="68"/>
      <c r="AD72" s="32"/>
      <c r="AE72" s="32"/>
      <c r="AF72" s="61"/>
      <c r="AG72" s="56"/>
      <c r="AH72" s="37"/>
      <c r="AI72" s="38"/>
      <c r="AJ72" s="30"/>
      <c r="AK72" s="37"/>
      <c r="AL72" s="39"/>
      <c r="AM72" s="40"/>
      <c r="AN72" s="41"/>
      <c r="AO72" s="41"/>
      <c r="AP72" s="43"/>
      <c r="AQ72" s="70"/>
      <c r="AR72" s="58"/>
      <c r="AS72" s="58"/>
      <c r="AT72" s="58"/>
      <c r="AU72" s="58"/>
      <c r="AV72" s="59"/>
      <c r="AW72" s="71"/>
      <c r="AX72" s="71"/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/>
      <c r="J73" s="26"/>
      <c r="K73" s="26"/>
      <c r="L73" s="26"/>
      <c r="M73" s="62"/>
      <c r="N73" s="27">
        <f t="shared" si="27"/>
        <v>0</v>
      </c>
      <c r="O73" s="28">
        <v>1</v>
      </c>
      <c r="P73" s="29"/>
      <c r="Q73" s="30"/>
      <c r="R73" s="30"/>
      <c r="S73" s="30"/>
      <c r="T73" s="31"/>
      <c r="U73" s="32">
        <f t="shared" si="1"/>
        <v>0</v>
      </c>
      <c r="V73" s="68">
        <f t="shared" si="2"/>
        <v>0</v>
      </c>
      <c r="W73" s="57"/>
      <c r="X73" s="60"/>
      <c r="Y73" s="45"/>
      <c r="Z73" s="48"/>
      <c r="AA73" s="35"/>
      <c r="AB73" s="36" t="e">
        <f t="shared" si="3"/>
        <v>#DIV/0!</v>
      </c>
      <c r="AC73" s="68" t="e">
        <f t="shared" si="4"/>
        <v>#DIV/0!</v>
      </c>
      <c r="AD73" s="63"/>
      <c r="AE73" s="32" t="e">
        <f t="shared" si="5"/>
        <v>#DIV/0!</v>
      </c>
      <c r="AF73" s="56"/>
      <c r="AG73" s="56"/>
      <c r="AH73" s="37" t="e">
        <f t="shared" si="6"/>
        <v>#DIV/0!</v>
      </c>
      <c r="AI73" s="38">
        <v>65</v>
      </c>
      <c r="AJ73" s="30" t="e">
        <f t="shared" si="7"/>
        <v>#DIV/0!</v>
      </c>
      <c r="AK73" s="37" t="e">
        <f t="shared" si="8"/>
        <v>#DIV/0!</v>
      </c>
      <c r="AL73" s="39" t="e">
        <f t="shared" si="9"/>
        <v>#DIV/0!</v>
      </c>
      <c r="AM73" s="40"/>
      <c r="AN73" s="41">
        <f t="shared" si="29"/>
        <v>1</v>
      </c>
      <c r="AO73" s="41">
        <f t="shared" si="29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21.95" customHeight="1" thickBot="1" x14ac:dyDescent="0.2">
      <c r="A74" s="384" t="s">
        <v>43</v>
      </c>
      <c r="B74" s="385"/>
      <c r="C74" s="385"/>
      <c r="D74" s="385"/>
      <c r="E74" s="385"/>
      <c r="F74" s="385"/>
      <c r="G74" s="385"/>
      <c r="H74" s="386"/>
      <c r="I74" s="309"/>
      <c r="J74" s="26"/>
      <c r="K74" s="104"/>
      <c r="L74" s="104"/>
      <c r="M74" s="104"/>
      <c r="N74" s="107">
        <f>I74*I73+J74*J73+K74*K73+L74*L73+M74*M73</f>
        <v>0</v>
      </c>
      <c r="O74" s="28"/>
      <c r="P74" s="29"/>
      <c r="Q74" s="30"/>
      <c r="R74" s="30"/>
      <c r="S74" s="31"/>
      <c r="T74" s="89"/>
      <c r="U74" s="32"/>
      <c r="V74" s="68"/>
      <c r="W74" s="98"/>
      <c r="X74" s="45"/>
      <c r="Y74" s="93"/>
      <c r="Z74" s="45"/>
      <c r="AA74" s="35"/>
      <c r="AB74" s="36"/>
      <c r="AC74" s="68"/>
      <c r="AD74" s="32"/>
      <c r="AE74" s="32"/>
      <c r="AF74" s="61"/>
      <c r="AG74" s="56"/>
      <c r="AH74" s="37"/>
      <c r="AI74" s="38"/>
      <c r="AJ74" s="30"/>
      <c r="AK74" s="37"/>
      <c r="AL74" s="39"/>
      <c r="AM74" s="40"/>
      <c r="AN74" s="41"/>
      <c r="AO74" s="41"/>
      <c r="AP74" s="43"/>
      <c r="AQ74" s="70"/>
      <c r="AR74" s="58"/>
      <c r="AS74" s="58"/>
      <c r="AT74" s="58"/>
      <c r="AU74" s="58"/>
      <c r="AV74" s="59"/>
      <c r="AW74" s="71"/>
      <c r="AX74" s="71"/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/>
      <c r="J75" s="26"/>
      <c r="K75" s="26"/>
      <c r="L75" s="26"/>
      <c r="M75" s="62"/>
      <c r="N75" s="27">
        <f t="shared" si="27"/>
        <v>0</v>
      </c>
      <c r="O75" s="28">
        <v>1</v>
      </c>
      <c r="P75" s="29"/>
      <c r="Q75" s="30"/>
      <c r="R75" s="30"/>
      <c r="S75" s="30"/>
      <c r="T75" s="31"/>
      <c r="U75" s="32">
        <f t="shared" ref="U75:U136" si="30">ROUND(((P75*I75)+(Q75*J75)+(R75*K75)+(S75*L75)+(T75*M75))*O75,2)</f>
        <v>0</v>
      </c>
      <c r="V75" s="68">
        <f t="shared" ref="V75:V136" si="31">IF(U75&gt;=15,15,U75)</f>
        <v>0</v>
      </c>
      <c r="W75" s="57"/>
      <c r="X75" s="60"/>
      <c r="Y75" s="45"/>
      <c r="Z75" s="48"/>
      <c r="AA75" s="35"/>
      <c r="AB75" s="36" t="e">
        <f t="shared" ref="AB75:AB136" si="32">ROUND((((W75*I75)+(X75*J75)+(Y75*K75)+(Z75*L75)+(AA75*M75))/$I$2),2)*13</f>
        <v>#DIV/0!</v>
      </c>
      <c r="AC75" s="68" t="e">
        <f t="shared" ref="AC75:AC136" si="33">IF(AB75&gt;=13,13,AB75)</f>
        <v>#DIV/0!</v>
      </c>
      <c r="AD75" s="63"/>
      <c r="AE75" s="32" t="e">
        <f t="shared" ref="AE75:AE136" si="34">IF((AC75+AD75)&gt;=15,15,(AC75+AD75))</f>
        <v>#DIV/0!</v>
      </c>
      <c r="AF75" s="56"/>
      <c r="AG75" s="56"/>
      <c r="AH75" s="37" t="e">
        <f t="shared" ref="AH75:AH136" si="35">IF((V75+AE75+AF75)&gt;=30,30,(V75+AE75+AF75))</f>
        <v>#DIV/0!</v>
      </c>
      <c r="AI75" s="38">
        <v>65</v>
      </c>
      <c r="AJ75" s="30" t="e">
        <f t="shared" ref="AJ75:AJ136" si="36">V75+AE75+AF75+AI75+AG75</f>
        <v>#DIV/0!</v>
      </c>
      <c r="AK75" s="37" t="e">
        <f t="shared" ref="AK75:AK136" si="37">IF(AH75+AI75+AG75&gt;=95,95,AH75+AI75+AG75)</f>
        <v>#DIV/0!</v>
      </c>
      <c r="AL75" s="39" t="e">
        <f t="shared" ref="AL75:AL136" si="38">-((50-((176+(45+(50-AH75)))))/200)</f>
        <v>#DIV/0!</v>
      </c>
      <c r="AM75" s="40"/>
      <c r="AN75" s="41">
        <f t="shared" si="29"/>
        <v>1</v>
      </c>
      <c r="AO75" s="41">
        <f t="shared" si="29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39">AR75+AS75+AT75+AU75+AV75</f>
        <v>0</v>
      </c>
      <c r="AX75" s="71">
        <f t="shared" ref="AX75:AX136" si="40">(AR75*I75)+(AS75*J75)+(AT75*K75)+(AU75*L75)+(AV75*M75)</f>
        <v>0</v>
      </c>
    </row>
    <row r="76" spans="1:50" s="42" customFormat="1" ht="21.95" customHeight="1" thickBot="1" x14ac:dyDescent="0.2">
      <c r="A76" s="384" t="s">
        <v>43</v>
      </c>
      <c r="B76" s="385"/>
      <c r="C76" s="385"/>
      <c r="D76" s="385"/>
      <c r="E76" s="385"/>
      <c r="F76" s="385"/>
      <c r="G76" s="385"/>
      <c r="H76" s="386"/>
      <c r="I76" s="309"/>
      <c r="J76" s="26"/>
      <c r="K76" s="104"/>
      <c r="L76" s="104"/>
      <c r="M76" s="104"/>
      <c r="N76" s="107">
        <f>I76*I75+J76*J75+K76*K75+L76*L75+M76*M75</f>
        <v>0</v>
      </c>
      <c r="O76" s="28"/>
      <c r="P76" s="29"/>
      <c r="Q76" s="30"/>
      <c r="R76" s="30"/>
      <c r="S76" s="31"/>
      <c r="T76" s="89"/>
      <c r="U76" s="32"/>
      <c r="V76" s="68"/>
      <c r="W76" s="98"/>
      <c r="X76" s="45"/>
      <c r="Y76" s="93"/>
      <c r="Z76" s="45"/>
      <c r="AA76" s="35"/>
      <c r="AB76" s="36"/>
      <c r="AC76" s="68"/>
      <c r="AD76" s="32"/>
      <c r="AE76" s="32"/>
      <c r="AF76" s="61"/>
      <c r="AG76" s="56"/>
      <c r="AH76" s="37"/>
      <c r="AI76" s="38"/>
      <c r="AJ76" s="30"/>
      <c r="AK76" s="37"/>
      <c r="AL76" s="39"/>
      <c r="AM76" s="40"/>
      <c r="AN76" s="41"/>
      <c r="AO76" s="41"/>
      <c r="AP76" s="43"/>
      <c r="AQ76" s="70"/>
      <c r="AR76" s="58"/>
      <c r="AS76" s="58"/>
      <c r="AT76" s="58"/>
      <c r="AU76" s="58"/>
      <c r="AV76" s="59"/>
      <c r="AW76" s="71"/>
      <c r="AX76" s="71"/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/>
      <c r="J77" s="26"/>
      <c r="K77" s="26"/>
      <c r="L77" s="26"/>
      <c r="M77" s="62"/>
      <c r="N77" s="27">
        <f t="shared" si="27"/>
        <v>0</v>
      </c>
      <c r="O77" s="28">
        <v>1</v>
      </c>
      <c r="P77" s="29"/>
      <c r="Q77" s="30"/>
      <c r="R77" s="30"/>
      <c r="S77" s="30"/>
      <c r="T77" s="31"/>
      <c r="U77" s="32">
        <f t="shared" si="30"/>
        <v>0</v>
      </c>
      <c r="V77" s="68">
        <f t="shared" si="31"/>
        <v>0</v>
      </c>
      <c r="W77" s="57"/>
      <c r="X77" s="60"/>
      <c r="Y77" s="45"/>
      <c r="Z77" s="48"/>
      <c r="AA77" s="35"/>
      <c r="AB77" s="36" t="e">
        <f t="shared" si="32"/>
        <v>#DIV/0!</v>
      </c>
      <c r="AC77" s="68" t="e">
        <f t="shared" si="33"/>
        <v>#DIV/0!</v>
      </c>
      <c r="AD77" s="63"/>
      <c r="AE77" s="32" t="e">
        <f t="shared" si="34"/>
        <v>#DIV/0!</v>
      </c>
      <c r="AF77" s="56"/>
      <c r="AG77" s="56"/>
      <c r="AH77" s="37" t="e">
        <f t="shared" si="35"/>
        <v>#DIV/0!</v>
      </c>
      <c r="AI77" s="38">
        <v>65</v>
      </c>
      <c r="AJ77" s="30" t="e">
        <f t="shared" si="36"/>
        <v>#DIV/0!</v>
      </c>
      <c r="AK77" s="37" t="e">
        <f t="shared" si="37"/>
        <v>#DIV/0!</v>
      </c>
      <c r="AL77" s="39" t="e">
        <f t="shared" si="38"/>
        <v>#DIV/0!</v>
      </c>
      <c r="AM77" s="40"/>
      <c r="AN77" s="41">
        <f t="shared" si="29"/>
        <v>1</v>
      </c>
      <c r="AO77" s="41">
        <f t="shared" si="29"/>
        <v>2</v>
      </c>
      <c r="AP77" s="43"/>
      <c r="AQ77" s="70"/>
      <c r="AR77" s="58"/>
      <c r="AS77" s="58"/>
      <c r="AT77" s="58"/>
      <c r="AU77" s="58"/>
      <c r="AV77" s="59"/>
      <c r="AW77" s="71">
        <f t="shared" si="39"/>
        <v>0</v>
      </c>
      <c r="AX77" s="71">
        <f t="shared" si="40"/>
        <v>0</v>
      </c>
    </row>
    <row r="78" spans="1:50" s="42" customFormat="1" ht="21.95" customHeight="1" thickBot="1" x14ac:dyDescent="0.2">
      <c r="A78" s="384" t="s">
        <v>43</v>
      </c>
      <c r="B78" s="385"/>
      <c r="C78" s="385"/>
      <c r="D78" s="385"/>
      <c r="E78" s="385"/>
      <c r="F78" s="385"/>
      <c r="G78" s="385"/>
      <c r="H78" s="386"/>
      <c r="I78" s="309"/>
      <c r="J78" s="26"/>
      <c r="K78" s="104"/>
      <c r="L78" s="104"/>
      <c r="M78" s="104"/>
      <c r="N78" s="107">
        <f>I78*I77+J78*J77+K78*K77+L78*L77+M78*M77</f>
        <v>0</v>
      </c>
      <c r="O78" s="28"/>
      <c r="P78" s="29"/>
      <c r="Q78" s="30"/>
      <c r="R78" s="30"/>
      <c r="S78" s="31"/>
      <c r="T78" s="89"/>
      <c r="U78" s="32"/>
      <c r="V78" s="68"/>
      <c r="W78" s="98"/>
      <c r="X78" s="45"/>
      <c r="Y78" s="93"/>
      <c r="Z78" s="45"/>
      <c r="AA78" s="35"/>
      <c r="AB78" s="36"/>
      <c r="AC78" s="68"/>
      <c r="AD78" s="32"/>
      <c r="AE78" s="32"/>
      <c r="AF78" s="61"/>
      <c r="AG78" s="56"/>
      <c r="AH78" s="37"/>
      <c r="AI78" s="38"/>
      <c r="AJ78" s="30"/>
      <c r="AK78" s="37"/>
      <c r="AL78" s="39"/>
      <c r="AM78" s="40"/>
      <c r="AN78" s="41"/>
      <c r="AO78" s="41"/>
      <c r="AP78" s="43"/>
      <c r="AQ78" s="70"/>
      <c r="AR78" s="58"/>
      <c r="AS78" s="58"/>
      <c r="AT78" s="58"/>
      <c r="AU78" s="58"/>
      <c r="AV78" s="59"/>
      <c r="AW78" s="71"/>
      <c r="AX78" s="71"/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/>
      <c r="J79" s="26"/>
      <c r="K79" s="26"/>
      <c r="L79" s="26"/>
      <c r="M79" s="62"/>
      <c r="N79" s="27">
        <f t="shared" si="27"/>
        <v>0</v>
      </c>
      <c r="O79" s="28">
        <v>1</v>
      </c>
      <c r="P79" s="29"/>
      <c r="Q79" s="30"/>
      <c r="R79" s="30"/>
      <c r="S79" s="30"/>
      <c r="T79" s="31"/>
      <c r="U79" s="32">
        <f t="shared" si="30"/>
        <v>0</v>
      </c>
      <c r="V79" s="68">
        <f t="shared" si="31"/>
        <v>0</v>
      </c>
      <c r="W79" s="57"/>
      <c r="X79" s="60"/>
      <c r="Y79" s="45"/>
      <c r="Z79" s="48"/>
      <c r="AA79" s="35"/>
      <c r="AB79" s="36" t="e">
        <f t="shared" si="32"/>
        <v>#DIV/0!</v>
      </c>
      <c r="AC79" s="68" t="e">
        <f t="shared" si="33"/>
        <v>#DIV/0!</v>
      </c>
      <c r="AD79" s="63"/>
      <c r="AE79" s="32" t="e">
        <f t="shared" si="34"/>
        <v>#DIV/0!</v>
      </c>
      <c r="AF79" s="56"/>
      <c r="AG79" s="56"/>
      <c r="AH79" s="37" t="e">
        <f t="shared" si="35"/>
        <v>#DIV/0!</v>
      </c>
      <c r="AI79" s="38">
        <v>65</v>
      </c>
      <c r="AJ79" s="30" t="e">
        <f t="shared" si="36"/>
        <v>#DIV/0!</v>
      </c>
      <c r="AK79" s="37" t="e">
        <f t="shared" si="37"/>
        <v>#DIV/0!</v>
      </c>
      <c r="AL79" s="39" t="e">
        <f t="shared" si="38"/>
        <v>#DIV/0!</v>
      </c>
      <c r="AM79" s="40"/>
      <c r="AN79" s="41">
        <f t="shared" si="29"/>
        <v>1</v>
      </c>
      <c r="AO79" s="41">
        <f t="shared" si="29"/>
        <v>2</v>
      </c>
      <c r="AP79" s="43"/>
      <c r="AQ79" s="70"/>
      <c r="AR79" s="58"/>
      <c r="AS79" s="58"/>
      <c r="AT79" s="58"/>
      <c r="AU79" s="58"/>
      <c r="AV79" s="59"/>
      <c r="AW79" s="71">
        <f t="shared" si="39"/>
        <v>0</v>
      </c>
      <c r="AX79" s="71">
        <f t="shared" si="40"/>
        <v>0</v>
      </c>
    </row>
    <row r="80" spans="1:50" s="42" customFormat="1" ht="21.95" customHeight="1" thickBot="1" x14ac:dyDescent="0.2">
      <c r="A80" s="384" t="s">
        <v>43</v>
      </c>
      <c r="B80" s="385"/>
      <c r="C80" s="385"/>
      <c r="D80" s="385"/>
      <c r="E80" s="385"/>
      <c r="F80" s="385"/>
      <c r="G80" s="385"/>
      <c r="H80" s="386"/>
      <c r="I80" s="309"/>
      <c r="J80" s="26"/>
      <c r="K80" s="104"/>
      <c r="L80" s="104"/>
      <c r="M80" s="104"/>
      <c r="N80" s="107">
        <f>I80*I79+J80*J79+K80*K79+L80*L79+M80*M79</f>
        <v>0</v>
      </c>
      <c r="O80" s="28"/>
      <c r="P80" s="29"/>
      <c r="Q80" s="30"/>
      <c r="R80" s="30"/>
      <c r="S80" s="31"/>
      <c r="T80" s="89"/>
      <c r="U80" s="32"/>
      <c r="V80" s="68"/>
      <c r="W80" s="98"/>
      <c r="X80" s="45"/>
      <c r="Y80" s="93"/>
      <c r="Z80" s="45"/>
      <c r="AA80" s="35"/>
      <c r="AB80" s="36"/>
      <c r="AC80" s="68"/>
      <c r="AD80" s="32"/>
      <c r="AE80" s="32"/>
      <c r="AF80" s="61"/>
      <c r="AG80" s="56"/>
      <c r="AH80" s="37"/>
      <c r="AI80" s="38"/>
      <c r="AJ80" s="30"/>
      <c r="AK80" s="37"/>
      <c r="AL80" s="39"/>
      <c r="AM80" s="40"/>
      <c r="AN80" s="41"/>
      <c r="AO80" s="41"/>
      <c r="AP80" s="43"/>
      <c r="AQ80" s="70"/>
      <c r="AR80" s="58"/>
      <c r="AS80" s="58"/>
      <c r="AT80" s="58"/>
      <c r="AU80" s="58"/>
      <c r="AV80" s="59"/>
      <c r="AW80" s="71"/>
      <c r="AX80" s="71"/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/>
      <c r="J81" s="26"/>
      <c r="K81" s="26"/>
      <c r="L81" s="26"/>
      <c r="M81" s="62"/>
      <c r="N81" s="27">
        <f t="shared" si="27"/>
        <v>0</v>
      </c>
      <c r="O81" s="28">
        <v>1</v>
      </c>
      <c r="P81" s="29"/>
      <c r="Q81" s="30"/>
      <c r="R81" s="30"/>
      <c r="S81" s="30"/>
      <c r="T81" s="31"/>
      <c r="U81" s="32">
        <f t="shared" si="30"/>
        <v>0</v>
      </c>
      <c r="V81" s="68">
        <f t="shared" si="31"/>
        <v>0</v>
      </c>
      <c r="W81" s="57"/>
      <c r="X81" s="60"/>
      <c r="Y81" s="45"/>
      <c r="Z81" s="48"/>
      <c r="AA81" s="35"/>
      <c r="AB81" s="36" t="e">
        <f t="shared" si="32"/>
        <v>#DIV/0!</v>
      </c>
      <c r="AC81" s="68" t="e">
        <f t="shared" si="33"/>
        <v>#DIV/0!</v>
      </c>
      <c r="AD81" s="63"/>
      <c r="AE81" s="32" t="e">
        <f t="shared" si="34"/>
        <v>#DIV/0!</v>
      </c>
      <c r="AF81" s="56"/>
      <c r="AG81" s="56"/>
      <c r="AH81" s="37" t="e">
        <f t="shared" si="35"/>
        <v>#DIV/0!</v>
      </c>
      <c r="AI81" s="38">
        <v>65</v>
      </c>
      <c r="AJ81" s="30" t="e">
        <f t="shared" si="36"/>
        <v>#DIV/0!</v>
      </c>
      <c r="AK81" s="37" t="e">
        <f t="shared" si="37"/>
        <v>#DIV/0!</v>
      </c>
      <c r="AL81" s="39" t="e">
        <f t="shared" si="38"/>
        <v>#DIV/0!</v>
      </c>
      <c r="AM81" s="40"/>
      <c r="AN81" s="41">
        <f t="shared" si="29"/>
        <v>1</v>
      </c>
      <c r="AO81" s="41">
        <f t="shared" si="29"/>
        <v>2</v>
      </c>
      <c r="AP81" s="43"/>
      <c r="AQ81" s="70"/>
      <c r="AR81" s="58"/>
      <c r="AS81" s="58"/>
      <c r="AT81" s="58"/>
      <c r="AU81" s="58"/>
      <c r="AV81" s="59"/>
      <c r="AW81" s="71">
        <f t="shared" si="39"/>
        <v>0</v>
      </c>
      <c r="AX81" s="71">
        <f t="shared" si="40"/>
        <v>0</v>
      </c>
    </row>
    <row r="82" spans="1:50" s="42" customFormat="1" ht="21.95" customHeight="1" thickBot="1" x14ac:dyDescent="0.2">
      <c r="A82" s="384" t="s">
        <v>43</v>
      </c>
      <c r="B82" s="385"/>
      <c r="C82" s="385"/>
      <c r="D82" s="385"/>
      <c r="E82" s="385"/>
      <c r="F82" s="385"/>
      <c r="G82" s="385"/>
      <c r="H82" s="386"/>
      <c r="I82" s="309"/>
      <c r="J82" s="26"/>
      <c r="K82" s="104"/>
      <c r="L82" s="104"/>
      <c r="M82" s="104"/>
      <c r="N82" s="107">
        <f>I82*I81+J82*J81+K82*K81+L82*L81+M82*M81</f>
        <v>0</v>
      </c>
      <c r="O82" s="28"/>
      <c r="P82" s="29"/>
      <c r="Q82" s="30"/>
      <c r="R82" s="30"/>
      <c r="S82" s="31"/>
      <c r="T82" s="89"/>
      <c r="U82" s="32"/>
      <c r="V82" s="68"/>
      <c r="W82" s="98"/>
      <c r="X82" s="45"/>
      <c r="Y82" s="93"/>
      <c r="Z82" s="45"/>
      <c r="AA82" s="35"/>
      <c r="AB82" s="36"/>
      <c r="AC82" s="68"/>
      <c r="AD82" s="32"/>
      <c r="AE82" s="32"/>
      <c r="AF82" s="61"/>
      <c r="AG82" s="56"/>
      <c r="AH82" s="37"/>
      <c r="AI82" s="38"/>
      <c r="AJ82" s="30"/>
      <c r="AK82" s="37"/>
      <c r="AL82" s="39"/>
      <c r="AM82" s="40"/>
      <c r="AN82" s="41"/>
      <c r="AO82" s="41"/>
      <c r="AP82" s="43"/>
      <c r="AQ82" s="70"/>
      <c r="AR82" s="58"/>
      <c r="AS82" s="58"/>
      <c r="AT82" s="58"/>
      <c r="AU82" s="58"/>
      <c r="AV82" s="59"/>
      <c r="AW82" s="71"/>
      <c r="AX82" s="71"/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/>
      <c r="J83" s="26"/>
      <c r="K83" s="26"/>
      <c r="L83" s="26"/>
      <c r="M83" s="62"/>
      <c r="N83" s="27">
        <f t="shared" si="27"/>
        <v>0</v>
      </c>
      <c r="O83" s="28">
        <v>1</v>
      </c>
      <c r="P83" s="29"/>
      <c r="Q83" s="30"/>
      <c r="R83" s="30"/>
      <c r="S83" s="30"/>
      <c r="T83" s="31"/>
      <c r="U83" s="32">
        <f t="shared" si="30"/>
        <v>0</v>
      </c>
      <c r="V83" s="68">
        <f t="shared" si="31"/>
        <v>0</v>
      </c>
      <c r="W83" s="57"/>
      <c r="X83" s="60"/>
      <c r="Y83" s="45"/>
      <c r="Z83" s="48"/>
      <c r="AA83" s="35"/>
      <c r="AB83" s="36" t="e">
        <f t="shared" si="32"/>
        <v>#DIV/0!</v>
      </c>
      <c r="AC83" s="68" t="e">
        <f t="shared" si="33"/>
        <v>#DIV/0!</v>
      </c>
      <c r="AD83" s="63"/>
      <c r="AE83" s="32" t="e">
        <f t="shared" si="34"/>
        <v>#DIV/0!</v>
      </c>
      <c r="AF83" s="56"/>
      <c r="AG83" s="56"/>
      <c r="AH83" s="37" t="e">
        <f t="shared" si="35"/>
        <v>#DIV/0!</v>
      </c>
      <c r="AI83" s="38">
        <v>65</v>
      </c>
      <c r="AJ83" s="30" t="e">
        <f t="shared" si="36"/>
        <v>#DIV/0!</v>
      </c>
      <c r="AK83" s="37" t="e">
        <f t="shared" si="37"/>
        <v>#DIV/0!</v>
      </c>
      <c r="AL83" s="39" t="e">
        <f t="shared" si="38"/>
        <v>#DIV/0!</v>
      </c>
      <c r="AM83" s="40"/>
      <c r="AN83" s="41">
        <f t="shared" si="29"/>
        <v>1</v>
      </c>
      <c r="AO83" s="41">
        <f t="shared" si="29"/>
        <v>2</v>
      </c>
      <c r="AP83" s="43"/>
      <c r="AQ83" s="70"/>
      <c r="AR83" s="58"/>
      <c r="AS83" s="58"/>
      <c r="AT83" s="58"/>
      <c r="AU83" s="58"/>
      <c r="AV83" s="59"/>
      <c r="AW83" s="71">
        <f t="shared" si="39"/>
        <v>0</v>
      </c>
      <c r="AX83" s="71">
        <f t="shared" si="40"/>
        <v>0</v>
      </c>
    </row>
    <row r="84" spans="1:50" s="42" customFormat="1" ht="21.95" customHeight="1" thickBot="1" x14ac:dyDescent="0.2">
      <c r="A84" s="384" t="s">
        <v>43</v>
      </c>
      <c r="B84" s="385"/>
      <c r="C84" s="385"/>
      <c r="D84" s="385"/>
      <c r="E84" s="385"/>
      <c r="F84" s="385"/>
      <c r="G84" s="385"/>
      <c r="H84" s="386"/>
      <c r="I84" s="309"/>
      <c r="J84" s="26"/>
      <c r="K84" s="104"/>
      <c r="L84" s="104"/>
      <c r="M84" s="104"/>
      <c r="N84" s="107">
        <f>I84*I83+J84*J83+K84*K83+L84*L83+M84*M83</f>
        <v>0</v>
      </c>
      <c r="O84" s="28"/>
      <c r="P84" s="29"/>
      <c r="Q84" s="30"/>
      <c r="R84" s="30"/>
      <c r="S84" s="31"/>
      <c r="T84" s="89"/>
      <c r="U84" s="32"/>
      <c r="V84" s="68"/>
      <c r="W84" s="98"/>
      <c r="X84" s="45"/>
      <c r="Y84" s="93"/>
      <c r="Z84" s="45"/>
      <c r="AA84" s="35"/>
      <c r="AB84" s="36"/>
      <c r="AC84" s="68"/>
      <c r="AD84" s="32"/>
      <c r="AE84" s="32"/>
      <c r="AF84" s="61"/>
      <c r="AG84" s="56"/>
      <c r="AH84" s="37"/>
      <c r="AI84" s="38"/>
      <c r="AJ84" s="30"/>
      <c r="AK84" s="37"/>
      <c r="AL84" s="39"/>
      <c r="AM84" s="40"/>
      <c r="AN84" s="41"/>
      <c r="AO84" s="41"/>
      <c r="AP84" s="43"/>
      <c r="AQ84" s="70"/>
      <c r="AR84" s="58"/>
      <c r="AS84" s="58"/>
      <c r="AT84" s="58"/>
      <c r="AU84" s="58"/>
      <c r="AV84" s="59"/>
      <c r="AW84" s="71"/>
      <c r="AX84" s="71"/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/>
      <c r="J85" s="26"/>
      <c r="K85" s="26"/>
      <c r="L85" s="26"/>
      <c r="M85" s="62"/>
      <c r="N85" s="27">
        <f t="shared" si="27"/>
        <v>0</v>
      </c>
      <c r="O85" s="28">
        <v>1</v>
      </c>
      <c r="P85" s="29"/>
      <c r="Q85" s="30"/>
      <c r="R85" s="30"/>
      <c r="S85" s="30"/>
      <c r="T85" s="31"/>
      <c r="U85" s="32">
        <f t="shared" si="30"/>
        <v>0</v>
      </c>
      <c r="V85" s="68">
        <f t="shared" si="31"/>
        <v>0</v>
      </c>
      <c r="W85" s="57"/>
      <c r="X85" s="60"/>
      <c r="Y85" s="45"/>
      <c r="Z85" s="48"/>
      <c r="AA85" s="35"/>
      <c r="AB85" s="36" t="e">
        <f t="shared" si="32"/>
        <v>#DIV/0!</v>
      </c>
      <c r="AC85" s="68" t="e">
        <f t="shared" si="33"/>
        <v>#DIV/0!</v>
      </c>
      <c r="AD85" s="63"/>
      <c r="AE85" s="32" t="e">
        <f t="shared" si="34"/>
        <v>#DIV/0!</v>
      </c>
      <c r="AF85" s="56"/>
      <c r="AG85" s="56"/>
      <c r="AH85" s="37" t="e">
        <f t="shared" si="35"/>
        <v>#DIV/0!</v>
      </c>
      <c r="AI85" s="38">
        <v>65</v>
      </c>
      <c r="AJ85" s="30" t="e">
        <f t="shared" si="36"/>
        <v>#DIV/0!</v>
      </c>
      <c r="AK85" s="37" t="e">
        <f t="shared" si="37"/>
        <v>#DIV/0!</v>
      </c>
      <c r="AL85" s="39" t="e">
        <f t="shared" si="38"/>
        <v>#DIV/0!</v>
      </c>
      <c r="AM85" s="40"/>
      <c r="AN85" s="41">
        <f t="shared" si="29"/>
        <v>1</v>
      </c>
      <c r="AO85" s="41">
        <f t="shared" si="29"/>
        <v>2</v>
      </c>
      <c r="AP85" s="43"/>
      <c r="AQ85" s="70"/>
      <c r="AR85" s="58"/>
      <c r="AS85" s="58"/>
      <c r="AT85" s="58"/>
      <c r="AU85" s="58"/>
      <c r="AV85" s="59"/>
      <c r="AW85" s="71">
        <f t="shared" si="39"/>
        <v>0</v>
      </c>
      <c r="AX85" s="71">
        <f t="shared" si="40"/>
        <v>0</v>
      </c>
    </row>
    <row r="86" spans="1:50" s="42" customFormat="1" ht="21.95" customHeight="1" thickBot="1" x14ac:dyDescent="0.2">
      <c r="A86" s="384" t="s">
        <v>43</v>
      </c>
      <c r="B86" s="385"/>
      <c r="C86" s="385"/>
      <c r="D86" s="385"/>
      <c r="E86" s="385"/>
      <c r="F86" s="385"/>
      <c r="G86" s="385"/>
      <c r="H86" s="386"/>
      <c r="I86" s="309"/>
      <c r="J86" s="26"/>
      <c r="K86" s="104"/>
      <c r="L86" s="104"/>
      <c r="M86" s="104"/>
      <c r="N86" s="107">
        <f>I86*I85+J86*J85+K86*K85+L86*L85+M86*M85</f>
        <v>0</v>
      </c>
      <c r="O86" s="28"/>
      <c r="P86" s="29"/>
      <c r="Q86" s="30"/>
      <c r="R86" s="30"/>
      <c r="S86" s="31"/>
      <c r="T86" s="89"/>
      <c r="U86" s="32"/>
      <c r="V86" s="68"/>
      <c r="W86" s="98"/>
      <c r="X86" s="45"/>
      <c r="Y86" s="93"/>
      <c r="Z86" s="45"/>
      <c r="AA86" s="35"/>
      <c r="AB86" s="36"/>
      <c r="AC86" s="68"/>
      <c r="AD86" s="32"/>
      <c r="AE86" s="32"/>
      <c r="AF86" s="61"/>
      <c r="AG86" s="56"/>
      <c r="AH86" s="37"/>
      <c r="AI86" s="38"/>
      <c r="AJ86" s="30"/>
      <c r="AK86" s="37"/>
      <c r="AL86" s="39"/>
      <c r="AM86" s="40"/>
      <c r="AN86" s="41"/>
      <c r="AO86" s="41"/>
      <c r="AP86" s="43"/>
      <c r="AQ86" s="70"/>
      <c r="AR86" s="58"/>
      <c r="AS86" s="58"/>
      <c r="AT86" s="58"/>
      <c r="AU86" s="58"/>
      <c r="AV86" s="59"/>
      <c r="AW86" s="71"/>
      <c r="AX86" s="71"/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/>
      <c r="J87" s="26"/>
      <c r="K87" s="26"/>
      <c r="L87" s="26"/>
      <c r="M87" s="62"/>
      <c r="N87" s="27">
        <f t="shared" si="27"/>
        <v>0</v>
      </c>
      <c r="O87" s="28">
        <v>1</v>
      </c>
      <c r="P87" s="29"/>
      <c r="Q87" s="30"/>
      <c r="R87" s="30"/>
      <c r="S87" s="30"/>
      <c r="T87" s="31"/>
      <c r="U87" s="32">
        <f t="shared" si="30"/>
        <v>0</v>
      </c>
      <c r="V87" s="68">
        <f t="shared" si="31"/>
        <v>0</v>
      </c>
      <c r="W87" s="57"/>
      <c r="X87" s="60"/>
      <c r="Y87" s="45"/>
      <c r="Z87" s="48"/>
      <c r="AA87" s="35"/>
      <c r="AB87" s="36" t="e">
        <f t="shared" si="32"/>
        <v>#DIV/0!</v>
      </c>
      <c r="AC87" s="68" t="e">
        <f t="shared" si="33"/>
        <v>#DIV/0!</v>
      </c>
      <c r="AD87" s="63"/>
      <c r="AE87" s="32" t="e">
        <f t="shared" si="34"/>
        <v>#DIV/0!</v>
      </c>
      <c r="AF87" s="56"/>
      <c r="AG87" s="56"/>
      <c r="AH87" s="37" t="e">
        <f t="shared" si="35"/>
        <v>#DIV/0!</v>
      </c>
      <c r="AI87" s="38">
        <v>65</v>
      </c>
      <c r="AJ87" s="30" t="e">
        <f t="shared" si="36"/>
        <v>#DIV/0!</v>
      </c>
      <c r="AK87" s="37" t="e">
        <f t="shared" si="37"/>
        <v>#DIV/0!</v>
      </c>
      <c r="AL87" s="39" t="e">
        <f t="shared" si="38"/>
        <v>#DIV/0!</v>
      </c>
      <c r="AM87" s="40"/>
      <c r="AN87" s="41">
        <f t="shared" si="29"/>
        <v>1</v>
      </c>
      <c r="AO87" s="41">
        <f t="shared" si="29"/>
        <v>2</v>
      </c>
      <c r="AP87" s="43"/>
      <c r="AQ87" s="70"/>
      <c r="AR87" s="58"/>
      <c r="AS87" s="58"/>
      <c r="AT87" s="58"/>
      <c r="AU87" s="58"/>
      <c r="AV87" s="59"/>
      <c r="AW87" s="71">
        <f t="shared" si="39"/>
        <v>0</v>
      </c>
      <c r="AX87" s="71">
        <f t="shared" si="40"/>
        <v>0</v>
      </c>
    </row>
    <row r="88" spans="1:50" s="42" customFormat="1" ht="21.95" customHeight="1" thickBot="1" x14ac:dyDescent="0.2">
      <c r="A88" s="384" t="s">
        <v>43</v>
      </c>
      <c r="B88" s="385"/>
      <c r="C88" s="385"/>
      <c r="D88" s="385"/>
      <c r="E88" s="385"/>
      <c r="F88" s="385"/>
      <c r="G88" s="385"/>
      <c r="H88" s="386"/>
      <c r="I88" s="309"/>
      <c r="J88" s="26"/>
      <c r="K88" s="104"/>
      <c r="L88" s="104"/>
      <c r="M88" s="104"/>
      <c r="N88" s="107">
        <f>I88*I87+J88*J87+K88*K87+L88*L87+M88*M87</f>
        <v>0</v>
      </c>
      <c r="O88" s="28"/>
      <c r="P88" s="29"/>
      <c r="Q88" s="30"/>
      <c r="R88" s="30"/>
      <c r="S88" s="31"/>
      <c r="T88" s="89"/>
      <c r="U88" s="32"/>
      <c r="V88" s="68"/>
      <c r="W88" s="98"/>
      <c r="X88" s="45"/>
      <c r="Y88" s="93"/>
      <c r="Z88" s="45"/>
      <c r="AA88" s="35"/>
      <c r="AB88" s="36"/>
      <c r="AC88" s="68"/>
      <c r="AD88" s="32"/>
      <c r="AE88" s="32"/>
      <c r="AF88" s="61"/>
      <c r="AG88" s="56"/>
      <c r="AH88" s="37"/>
      <c r="AI88" s="38"/>
      <c r="AJ88" s="30"/>
      <c r="AK88" s="37"/>
      <c r="AL88" s="39"/>
      <c r="AM88" s="40"/>
      <c r="AN88" s="41"/>
      <c r="AO88" s="41"/>
      <c r="AP88" s="43"/>
      <c r="AQ88" s="70"/>
      <c r="AR88" s="58"/>
      <c r="AS88" s="58"/>
      <c r="AT88" s="58"/>
      <c r="AU88" s="58"/>
      <c r="AV88" s="59"/>
      <c r="AW88" s="71"/>
      <c r="AX88" s="71"/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/>
      <c r="J89" s="26"/>
      <c r="K89" s="26"/>
      <c r="L89" s="26"/>
      <c r="M89" s="62"/>
      <c r="N89" s="27">
        <f t="shared" si="27"/>
        <v>0</v>
      </c>
      <c r="O89" s="28">
        <v>1</v>
      </c>
      <c r="P89" s="29"/>
      <c r="Q89" s="30"/>
      <c r="R89" s="30"/>
      <c r="S89" s="30"/>
      <c r="T89" s="31"/>
      <c r="U89" s="32">
        <f t="shared" si="30"/>
        <v>0</v>
      </c>
      <c r="V89" s="68">
        <f t="shared" si="31"/>
        <v>0</v>
      </c>
      <c r="W89" s="57"/>
      <c r="X89" s="60"/>
      <c r="Y89" s="45"/>
      <c r="Z89" s="48"/>
      <c r="AA89" s="35"/>
      <c r="AB89" s="36" t="e">
        <f t="shared" si="32"/>
        <v>#DIV/0!</v>
      </c>
      <c r="AC89" s="68" t="e">
        <f t="shared" si="33"/>
        <v>#DIV/0!</v>
      </c>
      <c r="AD89" s="63"/>
      <c r="AE89" s="32" t="e">
        <f t="shared" si="34"/>
        <v>#DIV/0!</v>
      </c>
      <c r="AF89" s="56"/>
      <c r="AG89" s="56"/>
      <c r="AH89" s="37" t="e">
        <f t="shared" si="35"/>
        <v>#DIV/0!</v>
      </c>
      <c r="AI89" s="38">
        <v>65</v>
      </c>
      <c r="AJ89" s="30" t="e">
        <f t="shared" si="36"/>
        <v>#DIV/0!</v>
      </c>
      <c r="AK89" s="37" t="e">
        <f t="shared" si="37"/>
        <v>#DIV/0!</v>
      </c>
      <c r="AL89" s="39" t="e">
        <f t="shared" si="38"/>
        <v>#DIV/0!</v>
      </c>
      <c r="AM89" s="40"/>
      <c r="AN89" s="41">
        <f t="shared" si="29"/>
        <v>1</v>
      </c>
      <c r="AO89" s="41">
        <f t="shared" si="29"/>
        <v>2</v>
      </c>
      <c r="AP89" s="43"/>
      <c r="AQ89" s="70"/>
      <c r="AR89" s="58"/>
      <c r="AS89" s="58"/>
      <c r="AT89" s="58"/>
      <c r="AU89" s="58"/>
      <c r="AV89" s="59"/>
      <c r="AW89" s="71">
        <f t="shared" si="39"/>
        <v>0</v>
      </c>
      <c r="AX89" s="71">
        <f t="shared" si="40"/>
        <v>0</v>
      </c>
    </row>
    <row r="90" spans="1:50" s="42" customFormat="1" ht="21.95" customHeight="1" thickBot="1" x14ac:dyDescent="0.2">
      <c r="A90" s="384" t="s">
        <v>43</v>
      </c>
      <c r="B90" s="385"/>
      <c r="C90" s="385"/>
      <c r="D90" s="385"/>
      <c r="E90" s="385"/>
      <c r="F90" s="385"/>
      <c r="G90" s="385"/>
      <c r="H90" s="386"/>
      <c r="I90" s="309"/>
      <c r="J90" s="26"/>
      <c r="K90" s="104"/>
      <c r="L90" s="104"/>
      <c r="M90" s="104"/>
      <c r="N90" s="107">
        <f>I90*I89+J90*J89+K90*K89+L90*L89+M90*M89</f>
        <v>0</v>
      </c>
      <c r="O90" s="28"/>
      <c r="P90" s="29"/>
      <c r="Q90" s="30"/>
      <c r="R90" s="30"/>
      <c r="S90" s="31"/>
      <c r="T90" s="89"/>
      <c r="U90" s="32"/>
      <c r="V90" s="68"/>
      <c r="W90" s="98"/>
      <c r="X90" s="45"/>
      <c r="Y90" s="93"/>
      <c r="Z90" s="45"/>
      <c r="AA90" s="35"/>
      <c r="AB90" s="36"/>
      <c r="AC90" s="68"/>
      <c r="AD90" s="32"/>
      <c r="AE90" s="32"/>
      <c r="AF90" s="61"/>
      <c r="AG90" s="56"/>
      <c r="AH90" s="37"/>
      <c r="AI90" s="38"/>
      <c r="AJ90" s="30"/>
      <c r="AK90" s="37"/>
      <c r="AL90" s="39"/>
      <c r="AM90" s="40"/>
      <c r="AN90" s="41"/>
      <c r="AO90" s="41"/>
      <c r="AP90" s="43"/>
      <c r="AQ90" s="70"/>
      <c r="AR90" s="58"/>
      <c r="AS90" s="58"/>
      <c r="AT90" s="58"/>
      <c r="AU90" s="58"/>
      <c r="AV90" s="59"/>
      <c r="AW90" s="71"/>
      <c r="AX90" s="71"/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/>
      <c r="J91" s="26"/>
      <c r="K91" s="26"/>
      <c r="L91" s="26"/>
      <c r="M91" s="62"/>
      <c r="N91" s="27">
        <f t="shared" si="27"/>
        <v>0</v>
      </c>
      <c r="O91" s="28">
        <v>1</v>
      </c>
      <c r="P91" s="29"/>
      <c r="Q91" s="30"/>
      <c r="R91" s="30"/>
      <c r="S91" s="30"/>
      <c r="T91" s="31"/>
      <c r="U91" s="32">
        <f t="shared" si="30"/>
        <v>0</v>
      </c>
      <c r="V91" s="68">
        <f t="shared" si="31"/>
        <v>0</v>
      </c>
      <c r="W91" s="57"/>
      <c r="X91" s="60"/>
      <c r="Y91" s="45"/>
      <c r="Z91" s="48"/>
      <c r="AA91" s="35"/>
      <c r="AB91" s="36" t="e">
        <f t="shared" si="32"/>
        <v>#DIV/0!</v>
      </c>
      <c r="AC91" s="68" t="e">
        <f t="shared" si="33"/>
        <v>#DIV/0!</v>
      </c>
      <c r="AD91" s="63"/>
      <c r="AE91" s="32" t="e">
        <f t="shared" si="34"/>
        <v>#DIV/0!</v>
      </c>
      <c r="AF91" s="56"/>
      <c r="AG91" s="56"/>
      <c r="AH91" s="37" t="e">
        <f t="shared" si="35"/>
        <v>#DIV/0!</v>
      </c>
      <c r="AI91" s="38">
        <v>65</v>
      </c>
      <c r="AJ91" s="30" t="e">
        <f t="shared" si="36"/>
        <v>#DIV/0!</v>
      </c>
      <c r="AK91" s="37" t="e">
        <f t="shared" si="37"/>
        <v>#DIV/0!</v>
      </c>
      <c r="AL91" s="39" t="e">
        <f t="shared" si="38"/>
        <v>#DIV/0!</v>
      </c>
      <c r="AM91" s="40"/>
      <c r="AN91" s="41">
        <f t="shared" ref="AN91:AO109" si="41">100%+AM91</f>
        <v>1</v>
      </c>
      <c r="AO91" s="41">
        <f t="shared" si="41"/>
        <v>2</v>
      </c>
      <c r="AP91" s="43"/>
      <c r="AQ91" s="70"/>
      <c r="AR91" s="58"/>
      <c r="AS91" s="58"/>
      <c r="AT91" s="58"/>
      <c r="AU91" s="58"/>
      <c r="AV91" s="59"/>
      <c r="AW91" s="71">
        <f t="shared" si="39"/>
        <v>0</v>
      </c>
      <c r="AX91" s="71">
        <f t="shared" si="40"/>
        <v>0</v>
      </c>
    </row>
    <row r="92" spans="1:50" s="42" customFormat="1" ht="21.95" customHeight="1" thickBot="1" x14ac:dyDescent="0.2">
      <c r="A92" s="384" t="s">
        <v>43</v>
      </c>
      <c r="B92" s="385"/>
      <c r="C92" s="385"/>
      <c r="D92" s="385"/>
      <c r="E92" s="385"/>
      <c r="F92" s="385"/>
      <c r="G92" s="385"/>
      <c r="H92" s="386"/>
      <c r="I92" s="309"/>
      <c r="J92" s="26"/>
      <c r="K92" s="104"/>
      <c r="L92" s="104"/>
      <c r="M92" s="104"/>
      <c r="N92" s="107">
        <f>I92*I91+J92*J91+K92*K91+L92*L91+M92*M91</f>
        <v>0</v>
      </c>
      <c r="O92" s="28"/>
      <c r="P92" s="29"/>
      <c r="Q92" s="30"/>
      <c r="R92" s="30"/>
      <c r="S92" s="31"/>
      <c r="T92" s="89"/>
      <c r="U92" s="32"/>
      <c r="V92" s="68"/>
      <c r="W92" s="98"/>
      <c r="X92" s="45"/>
      <c r="Y92" s="93"/>
      <c r="Z92" s="45"/>
      <c r="AA92" s="35"/>
      <c r="AB92" s="36"/>
      <c r="AC92" s="68"/>
      <c r="AD92" s="32"/>
      <c r="AE92" s="32"/>
      <c r="AF92" s="61"/>
      <c r="AG92" s="56"/>
      <c r="AH92" s="37"/>
      <c r="AI92" s="38"/>
      <c r="AJ92" s="30"/>
      <c r="AK92" s="37"/>
      <c r="AL92" s="39"/>
      <c r="AM92" s="40"/>
      <c r="AN92" s="41"/>
      <c r="AO92" s="41"/>
      <c r="AP92" s="43"/>
      <c r="AQ92" s="70"/>
      <c r="AR92" s="58"/>
      <c r="AS92" s="58"/>
      <c r="AT92" s="58"/>
      <c r="AU92" s="58"/>
      <c r="AV92" s="59"/>
      <c r="AW92" s="71"/>
      <c r="AX92" s="71"/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/>
      <c r="J93" s="26"/>
      <c r="K93" s="26"/>
      <c r="L93" s="26"/>
      <c r="M93" s="62"/>
      <c r="N93" s="27">
        <f t="shared" si="27"/>
        <v>0</v>
      </c>
      <c r="O93" s="28">
        <v>1</v>
      </c>
      <c r="P93" s="29"/>
      <c r="Q93" s="30"/>
      <c r="R93" s="30"/>
      <c r="S93" s="30"/>
      <c r="T93" s="31"/>
      <c r="U93" s="32">
        <f t="shared" si="30"/>
        <v>0</v>
      </c>
      <c r="V93" s="68">
        <f t="shared" si="31"/>
        <v>0</v>
      </c>
      <c r="W93" s="57"/>
      <c r="X93" s="60"/>
      <c r="Y93" s="45"/>
      <c r="Z93" s="48"/>
      <c r="AA93" s="35"/>
      <c r="AB93" s="36" t="e">
        <f t="shared" si="32"/>
        <v>#DIV/0!</v>
      </c>
      <c r="AC93" s="68" t="e">
        <f t="shared" si="33"/>
        <v>#DIV/0!</v>
      </c>
      <c r="AD93" s="63"/>
      <c r="AE93" s="32" t="e">
        <f t="shared" si="34"/>
        <v>#DIV/0!</v>
      </c>
      <c r="AF93" s="56"/>
      <c r="AG93" s="56"/>
      <c r="AH93" s="37" t="e">
        <f t="shared" si="35"/>
        <v>#DIV/0!</v>
      </c>
      <c r="AI93" s="38">
        <v>65</v>
      </c>
      <c r="AJ93" s="30" t="e">
        <f t="shared" si="36"/>
        <v>#DIV/0!</v>
      </c>
      <c r="AK93" s="37" t="e">
        <f t="shared" si="37"/>
        <v>#DIV/0!</v>
      </c>
      <c r="AL93" s="39" t="e">
        <f t="shared" si="38"/>
        <v>#DIV/0!</v>
      </c>
      <c r="AM93" s="40"/>
      <c r="AN93" s="41">
        <f t="shared" si="41"/>
        <v>1</v>
      </c>
      <c r="AO93" s="41">
        <f t="shared" si="41"/>
        <v>2</v>
      </c>
      <c r="AP93" s="43"/>
      <c r="AQ93" s="70"/>
      <c r="AR93" s="58"/>
      <c r="AS93" s="58"/>
      <c r="AT93" s="58"/>
      <c r="AU93" s="58"/>
      <c r="AV93" s="59"/>
      <c r="AW93" s="71">
        <f t="shared" si="39"/>
        <v>0</v>
      </c>
      <c r="AX93" s="71">
        <f t="shared" si="40"/>
        <v>0</v>
      </c>
    </row>
    <row r="94" spans="1:50" s="42" customFormat="1" ht="21.95" customHeight="1" thickBot="1" x14ac:dyDescent="0.2">
      <c r="A94" s="384" t="s">
        <v>43</v>
      </c>
      <c r="B94" s="385"/>
      <c r="C94" s="385"/>
      <c r="D94" s="385"/>
      <c r="E94" s="385"/>
      <c r="F94" s="385"/>
      <c r="G94" s="385"/>
      <c r="H94" s="386"/>
      <c r="I94" s="309"/>
      <c r="J94" s="26"/>
      <c r="K94" s="104"/>
      <c r="L94" s="104"/>
      <c r="M94" s="104"/>
      <c r="N94" s="107">
        <f>I94*I93+J94*J93+K94*K93+L94*L93+M94*M93</f>
        <v>0</v>
      </c>
      <c r="O94" s="28"/>
      <c r="P94" s="29"/>
      <c r="Q94" s="30"/>
      <c r="R94" s="30"/>
      <c r="S94" s="31"/>
      <c r="T94" s="89"/>
      <c r="U94" s="32"/>
      <c r="V94" s="68"/>
      <c r="W94" s="98"/>
      <c r="X94" s="45"/>
      <c r="Y94" s="93"/>
      <c r="Z94" s="45"/>
      <c r="AA94" s="35"/>
      <c r="AB94" s="36"/>
      <c r="AC94" s="68"/>
      <c r="AD94" s="32"/>
      <c r="AE94" s="32"/>
      <c r="AF94" s="61"/>
      <c r="AG94" s="56"/>
      <c r="AH94" s="37"/>
      <c r="AI94" s="38"/>
      <c r="AJ94" s="30"/>
      <c r="AK94" s="37"/>
      <c r="AL94" s="39"/>
      <c r="AM94" s="40"/>
      <c r="AN94" s="41"/>
      <c r="AO94" s="41"/>
      <c r="AP94" s="43"/>
      <c r="AQ94" s="70"/>
      <c r="AR94" s="58"/>
      <c r="AS94" s="58"/>
      <c r="AT94" s="58"/>
      <c r="AU94" s="58"/>
      <c r="AV94" s="59"/>
      <c r="AW94" s="71"/>
      <c r="AX94" s="71"/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/>
      <c r="J95" s="26"/>
      <c r="K95" s="26"/>
      <c r="L95" s="26"/>
      <c r="M95" s="62"/>
      <c r="N95" s="27">
        <f t="shared" si="27"/>
        <v>0</v>
      </c>
      <c r="O95" s="28">
        <v>1</v>
      </c>
      <c r="P95" s="29"/>
      <c r="Q95" s="30"/>
      <c r="R95" s="30"/>
      <c r="S95" s="30"/>
      <c r="T95" s="31"/>
      <c r="U95" s="32">
        <f t="shared" si="30"/>
        <v>0</v>
      </c>
      <c r="V95" s="68">
        <f t="shared" si="31"/>
        <v>0</v>
      </c>
      <c r="W95" s="57"/>
      <c r="X95" s="60"/>
      <c r="Y95" s="45"/>
      <c r="Z95" s="48"/>
      <c r="AA95" s="35"/>
      <c r="AB95" s="36" t="e">
        <f t="shared" si="32"/>
        <v>#DIV/0!</v>
      </c>
      <c r="AC95" s="68" t="e">
        <f t="shared" si="33"/>
        <v>#DIV/0!</v>
      </c>
      <c r="AD95" s="63"/>
      <c r="AE95" s="32" t="e">
        <f t="shared" si="34"/>
        <v>#DIV/0!</v>
      </c>
      <c r="AF95" s="56"/>
      <c r="AG95" s="56"/>
      <c r="AH95" s="37" t="e">
        <f t="shared" si="35"/>
        <v>#DIV/0!</v>
      </c>
      <c r="AI95" s="38">
        <v>65</v>
      </c>
      <c r="AJ95" s="30" t="e">
        <f t="shared" si="36"/>
        <v>#DIV/0!</v>
      </c>
      <c r="AK95" s="37" t="e">
        <f t="shared" si="37"/>
        <v>#DIV/0!</v>
      </c>
      <c r="AL95" s="39" t="e">
        <f t="shared" si="38"/>
        <v>#DIV/0!</v>
      </c>
      <c r="AM95" s="40"/>
      <c r="AN95" s="41">
        <f t="shared" si="41"/>
        <v>1</v>
      </c>
      <c r="AO95" s="41">
        <f t="shared" si="41"/>
        <v>2</v>
      </c>
      <c r="AP95" s="43"/>
      <c r="AQ95" s="70"/>
      <c r="AR95" s="58"/>
      <c r="AS95" s="58"/>
      <c r="AT95" s="58"/>
      <c r="AU95" s="58"/>
      <c r="AV95" s="59"/>
      <c r="AW95" s="71">
        <f t="shared" si="39"/>
        <v>0</v>
      </c>
      <c r="AX95" s="71">
        <f t="shared" si="40"/>
        <v>0</v>
      </c>
    </row>
    <row r="96" spans="1:50" s="42" customFormat="1" ht="21.95" customHeight="1" thickBot="1" x14ac:dyDescent="0.2">
      <c r="A96" s="384" t="s">
        <v>43</v>
      </c>
      <c r="B96" s="385"/>
      <c r="C96" s="385"/>
      <c r="D96" s="385"/>
      <c r="E96" s="385"/>
      <c r="F96" s="385"/>
      <c r="G96" s="385"/>
      <c r="H96" s="386"/>
      <c r="I96" s="309"/>
      <c r="J96" s="26"/>
      <c r="K96" s="104"/>
      <c r="L96" s="104"/>
      <c r="M96" s="104"/>
      <c r="N96" s="107">
        <f>I96*I95+J96*J95+K96*K95+L96*L95+M96*M95</f>
        <v>0</v>
      </c>
      <c r="O96" s="28"/>
      <c r="P96" s="29"/>
      <c r="Q96" s="30"/>
      <c r="R96" s="30"/>
      <c r="S96" s="31"/>
      <c r="T96" s="89"/>
      <c r="U96" s="32"/>
      <c r="V96" s="68"/>
      <c r="W96" s="98"/>
      <c r="X96" s="45"/>
      <c r="Y96" s="93"/>
      <c r="Z96" s="45"/>
      <c r="AA96" s="35"/>
      <c r="AB96" s="36"/>
      <c r="AC96" s="68"/>
      <c r="AD96" s="32"/>
      <c r="AE96" s="32"/>
      <c r="AF96" s="61"/>
      <c r="AG96" s="56"/>
      <c r="AH96" s="37"/>
      <c r="AI96" s="38"/>
      <c r="AJ96" s="30"/>
      <c r="AK96" s="37"/>
      <c r="AL96" s="39"/>
      <c r="AM96" s="40"/>
      <c r="AN96" s="41"/>
      <c r="AO96" s="41"/>
      <c r="AP96" s="43"/>
      <c r="AQ96" s="70"/>
      <c r="AR96" s="58"/>
      <c r="AS96" s="58"/>
      <c r="AT96" s="58"/>
      <c r="AU96" s="58"/>
      <c r="AV96" s="59"/>
      <c r="AW96" s="71"/>
      <c r="AX96" s="71"/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/>
      <c r="J97" s="26"/>
      <c r="K97" s="26"/>
      <c r="L97" s="26"/>
      <c r="M97" s="62"/>
      <c r="N97" s="27">
        <f t="shared" si="27"/>
        <v>0</v>
      </c>
      <c r="O97" s="28">
        <v>1</v>
      </c>
      <c r="P97" s="29"/>
      <c r="Q97" s="30"/>
      <c r="R97" s="30"/>
      <c r="S97" s="30"/>
      <c r="T97" s="31"/>
      <c r="U97" s="32">
        <f t="shared" si="30"/>
        <v>0</v>
      </c>
      <c r="V97" s="68">
        <f t="shared" si="31"/>
        <v>0</v>
      </c>
      <c r="W97" s="57"/>
      <c r="X97" s="60"/>
      <c r="Y97" s="45"/>
      <c r="Z97" s="48"/>
      <c r="AA97" s="35"/>
      <c r="AB97" s="36" t="e">
        <f t="shared" si="32"/>
        <v>#DIV/0!</v>
      </c>
      <c r="AC97" s="68" t="e">
        <f t="shared" si="33"/>
        <v>#DIV/0!</v>
      </c>
      <c r="AD97" s="63"/>
      <c r="AE97" s="32" t="e">
        <f t="shared" si="34"/>
        <v>#DIV/0!</v>
      </c>
      <c r="AF97" s="56"/>
      <c r="AG97" s="56"/>
      <c r="AH97" s="37" t="e">
        <f t="shared" si="35"/>
        <v>#DIV/0!</v>
      </c>
      <c r="AI97" s="38">
        <v>65</v>
      </c>
      <c r="AJ97" s="30" t="e">
        <f t="shared" si="36"/>
        <v>#DIV/0!</v>
      </c>
      <c r="AK97" s="37" t="e">
        <f t="shared" si="37"/>
        <v>#DIV/0!</v>
      </c>
      <c r="AL97" s="39" t="e">
        <f t="shared" si="38"/>
        <v>#DIV/0!</v>
      </c>
      <c r="AM97" s="40"/>
      <c r="AN97" s="41">
        <f t="shared" si="41"/>
        <v>1</v>
      </c>
      <c r="AO97" s="41">
        <f t="shared" si="41"/>
        <v>2</v>
      </c>
      <c r="AP97" s="43"/>
      <c r="AQ97" s="70"/>
      <c r="AR97" s="58"/>
      <c r="AS97" s="58"/>
      <c r="AT97" s="58"/>
      <c r="AU97" s="58"/>
      <c r="AV97" s="59"/>
      <c r="AW97" s="71">
        <f t="shared" si="39"/>
        <v>0</v>
      </c>
      <c r="AX97" s="71">
        <f t="shared" si="40"/>
        <v>0</v>
      </c>
    </row>
    <row r="98" spans="1:50" s="42" customFormat="1" ht="21.95" customHeight="1" thickBot="1" x14ac:dyDescent="0.2">
      <c r="A98" s="384" t="s">
        <v>43</v>
      </c>
      <c r="B98" s="385"/>
      <c r="C98" s="385"/>
      <c r="D98" s="385"/>
      <c r="E98" s="385"/>
      <c r="F98" s="385"/>
      <c r="G98" s="385"/>
      <c r="H98" s="386"/>
      <c r="I98" s="309"/>
      <c r="J98" s="26"/>
      <c r="K98" s="104"/>
      <c r="L98" s="104"/>
      <c r="M98" s="104"/>
      <c r="N98" s="107">
        <f>I98*I97+J98*J97+K98*K97+L98*L97+M98*M97</f>
        <v>0</v>
      </c>
      <c r="O98" s="28"/>
      <c r="P98" s="29"/>
      <c r="Q98" s="30"/>
      <c r="R98" s="30"/>
      <c r="S98" s="31"/>
      <c r="T98" s="89"/>
      <c r="U98" s="32"/>
      <c r="V98" s="68"/>
      <c r="W98" s="98"/>
      <c r="X98" s="45"/>
      <c r="Y98" s="93"/>
      <c r="Z98" s="45"/>
      <c r="AA98" s="35"/>
      <c r="AB98" s="36"/>
      <c r="AC98" s="68"/>
      <c r="AD98" s="32"/>
      <c r="AE98" s="32"/>
      <c r="AF98" s="61"/>
      <c r="AG98" s="56"/>
      <c r="AH98" s="37"/>
      <c r="AI98" s="38"/>
      <c r="AJ98" s="30"/>
      <c r="AK98" s="37"/>
      <c r="AL98" s="39"/>
      <c r="AM98" s="40"/>
      <c r="AN98" s="41"/>
      <c r="AO98" s="41"/>
      <c r="AP98" s="43"/>
      <c r="AQ98" s="70"/>
      <c r="AR98" s="58"/>
      <c r="AS98" s="58"/>
      <c r="AT98" s="58"/>
      <c r="AU98" s="58"/>
      <c r="AV98" s="59"/>
      <c r="AW98" s="71"/>
      <c r="AX98" s="71"/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/>
      <c r="J99" s="26"/>
      <c r="K99" s="26"/>
      <c r="L99" s="26"/>
      <c r="M99" s="62"/>
      <c r="N99" s="27">
        <f t="shared" si="27"/>
        <v>0</v>
      </c>
      <c r="O99" s="28">
        <v>1</v>
      </c>
      <c r="P99" s="29"/>
      <c r="Q99" s="30"/>
      <c r="R99" s="30"/>
      <c r="S99" s="30"/>
      <c r="T99" s="31"/>
      <c r="U99" s="32">
        <f t="shared" si="30"/>
        <v>0</v>
      </c>
      <c r="V99" s="68">
        <f t="shared" si="31"/>
        <v>0</v>
      </c>
      <c r="W99" s="57"/>
      <c r="X99" s="60"/>
      <c r="Y99" s="45"/>
      <c r="Z99" s="48"/>
      <c r="AA99" s="35"/>
      <c r="AB99" s="36" t="e">
        <f t="shared" si="32"/>
        <v>#DIV/0!</v>
      </c>
      <c r="AC99" s="68" t="e">
        <f t="shared" si="33"/>
        <v>#DIV/0!</v>
      </c>
      <c r="AD99" s="63"/>
      <c r="AE99" s="32" t="e">
        <f t="shared" si="34"/>
        <v>#DIV/0!</v>
      </c>
      <c r="AF99" s="56"/>
      <c r="AG99" s="56"/>
      <c r="AH99" s="37" t="e">
        <f t="shared" si="35"/>
        <v>#DIV/0!</v>
      </c>
      <c r="AI99" s="38">
        <v>65</v>
      </c>
      <c r="AJ99" s="30" t="e">
        <f t="shared" si="36"/>
        <v>#DIV/0!</v>
      </c>
      <c r="AK99" s="37" t="e">
        <f t="shared" si="37"/>
        <v>#DIV/0!</v>
      </c>
      <c r="AL99" s="39" t="e">
        <f t="shared" si="38"/>
        <v>#DIV/0!</v>
      </c>
      <c r="AM99" s="40"/>
      <c r="AN99" s="41">
        <f t="shared" si="41"/>
        <v>1</v>
      </c>
      <c r="AO99" s="41">
        <f t="shared" si="41"/>
        <v>2</v>
      </c>
      <c r="AP99" s="43"/>
      <c r="AQ99" s="70"/>
      <c r="AR99" s="58"/>
      <c r="AS99" s="58"/>
      <c r="AT99" s="58"/>
      <c r="AU99" s="58"/>
      <c r="AV99" s="59"/>
      <c r="AW99" s="71">
        <f t="shared" si="39"/>
        <v>0</v>
      </c>
      <c r="AX99" s="71">
        <f t="shared" si="40"/>
        <v>0</v>
      </c>
    </row>
    <row r="100" spans="1:50" s="42" customFormat="1" ht="21.95" customHeight="1" thickBot="1" x14ac:dyDescent="0.2">
      <c r="A100" s="384" t="s">
        <v>43</v>
      </c>
      <c r="B100" s="385"/>
      <c r="C100" s="385"/>
      <c r="D100" s="385"/>
      <c r="E100" s="385"/>
      <c r="F100" s="385"/>
      <c r="G100" s="385"/>
      <c r="H100" s="386"/>
      <c r="I100" s="309"/>
      <c r="J100" s="26"/>
      <c r="K100" s="104"/>
      <c r="L100" s="104"/>
      <c r="M100" s="104"/>
      <c r="N100" s="107">
        <f>I100*I99+J100*J99+K100*K99+L100*L99+M100*M99</f>
        <v>0</v>
      </c>
      <c r="O100" s="28"/>
      <c r="P100" s="29"/>
      <c r="Q100" s="30"/>
      <c r="R100" s="30"/>
      <c r="S100" s="31"/>
      <c r="T100" s="89"/>
      <c r="U100" s="32"/>
      <c r="V100" s="68"/>
      <c r="W100" s="98"/>
      <c r="X100" s="45"/>
      <c r="Y100" s="93"/>
      <c r="Z100" s="45"/>
      <c r="AA100" s="35"/>
      <c r="AB100" s="36"/>
      <c r="AC100" s="68"/>
      <c r="AD100" s="32"/>
      <c r="AE100" s="32"/>
      <c r="AF100" s="61"/>
      <c r="AG100" s="56"/>
      <c r="AH100" s="37"/>
      <c r="AI100" s="38"/>
      <c r="AJ100" s="30"/>
      <c r="AK100" s="37"/>
      <c r="AL100" s="39"/>
      <c r="AM100" s="40"/>
      <c r="AN100" s="41"/>
      <c r="AO100" s="41"/>
      <c r="AP100" s="43"/>
      <c r="AQ100" s="70"/>
      <c r="AR100" s="58"/>
      <c r="AS100" s="58"/>
      <c r="AT100" s="58"/>
      <c r="AU100" s="58"/>
      <c r="AV100" s="59"/>
      <c r="AW100" s="71"/>
      <c r="AX100" s="71"/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/>
      <c r="J101" s="26"/>
      <c r="K101" s="26"/>
      <c r="L101" s="26"/>
      <c r="M101" s="62"/>
      <c r="N101" s="27">
        <f t="shared" si="27"/>
        <v>0</v>
      </c>
      <c r="O101" s="28">
        <v>1</v>
      </c>
      <c r="P101" s="29"/>
      <c r="Q101" s="30"/>
      <c r="R101" s="30"/>
      <c r="S101" s="30"/>
      <c r="T101" s="31"/>
      <c r="U101" s="32">
        <f t="shared" si="30"/>
        <v>0</v>
      </c>
      <c r="V101" s="68">
        <f t="shared" si="31"/>
        <v>0</v>
      </c>
      <c r="W101" s="57"/>
      <c r="X101" s="60"/>
      <c r="Y101" s="45"/>
      <c r="Z101" s="48"/>
      <c r="AA101" s="35"/>
      <c r="AB101" s="36" t="e">
        <f t="shared" si="32"/>
        <v>#DIV/0!</v>
      </c>
      <c r="AC101" s="68" t="e">
        <f t="shared" si="33"/>
        <v>#DIV/0!</v>
      </c>
      <c r="AD101" s="63"/>
      <c r="AE101" s="32" t="e">
        <f t="shared" si="34"/>
        <v>#DIV/0!</v>
      </c>
      <c r="AF101" s="56"/>
      <c r="AG101" s="56"/>
      <c r="AH101" s="37" t="e">
        <f t="shared" si="35"/>
        <v>#DIV/0!</v>
      </c>
      <c r="AI101" s="38">
        <v>65</v>
      </c>
      <c r="AJ101" s="30" t="e">
        <f t="shared" si="36"/>
        <v>#DIV/0!</v>
      </c>
      <c r="AK101" s="37" t="e">
        <f t="shared" si="37"/>
        <v>#DIV/0!</v>
      </c>
      <c r="AL101" s="39" t="e">
        <f t="shared" si="38"/>
        <v>#DIV/0!</v>
      </c>
      <c r="AM101" s="40"/>
      <c r="AN101" s="41">
        <f t="shared" si="41"/>
        <v>1</v>
      </c>
      <c r="AO101" s="41">
        <f t="shared" si="41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39"/>
        <v>0</v>
      </c>
      <c r="AX101" s="71">
        <f t="shared" si="40"/>
        <v>0</v>
      </c>
    </row>
    <row r="102" spans="1:50" s="42" customFormat="1" ht="21.95" customHeight="1" thickBot="1" x14ac:dyDescent="0.2">
      <c r="A102" s="384" t="s">
        <v>43</v>
      </c>
      <c r="B102" s="385"/>
      <c r="C102" s="385"/>
      <c r="D102" s="385"/>
      <c r="E102" s="385"/>
      <c r="F102" s="385"/>
      <c r="G102" s="385"/>
      <c r="H102" s="386"/>
      <c r="I102" s="309"/>
      <c r="J102" s="26"/>
      <c r="K102" s="104"/>
      <c r="L102" s="104"/>
      <c r="M102" s="104"/>
      <c r="N102" s="107">
        <f>I102*I101+J102*J101+K102*K101+L102*L101+M102*M101</f>
        <v>0</v>
      </c>
      <c r="O102" s="28"/>
      <c r="P102" s="29"/>
      <c r="Q102" s="30"/>
      <c r="R102" s="30"/>
      <c r="S102" s="31"/>
      <c r="T102" s="89"/>
      <c r="U102" s="32"/>
      <c r="V102" s="68"/>
      <c r="W102" s="98"/>
      <c r="X102" s="45"/>
      <c r="Y102" s="93"/>
      <c r="Z102" s="45"/>
      <c r="AA102" s="35"/>
      <c r="AB102" s="36"/>
      <c r="AC102" s="68"/>
      <c r="AD102" s="32"/>
      <c r="AE102" s="32"/>
      <c r="AF102" s="61"/>
      <c r="AG102" s="56"/>
      <c r="AH102" s="37"/>
      <c r="AI102" s="38"/>
      <c r="AJ102" s="30"/>
      <c r="AK102" s="37"/>
      <c r="AL102" s="39"/>
      <c r="AM102" s="40"/>
      <c r="AN102" s="41"/>
      <c r="AO102" s="41"/>
      <c r="AP102" s="43"/>
      <c r="AQ102" s="70"/>
      <c r="AR102" s="58"/>
      <c r="AS102" s="58"/>
      <c r="AT102" s="58"/>
      <c r="AU102" s="58"/>
      <c r="AV102" s="59"/>
      <c r="AW102" s="71"/>
      <c r="AX102" s="71"/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/>
      <c r="J103" s="26"/>
      <c r="K103" s="26"/>
      <c r="L103" s="26"/>
      <c r="M103" s="62"/>
      <c r="N103" s="27">
        <f t="shared" si="27"/>
        <v>0</v>
      </c>
      <c r="O103" s="28">
        <v>1</v>
      </c>
      <c r="P103" s="29"/>
      <c r="Q103" s="30"/>
      <c r="R103" s="30"/>
      <c r="S103" s="30"/>
      <c r="T103" s="31"/>
      <c r="U103" s="32">
        <f t="shared" si="30"/>
        <v>0</v>
      </c>
      <c r="V103" s="68">
        <f t="shared" si="31"/>
        <v>0</v>
      </c>
      <c r="W103" s="57"/>
      <c r="X103" s="60"/>
      <c r="Y103" s="45"/>
      <c r="Z103" s="48"/>
      <c r="AA103" s="35"/>
      <c r="AB103" s="36" t="e">
        <f t="shared" si="32"/>
        <v>#DIV/0!</v>
      </c>
      <c r="AC103" s="68" t="e">
        <f t="shared" si="33"/>
        <v>#DIV/0!</v>
      </c>
      <c r="AD103" s="63"/>
      <c r="AE103" s="32" t="e">
        <f t="shared" si="34"/>
        <v>#DIV/0!</v>
      </c>
      <c r="AF103" s="56"/>
      <c r="AG103" s="56"/>
      <c r="AH103" s="37" t="e">
        <f t="shared" si="35"/>
        <v>#DIV/0!</v>
      </c>
      <c r="AI103" s="38">
        <v>65</v>
      </c>
      <c r="AJ103" s="30" t="e">
        <f t="shared" si="36"/>
        <v>#DIV/0!</v>
      </c>
      <c r="AK103" s="37" t="e">
        <f t="shared" si="37"/>
        <v>#DIV/0!</v>
      </c>
      <c r="AL103" s="39" t="e">
        <f t="shared" si="38"/>
        <v>#DIV/0!</v>
      </c>
      <c r="AM103" s="40"/>
      <c r="AN103" s="41">
        <f t="shared" si="41"/>
        <v>1</v>
      </c>
      <c r="AO103" s="41">
        <f t="shared" si="41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39"/>
        <v>0</v>
      </c>
      <c r="AX103" s="71">
        <f t="shared" si="40"/>
        <v>0</v>
      </c>
    </row>
    <row r="104" spans="1:50" s="42" customFormat="1" ht="21.95" customHeight="1" thickBot="1" x14ac:dyDescent="0.2">
      <c r="A104" s="384" t="s">
        <v>43</v>
      </c>
      <c r="B104" s="385"/>
      <c r="C104" s="385"/>
      <c r="D104" s="385"/>
      <c r="E104" s="385"/>
      <c r="F104" s="385"/>
      <c r="G104" s="385"/>
      <c r="H104" s="386"/>
      <c r="I104" s="309"/>
      <c r="J104" s="26"/>
      <c r="K104" s="104"/>
      <c r="L104" s="104"/>
      <c r="M104" s="104"/>
      <c r="N104" s="107">
        <f>I104*I103+J104*J103+K104*K103+L104*L103+M104*M103</f>
        <v>0</v>
      </c>
      <c r="O104" s="28"/>
      <c r="P104" s="29"/>
      <c r="Q104" s="30"/>
      <c r="R104" s="30"/>
      <c r="S104" s="31"/>
      <c r="T104" s="89"/>
      <c r="U104" s="32"/>
      <c r="V104" s="68"/>
      <c r="W104" s="98"/>
      <c r="X104" s="45"/>
      <c r="Y104" s="93"/>
      <c r="Z104" s="45"/>
      <c r="AA104" s="35"/>
      <c r="AB104" s="36"/>
      <c r="AC104" s="68"/>
      <c r="AD104" s="32"/>
      <c r="AE104" s="32"/>
      <c r="AF104" s="61"/>
      <c r="AG104" s="56"/>
      <c r="AH104" s="37"/>
      <c r="AI104" s="38"/>
      <c r="AJ104" s="30"/>
      <c r="AK104" s="37"/>
      <c r="AL104" s="39"/>
      <c r="AM104" s="40"/>
      <c r="AN104" s="41"/>
      <c r="AO104" s="41"/>
      <c r="AP104" s="43"/>
      <c r="AQ104" s="70"/>
      <c r="AR104" s="58"/>
      <c r="AS104" s="58"/>
      <c r="AT104" s="58"/>
      <c r="AU104" s="58"/>
      <c r="AV104" s="59"/>
      <c r="AW104" s="71"/>
      <c r="AX104" s="71"/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/>
      <c r="J105" s="26"/>
      <c r="K105" s="26"/>
      <c r="L105" s="26"/>
      <c r="M105" s="62"/>
      <c r="N105" s="27">
        <f t="shared" si="27"/>
        <v>0</v>
      </c>
      <c r="O105" s="28">
        <v>1</v>
      </c>
      <c r="P105" s="29"/>
      <c r="Q105" s="30"/>
      <c r="R105" s="30"/>
      <c r="S105" s="30"/>
      <c r="T105" s="31"/>
      <c r="U105" s="32">
        <f t="shared" si="30"/>
        <v>0</v>
      </c>
      <c r="V105" s="68">
        <f t="shared" si="31"/>
        <v>0</v>
      </c>
      <c r="W105" s="57"/>
      <c r="X105" s="60"/>
      <c r="Y105" s="45"/>
      <c r="Z105" s="48"/>
      <c r="AA105" s="35"/>
      <c r="AB105" s="36" t="e">
        <f t="shared" si="32"/>
        <v>#DIV/0!</v>
      </c>
      <c r="AC105" s="68" t="e">
        <f t="shared" si="33"/>
        <v>#DIV/0!</v>
      </c>
      <c r="AD105" s="63"/>
      <c r="AE105" s="32" t="e">
        <f t="shared" si="34"/>
        <v>#DIV/0!</v>
      </c>
      <c r="AF105" s="56"/>
      <c r="AG105" s="56"/>
      <c r="AH105" s="37" t="e">
        <f t="shared" si="35"/>
        <v>#DIV/0!</v>
      </c>
      <c r="AI105" s="38">
        <v>65</v>
      </c>
      <c r="AJ105" s="30" t="e">
        <f t="shared" si="36"/>
        <v>#DIV/0!</v>
      </c>
      <c r="AK105" s="37" t="e">
        <f t="shared" si="37"/>
        <v>#DIV/0!</v>
      </c>
      <c r="AL105" s="39" t="e">
        <f t="shared" si="38"/>
        <v>#DIV/0!</v>
      </c>
      <c r="AM105" s="40"/>
      <c r="AN105" s="41">
        <f t="shared" si="41"/>
        <v>1</v>
      </c>
      <c r="AO105" s="41">
        <f t="shared" si="41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39"/>
        <v>0</v>
      </c>
      <c r="AX105" s="71">
        <f t="shared" si="40"/>
        <v>0</v>
      </c>
    </row>
    <row r="106" spans="1:50" s="42" customFormat="1" ht="21.95" customHeight="1" thickBot="1" x14ac:dyDescent="0.2">
      <c r="A106" s="384" t="s">
        <v>43</v>
      </c>
      <c r="B106" s="385"/>
      <c r="C106" s="385"/>
      <c r="D106" s="385"/>
      <c r="E106" s="385"/>
      <c r="F106" s="385"/>
      <c r="G106" s="385"/>
      <c r="H106" s="386"/>
      <c r="I106" s="309"/>
      <c r="J106" s="26"/>
      <c r="K106" s="104"/>
      <c r="L106" s="104"/>
      <c r="M106" s="104"/>
      <c r="N106" s="107">
        <f>I106*I105+J106*J105+K106*K105+L106*L105+M106*M105</f>
        <v>0</v>
      </c>
      <c r="O106" s="28"/>
      <c r="P106" s="29"/>
      <c r="Q106" s="30"/>
      <c r="R106" s="30"/>
      <c r="S106" s="31"/>
      <c r="T106" s="89"/>
      <c r="U106" s="32"/>
      <c r="V106" s="68"/>
      <c r="W106" s="98"/>
      <c r="X106" s="45"/>
      <c r="Y106" s="93"/>
      <c r="Z106" s="45"/>
      <c r="AA106" s="35"/>
      <c r="AB106" s="36"/>
      <c r="AC106" s="68"/>
      <c r="AD106" s="32"/>
      <c r="AE106" s="32"/>
      <c r="AF106" s="61"/>
      <c r="AG106" s="56"/>
      <c r="AH106" s="37"/>
      <c r="AI106" s="38"/>
      <c r="AJ106" s="30"/>
      <c r="AK106" s="37"/>
      <c r="AL106" s="39"/>
      <c r="AM106" s="40"/>
      <c r="AN106" s="41"/>
      <c r="AO106" s="41"/>
      <c r="AP106" s="43"/>
      <c r="AQ106" s="70"/>
      <c r="AR106" s="58"/>
      <c r="AS106" s="58"/>
      <c r="AT106" s="58"/>
      <c r="AU106" s="58"/>
      <c r="AV106" s="59"/>
      <c r="AW106" s="71"/>
      <c r="AX106" s="71"/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/>
      <c r="J107" s="26"/>
      <c r="K107" s="26"/>
      <c r="L107" s="26"/>
      <c r="M107" s="62"/>
      <c r="N107" s="27">
        <f t="shared" ref="N107:N136" si="42">SUM(I107:M107)</f>
        <v>0</v>
      </c>
      <c r="O107" s="28">
        <v>1</v>
      </c>
      <c r="P107" s="29"/>
      <c r="Q107" s="30"/>
      <c r="R107" s="30"/>
      <c r="S107" s="30"/>
      <c r="T107" s="31"/>
      <c r="U107" s="32">
        <f t="shared" si="30"/>
        <v>0</v>
      </c>
      <c r="V107" s="68">
        <f t="shared" si="31"/>
        <v>0</v>
      </c>
      <c r="W107" s="57"/>
      <c r="X107" s="60"/>
      <c r="Y107" s="45"/>
      <c r="Z107" s="48"/>
      <c r="AA107" s="35"/>
      <c r="AB107" s="36" t="e">
        <f t="shared" si="32"/>
        <v>#DIV/0!</v>
      </c>
      <c r="AC107" s="68" t="e">
        <f t="shared" si="33"/>
        <v>#DIV/0!</v>
      </c>
      <c r="AD107" s="63"/>
      <c r="AE107" s="32" t="e">
        <f t="shared" si="34"/>
        <v>#DIV/0!</v>
      </c>
      <c r="AF107" s="56"/>
      <c r="AG107" s="56"/>
      <c r="AH107" s="37" t="e">
        <f t="shared" si="35"/>
        <v>#DIV/0!</v>
      </c>
      <c r="AI107" s="38">
        <v>65</v>
      </c>
      <c r="AJ107" s="30" t="e">
        <f t="shared" si="36"/>
        <v>#DIV/0!</v>
      </c>
      <c r="AK107" s="37" t="e">
        <f t="shared" si="37"/>
        <v>#DIV/0!</v>
      </c>
      <c r="AL107" s="39" t="e">
        <f t="shared" si="38"/>
        <v>#DIV/0!</v>
      </c>
      <c r="AM107" s="40"/>
      <c r="AN107" s="41">
        <f t="shared" si="41"/>
        <v>1</v>
      </c>
      <c r="AO107" s="41">
        <f t="shared" si="41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39"/>
        <v>0</v>
      </c>
      <c r="AX107" s="71">
        <f t="shared" si="40"/>
        <v>0</v>
      </c>
    </row>
    <row r="108" spans="1:50" s="42" customFormat="1" ht="21.95" customHeight="1" thickBot="1" x14ac:dyDescent="0.2">
      <c r="A108" s="384" t="s">
        <v>43</v>
      </c>
      <c r="B108" s="385"/>
      <c r="C108" s="385"/>
      <c r="D108" s="385"/>
      <c r="E108" s="385"/>
      <c r="F108" s="385"/>
      <c r="G108" s="385"/>
      <c r="H108" s="386"/>
      <c r="I108" s="309"/>
      <c r="J108" s="26"/>
      <c r="K108" s="104"/>
      <c r="L108" s="104"/>
      <c r="M108" s="104"/>
      <c r="N108" s="107">
        <f>I108*I107+J108*J107+K108*K107+L108*L107+M108*M107</f>
        <v>0</v>
      </c>
      <c r="O108" s="28"/>
      <c r="P108" s="29"/>
      <c r="Q108" s="30"/>
      <c r="R108" s="30"/>
      <c r="S108" s="31"/>
      <c r="T108" s="89"/>
      <c r="U108" s="32"/>
      <c r="V108" s="68"/>
      <c r="W108" s="98"/>
      <c r="X108" s="45"/>
      <c r="Y108" s="93"/>
      <c r="Z108" s="45"/>
      <c r="AA108" s="35"/>
      <c r="AB108" s="36"/>
      <c r="AC108" s="68"/>
      <c r="AD108" s="32"/>
      <c r="AE108" s="32"/>
      <c r="AF108" s="61"/>
      <c r="AG108" s="56"/>
      <c r="AH108" s="37"/>
      <c r="AI108" s="38"/>
      <c r="AJ108" s="30"/>
      <c r="AK108" s="37"/>
      <c r="AL108" s="39"/>
      <c r="AM108" s="40"/>
      <c r="AN108" s="41"/>
      <c r="AO108" s="41"/>
      <c r="AP108" s="43"/>
      <c r="AQ108" s="70"/>
      <c r="AR108" s="58"/>
      <c r="AS108" s="58"/>
      <c r="AT108" s="58"/>
      <c r="AU108" s="58"/>
      <c r="AV108" s="59"/>
      <c r="AW108" s="71"/>
      <c r="AX108" s="71"/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/>
      <c r="J109" s="26"/>
      <c r="K109" s="26"/>
      <c r="L109" s="26"/>
      <c r="M109" s="62"/>
      <c r="N109" s="27">
        <f t="shared" si="42"/>
        <v>0</v>
      </c>
      <c r="O109" s="28">
        <v>1</v>
      </c>
      <c r="P109" s="29"/>
      <c r="Q109" s="30"/>
      <c r="R109" s="30"/>
      <c r="S109" s="30"/>
      <c r="T109" s="31"/>
      <c r="U109" s="32">
        <f t="shared" si="30"/>
        <v>0</v>
      </c>
      <c r="V109" s="68">
        <f t="shared" si="31"/>
        <v>0</v>
      </c>
      <c r="W109" s="57"/>
      <c r="X109" s="60"/>
      <c r="Y109" s="45"/>
      <c r="Z109" s="48"/>
      <c r="AA109" s="35"/>
      <c r="AB109" s="36" t="e">
        <f t="shared" si="32"/>
        <v>#DIV/0!</v>
      </c>
      <c r="AC109" s="68" t="e">
        <f t="shared" si="33"/>
        <v>#DIV/0!</v>
      </c>
      <c r="AD109" s="63"/>
      <c r="AE109" s="32" t="e">
        <f t="shared" si="34"/>
        <v>#DIV/0!</v>
      </c>
      <c r="AF109" s="56"/>
      <c r="AG109" s="56"/>
      <c r="AH109" s="37" t="e">
        <f t="shared" si="35"/>
        <v>#DIV/0!</v>
      </c>
      <c r="AI109" s="38">
        <v>65</v>
      </c>
      <c r="AJ109" s="30" t="e">
        <f t="shared" si="36"/>
        <v>#DIV/0!</v>
      </c>
      <c r="AK109" s="37" t="e">
        <f t="shared" si="37"/>
        <v>#DIV/0!</v>
      </c>
      <c r="AL109" s="39" t="e">
        <f t="shared" si="38"/>
        <v>#DIV/0!</v>
      </c>
      <c r="AM109" s="40"/>
      <c r="AN109" s="41">
        <f t="shared" si="41"/>
        <v>1</v>
      </c>
      <c r="AO109" s="41">
        <f t="shared" si="41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39"/>
        <v>0</v>
      </c>
      <c r="AX109" s="71">
        <f t="shared" si="40"/>
        <v>0</v>
      </c>
    </row>
    <row r="110" spans="1:50" s="42" customFormat="1" ht="21.95" customHeight="1" thickBot="1" x14ac:dyDescent="0.2">
      <c r="A110" s="384" t="s">
        <v>43</v>
      </c>
      <c r="B110" s="385"/>
      <c r="C110" s="385"/>
      <c r="D110" s="385"/>
      <c r="E110" s="385"/>
      <c r="F110" s="385"/>
      <c r="G110" s="385"/>
      <c r="H110" s="386"/>
      <c r="I110" s="309"/>
      <c r="J110" s="26"/>
      <c r="K110" s="104"/>
      <c r="L110" s="104"/>
      <c r="M110" s="104"/>
      <c r="N110" s="107">
        <f>I110*I109+J110*J109+K110*K109+L110*L109+M110*M109</f>
        <v>0</v>
      </c>
      <c r="O110" s="28"/>
      <c r="P110" s="29"/>
      <c r="Q110" s="30"/>
      <c r="R110" s="30"/>
      <c r="S110" s="31"/>
      <c r="T110" s="89"/>
      <c r="U110" s="32"/>
      <c r="V110" s="68"/>
      <c r="W110" s="98"/>
      <c r="X110" s="45"/>
      <c r="Y110" s="93"/>
      <c r="Z110" s="45"/>
      <c r="AA110" s="35"/>
      <c r="AB110" s="36"/>
      <c r="AC110" s="68"/>
      <c r="AD110" s="32"/>
      <c r="AE110" s="32"/>
      <c r="AF110" s="61"/>
      <c r="AG110" s="56"/>
      <c r="AH110" s="37"/>
      <c r="AI110" s="38"/>
      <c r="AJ110" s="30"/>
      <c r="AK110" s="37"/>
      <c r="AL110" s="39"/>
      <c r="AM110" s="40"/>
      <c r="AN110" s="41"/>
      <c r="AO110" s="41"/>
      <c r="AP110" s="43"/>
      <c r="AQ110" s="70"/>
      <c r="AR110" s="58"/>
      <c r="AS110" s="58"/>
      <c r="AT110" s="58"/>
      <c r="AU110" s="58"/>
      <c r="AV110" s="59"/>
      <c r="AW110" s="71"/>
      <c r="AX110" s="71"/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/>
      <c r="J111" s="26"/>
      <c r="K111" s="26"/>
      <c r="L111" s="26"/>
      <c r="M111" s="62"/>
      <c r="N111" s="27">
        <f t="shared" si="42"/>
        <v>0</v>
      </c>
      <c r="O111" s="28">
        <v>1</v>
      </c>
      <c r="P111" s="29"/>
      <c r="Q111" s="30"/>
      <c r="R111" s="30"/>
      <c r="S111" s="30"/>
      <c r="T111" s="31"/>
      <c r="U111" s="32">
        <f t="shared" si="30"/>
        <v>0</v>
      </c>
      <c r="V111" s="68">
        <f t="shared" si="31"/>
        <v>0</v>
      </c>
      <c r="W111" s="57"/>
      <c r="X111" s="60"/>
      <c r="Y111" s="45"/>
      <c r="Z111" s="48"/>
      <c r="AA111" s="35"/>
      <c r="AB111" s="36" t="e">
        <f t="shared" si="32"/>
        <v>#DIV/0!</v>
      </c>
      <c r="AC111" s="68" t="e">
        <f t="shared" si="33"/>
        <v>#DIV/0!</v>
      </c>
      <c r="AD111" s="63"/>
      <c r="AE111" s="32" t="e">
        <f t="shared" si="34"/>
        <v>#DIV/0!</v>
      </c>
      <c r="AF111" s="56"/>
      <c r="AG111" s="56"/>
      <c r="AH111" s="37" t="e">
        <f t="shared" si="35"/>
        <v>#DIV/0!</v>
      </c>
      <c r="AI111" s="38">
        <v>65</v>
      </c>
      <c r="AJ111" s="30" t="e">
        <f t="shared" si="36"/>
        <v>#DIV/0!</v>
      </c>
      <c r="AK111" s="37" t="e">
        <f t="shared" si="37"/>
        <v>#DIV/0!</v>
      </c>
      <c r="AL111" s="39" t="e">
        <f t="shared" si="38"/>
        <v>#DIV/0!</v>
      </c>
      <c r="AM111" s="40"/>
      <c r="AN111" s="41">
        <f t="shared" ref="AN111:AO130" si="43">100%+AM111</f>
        <v>1</v>
      </c>
      <c r="AO111" s="41">
        <f t="shared" si="43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39"/>
        <v>0</v>
      </c>
      <c r="AX111" s="71">
        <f t="shared" si="40"/>
        <v>0</v>
      </c>
    </row>
    <row r="112" spans="1:50" s="42" customFormat="1" ht="21.95" customHeight="1" thickBot="1" x14ac:dyDescent="0.2">
      <c r="A112" s="384" t="s">
        <v>43</v>
      </c>
      <c r="B112" s="385"/>
      <c r="C112" s="385"/>
      <c r="D112" s="385"/>
      <c r="E112" s="385"/>
      <c r="F112" s="385"/>
      <c r="G112" s="385"/>
      <c r="H112" s="386"/>
      <c r="I112" s="309"/>
      <c r="J112" s="26"/>
      <c r="K112" s="104"/>
      <c r="L112" s="104"/>
      <c r="M112" s="104"/>
      <c r="N112" s="107">
        <f>I112*I111+J112*J111+K112*K111+L112*L111+M112*M111</f>
        <v>0</v>
      </c>
      <c r="O112" s="28"/>
      <c r="P112" s="29"/>
      <c r="Q112" s="30"/>
      <c r="R112" s="30"/>
      <c r="S112" s="31"/>
      <c r="T112" s="89"/>
      <c r="U112" s="32"/>
      <c r="V112" s="68"/>
      <c r="W112" s="98"/>
      <c r="X112" s="45"/>
      <c r="Y112" s="93"/>
      <c r="Z112" s="45"/>
      <c r="AA112" s="35"/>
      <c r="AB112" s="36"/>
      <c r="AC112" s="68"/>
      <c r="AD112" s="32"/>
      <c r="AE112" s="32"/>
      <c r="AF112" s="61"/>
      <c r="AG112" s="56"/>
      <c r="AH112" s="37"/>
      <c r="AI112" s="38"/>
      <c r="AJ112" s="30"/>
      <c r="AK112" s="37"/>
      <c r="AL112" s="39"/>
      <c r="AM112" s="40"/>
      <c r="AN112" s="41"/>
      <c r="AO112" s="41"/>
      <c r="AP112" s="43"/>
      <c r="AQ112" s="70"/>
      <c r="AR112" s="58"/>
      <c r="AS112" s="58"/>
      <c r="AT112" s="58"/>
      <c r="AU112" s="58"/>
      <c r="AV112" s="59"/>
      <c r="AW112" s="71"/>
      <c r="AX112" s="71"/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/>
      <c r="J113" s="26"/>
      <c r="K113" s="26"/>
      <c r="L113" s="26"/>
      <c r="M113" s="62"/>
      <c r="N113" s="27">
        <f t="shared" si="42"/>
        <v>0</v>
      </c>
      <c r="O113" s="28">
        <v>1</v>
      </c>
      <c r="P113" s="29"/>
      <c r="Q113" s="30"/>
      <c r="R113" s="30"/>
      <c r="S113" s="30"/>
      <c r="T113" s="31"/>
      <c r="U113" s="32">
        <f t="shared" si="30"/>
        <v>0</v>
      </c>
      <c r="V113" s="68">
        <f t="shared" si="31"/>
        <v>0</v>
      </c>
      <c r="W113" s="57"/>
      <c r="X113" s="60"/>
      <c r="Y113" s="45"/>
      <c r="Z113" s="48"/>
      <c r="AA113" s="35"/>
      <c r="AB113" s="36" t="e">
        <f t="shared" si="32"/>
        <v>#DIV/0!</v>
      </c>
      <c r="AC113" s="68" t="e">
        <f t="shared" si="33"/>
        <v>#DIV/0!</v>
      </c>
      <c r="AD113" s="63">
        <v>2</v>
      </c>
      <c r="AE113" s="32" t="e">
        <f t="shared" si="34"/>
        <v>#DIV/0!</v>
      </c>
      <c r="AF113" s="56"/>
      <c r="AG113" s="56"/>
      <c r="AH113" s="37" t="e">
        <f t="shared" si="35"/>
        <v>#DIV/0!</v>
      </c>
      <c r="AI113" s="38">
        <v>65</v>
      </c>
      <c r="AJ113" s="30" t="e">
        <f t="shared" si="36"/>
        <v>#DIV/0!</v>
      </c>
      <c r="AK113" s="37" t="e">
        <f t="shared" si="37"/>
        <v>#DIV/0!</v>
      </c>
      <c r="AL113" s="39" t="e">
        <f t="shared" si="38"/>
        <v>#DIV/0!</v>
      </c>
      <c r="AM113" s="40"/>
      <c r="AN113" s="41">
        <f t="shared" si="43"/>
        <v>1</v>
      </c>
      <c r="AO113" s="41">
        <f t="shared" si="43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39"/>
        <v>0</v>
      </c>
      <c r="AX113" s="71">
        <f t="shared" si="40"/>
        <v>0</v>
      </c>
    </row>
    <row r="114" spans="1:50" s="42" customFormat="1" ht="21.95" customHeight="1" thickBot="1" x14ac:dyDescent="0.2">
      <c r="A114" s="384" t="s">
        <v>43</v>
      </c>
      <c r="B114" s="385"/>
      <c r="C114" s="385"/>
      <c r="D114" s="385"/>
      <c r="E114" s="385"/>
      <c r="F114" s="385"/>
      <c r="G114" s="385"/>
      <c r="H114" s="386"/>
      <c r="I114" s="309"/>
      <c r="J114" s="26"/>
      <c r="K114" s="104"/>
      <c r="L114" s="104"/>
      <c r="M114" s="104"/>
      <c r="N114" s="107">
        <f>I114*I113+J114*J113+K114*K113+L114*L113+M114*M113</f>
        <v>0</v>
      </c>
      <c r="O114" s="28"/>
      <c r="P114" s="29"/>
      <c r="Q114" s="30"/>
      <c r="R114" s="30"/>
      <c r="S114" s="31"/>
      <c r="T114" s="89"/>
      <c r="U114" s="32"/>
      <c r="V114" s="68"/>
      <c r="W114" s="98"/>
      <c r="X114" s="45"/>
      <c r="Y114" s="93"/>
      <c r="Z114" s="45"/>
      <c r="AA114" s="35"/>
      <c r="AB114" s="36"/>
      <c r="AC114" s="68"/>
      <c r="AD114" s="32"/>
      <c r="AE114" s="32"/>
      <c r="AF114" s="61"/>
      <c r="AG114" s="56"/>
      <c r="AH114" s="37"/>
      <c r="AI114" s="38"/>
      <c r="AJ114" s="30"/>
      <c r="AK114" s="37"/>
      <c r="AL114" s="39"/>
      <c r="AM114" s="40"/>
      <c r="AN114" s="41"/>
      <c r="AO114" s="41"/>
      <c r="AP114" s="43"/>
      <c r="AQ114" s="70"/>
      <c r="AR114" s="58"/>
      <c r="AS114" s="58"/>
      <c r="AT114" s="58"/>
      <c r="AU114" s="58"/>
      <c r="AV114" s="59"/>
      <c r="AW114" s="71"/>
      <c r="AX114" s="71"/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/>
      <c r="J115" s="26"/>
      <c r="K115" s="26"/>
      <c r="L115" s="26"/>
      <c r="M115" s="62"/>
      <c r="N115" s="27">
        <f t="shared" si="42"/>
        <v>0</v>
      </c>
      <c r="O115" s="28">
        <v>1</v>
      </c>
      <c r="P115" s="29"/>
      <c r="Q115" s="30"/>
      <c r="R115" s="30"/>
      <c r="S115" s="30"/>
      <c r="T115" s="31"/>
      <c r="U115" s="32">
        <f t="shared" si="30"/>
        <v>0</v>
      </c>
      <c r="V115" s="68">
        <f t="shared" si="31"/>
        <v>0</v>
      </c>
      <c r="W115" s="57"/>
      <c r="X115" s="60"/>
      <c r="Y115" s="45"/>
      <c r="Z115" s="48"/>
      <c r="AA115" s="35"/>
      <c r="AB115" s="36" t="e">
        <f t="shared" si="32"/>
        <v>#DIV/0!</v>
      </c>
      <c r="AC115" s="68" t="e">
        <f t="shared" si="33"/>
        <v>#DIV/0!</v>
      </c>
      <c r="AD115" s="63">
        <v>2</v>
      </c>
      <c r="AE115" s="32" t="e">
        <f t="shared" si="34"/>
        <v>#DIV/0!</v>
      </c>
      <c r="AF115" s="56"/>
      <c r="AG115" s="56"/>
      <c r="AH115" s="37" t="e">
        <f t="shared" si="35"/>
        <v>#DIV/0!</v>
      </c>
      <c r="AI115" s="38">
        <v>65</v>
      </c>
      <c r="AJ115" s="30" t="e">
        <f t="shared" si="36"/>
        <v>#DIV/0!</v>
      </c>
      <c r="AK115" s="37" t="e">
        <f t="shared" si="37"/>
        <v>#DIV/0!</v>
      </c>
      <c r="AL115" s="39" t="e">
        <f t="shared" si="38"/>
        <v>#DIV/0!</v>
      </c>
      <c r="AM115" s="40"/>
      <c r="AN115" s="41">
        <f t="shared" si="43"/>
        <v>1</v>
      </c>
      <c r="AO115" s="41">
        <f t="shared" si="43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39"/>
        <v>0</v>
      </c>
      <c r="AX115" s="71">
        <f t="shared" si="40"/>
        <v>0</v>
      </c>
    </row>
    <row r="116" spans="1:50" s="42" customFormat="1" ht="21.95" customHeight="1" thickBot="1" x14ac:dyDescent="0.2">
      <c r="A116" s="384" t="s">
        <v>43</v>
      </c>
      <c r="B116" s="385"/>
      <c r="C116" s="385"/>
      <c r="D116" s="385"/>
      <c r="E116" s="385"/>
      <c r="F116" s="385"/>
      <c r="G116" s="385"/>
      <c r="H116" s="386"/>
      <c r="I116" s="309"/>
      <c r="J116" s="26"/>
      <c r="K116" s="104"/>
      <c r="L116" s="104"/>
      <c r="M116" s="104"/>
      <c r="N116" s="107">
        <f>I116*I115+J116*J115+K116*K115+L116*L115+M116*M115</f>
        <v>0</v>
      </c>
      <c r="O116" s="28"/>
      <c r="P116" s="29"/>
      <c r="Q116" s="30"/>
      <c r="R116" s="30"/>
      <c r="S116" s="31"/>
      <c r="T116" s="89"/>
      <c r="U116" s="32"/>
      <c r="V116" s="68"/>
      <c r="W116" s="98"/>
      <c r="X116" s="45"/>
      <c r="Y116" s="93"/>
      <c r="Z116" s="45"/>
      <c r="AA116" s="35"/>
      <c r="AB116" s="36"/>
      <c r="AC116" s="68"/>
      <c r="AD116" s="32"/>
      <c r="AE116" s="32"/>
      <c r="AF116" s="61"/>
      <c r="AG116" s="56"/>
      <c r="AH116" s="37"/>
      <c r="AI116" s="38"/>
      <c r="AJ116" s="30"/>
      <c r="AK116" s="37"/>
      <c r="AL116" s="39"/>
      <c r="AM116" s="40"/>
      <c r="AN116" s="41"/>
      <c r="AO116" s="41"/>
      <c r="AP116" s="43"/>
      <c r="AQ116" s="70"/>
      <c r="AR116" s="58"/>
      <c r="AS116" s="58"/>
      <c r="AT116" s="58"/>
      <c r="AU116" s="58"/>
      <c r="AV116" s="59"/>
      <c r="AW116" s="71"/>
      <c r="AX116" s="71"/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/>
      <c r="J117" s="26"/>
      <c r="K117" s="26"/>
      <c r="L117" s="26"/>
      <c r="M117" s="62"/>
      <c r="N117" s="27">
        <f t="shared" si="42"/>
        <v>0</v>
      </c>
      <c r="O117" s="28">
        <v>1</v>
      </c>
      <c r="P117" s="29"/>
      <c r="Q117" s="30"/>
      <c r="R117" s="30"/>
      <c r="S117" s="30"/>
      <c r="T117" s="31"/>
      <c r="U117" s="32">
        <f t="shared" si="30"/>
        <v>0</v>
      </c>
      <c r="V117" s="68">
        <f t="shared" si="31"/>
        <v>0</v>
      </c>
      <c r="W117" s="57"/>
      <c r="X117" s="60"/>
      <c r="Y117" s="45"/>
      <c r="Z117" s="48"/>
      <c r="AA117" s="35"/>
      <c r="AB117" s="36" t="e">
        <f t="shared" si="32"/>
        <v>#DIV/0!</v>
      </c>
      <c r="AC117" s="68" t="e">
        <f t="shared" si="33"/>
        <v>#DIV/0!</v>
      </c>
      <c r="AD117" s="63">
        <v>2</v>
      </c>
      <c r="AE117" s="32" t="e">
        <f t="shared" si="34"/>
        <v>#DIV/0!</v>
      </c>
      <c r="AF117" s="56"/>
      <c r="AG117" s="56"/>
      <c r="AH117" s="37" t="e">
        <f t="shared" si="35"/>
        <v>#DIV/0!</v>
      </c>
      <c r="AI117" s="38">
        <v>65</v>
      </c>
      <c r="AJ117" s="30" t="e">
        <f t="shared" si="36"/>
        <v>#DIV/0!</v>
      </c>
      <c r="AK117" s="37" t="e">
        <f t="shared" si="37"/>
        <v>#DIV/0!</v>
      </c>
      <c r="AL117" s="39" t="e">
        <f t="shared" si="38"/>
        <v>#DIV/0!</v>
      </c>
      <c r="AM117" s="40"/>
      <c r="AN117" s="41">
        <f t="shared" si="43"/>
        <v>1</v>
      </c>
      <c r="AO117" s="41">
        <f t="shared" si="43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39"/>
        <v>0</v>
      </c>
      <c r="AX117" s="71">
        <f t="shared" si="40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/>
      <c r="J118" s="26"/>
      <c r="K118" s="26"/>
      <c r="L118" s="26"/>
      <c r="M118" s="62"/>
      <c r="N118" s="27">
        <f t="shared" si="42"/>
        <v>0</v>
      </c>
      <c r="O118" s="28">
        <v>1</v>
      </c>
      <c r="P118" s="29"/>
      <c r="Q118" s="30"/>
      <c r="R118" s="30"/>
      <c r="S118" s="30"/>
      <c r="T118" s="31"/>
      <c r="U118" s="32">
        <f t="shared" si="30"/>
        <v>0</v>
      </c>
      <c r="V118" s="68">
        <f t="shared" si="31"/>
        <v>0</v>
      </c>
      <c r="W118" s="57"/>
      <c r="X118" s="60"/>
      <c r="Y118" s="45"/>
      <c r="Z118" s="48"/>
      <c r="AA118" s="35"/>
      <c r="AB118" s="36" t="e">
        <f t="shared" si="32"/>
        <v>#DIV/0!</v>
      </c>
      <c r="AC118" s="68" t="e">
        <f t="shared" si="33"/>
        <v>#DIV/0!</v>
      </c>
      <c r="AD118" s="63">
        <v>2</v>
      </c>
      <c r="AE118" s="32" t="e">
        <f t="shared" si="34"/>
        <v>#DIV/0!</v>
      </c>
      <c r="AF118" s="56"/>
      <c r="AG118" s="56"/>
      <c r="AH118" s="37" t="e">
        <f t="shared" si="35"/>
        <v>#DIV/0!</v>
      </c>
      <c r="AI118" s="38">
        <v>65</v>
      </c>
      <c r="AJ118" s="30" t="e">
        <f t="shared" si="36"/>
        <v>#DIV/0!</v>
      </c>
      <c r="AK118" s="37" t="e">
        <f t="shared" si="37"/>
        <v>#DIV/0!</v>
      </c>
      <c r="AL118" s="39" t="e">
        <f t="shared" si="38"/>
        <v>#DIV/0!</v>
      </c>
      <c r="AM118" s="40"/>
      <c r="AN118" s="41">
        <f t="shared" si="43"/>
        <v>1</v>
      </c>
      <c r="AO118" s="41">
        <f t="shared" si="43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39"/>
        <v>0</v>
      </c>
      <c r="AX118" s="71">
        <f t="shared" si="40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/>
      <c r="J119" s="26"/>
      <c r="K119" s="26"/>
      <c r="L119" s="26"/>
      <c r="M119" s="62"/>
      <c r="N119" s="27">
        <f t="shared" si="42"/>
        <v>0</v>
      </c>
      <c r="O119" s="28">
        <v>1</v>
      </c>
      <c r="P119" s="29"/>
      <c r="Q119" s="30"/>
      <c r="R119" s="30"/>
      <c r="S119" s="30"/>
      <c r="T119" s="31"/>
      <c r="U119" s="32">
        <f t="shared" si="30"/>
        <v>0</v>
      </c>
      <c r="V119" s="68">
        <f t="shared" si="31"/>
        <v>0</v>
      </c>
      <c r="W119" s="57"/>
      <c r="X119" s="60"/>
      <c r="Y119" s="45"/>
      <c r="Z119" s="48"/>
      <c r="AA119" s="35"/>
      <c r="AB119" s="36" t="e">
        <f t="shared" si="32"/>
        <v>#DIV/0!</v>
      </c>
      <c r="AC119" s="68" t="e">
        <f t="shared" si="33"/>
        <v>#DIV/0!</v>
      </c>
      <c r="AD119" s="63">
        <v>2</v>
      </c>
      <c r="AE119" s="32" t="e">
        <f t="shared" si="34"/>
        <v>#DIV/0!</v>
      </c>
      <c r="AF119" s="56"/>
      <c r="AG119" s="56"/>
      <c r="AH119" s="37" t="e">
        <f t="shared" si="35"/>
        <v>#DIV/0!</v>
      </c>
      <c r="AI119" s="38">
        <v>65</v>
      </c>
      <c r="AJ119" s="30" t="e">
        <f t="shared" si="36"/>
        <v>#DIV/0!</v>
      </c>
      <c r="AK119" s="37" t="e">
        <f t="shared" si="37"/>
        <v>#DIV/0!</v>
      </c>
      <c r="AL119" s="39" t="e">
        <f t="shared" si="38"/>
        <v>#DIV/0!</v>
      </c>
      <c r="AM119" s="40"/>
      <c r="AN119" s="41">
        <f t="shared" si="43"/>
        <v>1</v>
      </c>
      <c r="AO119" s="41">
        <f t="shared" si="43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39"/>
        <v>0</v>
      </c>
      <c r="AX119" s="71">
        <f t="shared" si="40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/>
      <c r="J120" s="26"/>
      <c r="K120" s="26"/>
      <c r="L120" s="26"/>
      <c r="M120" s="62"/>
      <c r="N120" s="27">
        <f t="shared" si="42"/>
        <v>0</v>
      </c>
      <c r="O120" s="28">
        <v>1</v>
      </c>
      <c r="P120" s="29"/>
      <c r="Q120" s="30"/>
      <c r="R120" s="30"/>
      <c r="S120" s="30"/>
      <c r="T120" s="31"/>
      <c r="U120" s="32">
        <f t="shared" si="30"/>
        <v>0</v>
      </c>
      <c r="V120" s="68">
        <f t="shared" si="31"/>
        <v>0</v>
      </c>
      <c r="W120" s="57"/>
      <c r="X120" s="60"/>
      <c r="Y120" s="45"/>
      <c r="Z120" s="48"/>
      <c r="AA120" s="35"/>
      <c r="AB120" s="36" t="e">
        <f t="shared" si="32"/>
        <v>#DIV/0!</v>
      </c>
      <c r="AC120" s="68" t="e">
        <f t="shared" si="33"/>
        <v>#DIV/0!</v>
      </c>
      <c r="AD120" s="63">
        <v>2</v>
      </c>
      <c r="AE120" s="32" t="e">
        <f t="shared" si="34"/>
        <v>#DIV/0!</v>
      </c>
      <c r="AF120" s="56"/>
      <c r="AG120" s="56"/>
      <c r="AH120" s="37" t="e">
        <f t="shared" si="35"/>
        <v>#DIV/0!</v>
      </c>
      <c r="AI120" s="38">
        <v>65</v>
      </c>
      <c r="AJ120" s="30" t="e">
        <f t="shared" si="36"/>
        <v>#DIV/0!</v>
      </c>
      <c r="AK120" s="37" t="e">
        <f t="shared" si="37"/>
        <v>#DIV/0!</v>
      </c>
      <c r="AL120" s="39" t="e">
        <f t="shared" si="38"/>
        <v>#DIV/0!</v>
      </c>
      <c r="AM120" s="40"/>
      <c r="AN120" s="41">
        <f t="shared" si="43"/>
        <v>1</v>
      </c>
      <c r="AO120" s="41">
        <f t="shared" si="43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39"/>
        <v>0</v>
      </c>
      <c r="AX120" s="71">
        <f t="shared" si="40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/>
      <c r="J121" s="26"/>
      <c r="K121" s="26"/>
      <c r="L121" s="26"/>
      <c r="M121" s="62"/>
      <c r="N121" s="27">
        <f t="shared" si="42"/>
        <v>0</v>
      </c>
      <c r="O121" s="28">
        <v>1</v>
      </c>
      <c r="P121" s="29"/>
      <c r="Q121" s="30"/>
      <c r="R121" s="30"/>
      <c r="S121" s="30"/>
      <c r="T121" s="31"/>
      <c r="U121" s="32">
        <f t="shared" si="30"/>
        <v>0</v>
      </c>
      <c r="V121" s="68">
        <f t="shared" si="31"/>
        <v>0</v>
      </c>
      <c r="W121" s="57"/>
      <c r="X121" s="60"/>
      <c r="Y121" s="45"/>
      <c r="Z121" s="48"/>
      <c r="AA121" s="35"/>
      <c r="AB121" s="36" t="e">
        <f t="shared" si="32"/>
        <v>#DIV/0!</v>
      </c>
      <c r="AC121" s="68" t="e">
        <f t="shared" si="33"/>
        <v>#DIV/0!</v>
      </c>
      <c r="AD121" s="63">
        <v>2</v>
      </c>
      <c r="AE121" s="32" t="e">
        <f t="shared" si="34"/>
        <v>#DIV/0!</v>
      </c>
      <c r="AF121" s="56"/>
      <c r="AG121" s="56"/>
      <c r="AH121" s="37" t="e">
        <f t="shared" si="35"/>
        <v>#DIV/0!</v>
      </c>
      <c r="AI121" s="38">
        <v>65</v>
      </c>
      <c r="AJ121" s="30" t="e">
        <f t="shared" si="36"/>
        <v>#DIV/0!</v>
      </c>
      <c r="AK121" s="37" t="e">
        <f t="shared" si="37"/>
        <v>#DIV/0!</v>
      </c>
      <c r="AL121" s="39" t="e">
        <f t="shared" si="38"/>
        <v>#DIV/0!</v>
      </c>
      <c r="AM121" s="40"/>
      <c r="AN121" s="41">
        <f t="shared" si="43"/>
        <v>1</v>
      </c>
      <c r="AO121" s="41">
        <f t="shared" si="43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39"/>
        <v>0</v>
      </c>
      <c r="AX121" s="71">
        <f t="shared" si="40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/>
      <c r="J122" s="26"/>
      <c r="K122" s="26"/>
      <c r="L122" s="26"/>
      <c r="M122" s="62"/>
      <c r="N122" s="27">
        <f t="shared" si="42"/>
        <v>0</v>
      </c>
      <c r="O122" s="28">
        <v>1</v>
      </c>
      <c r="P122" s="29"/>
      <c r="Q122" s="30"/>
      <c r="R122" s="30"/>
      <c r="S122" s="30"/>
      <c r="T122" s="31"/>
      <c r="U122" s="32">
        <f t="shared" si="30"/>
        <v>0</v>
      </c>
      <c r="V122" s="68">
        <f t="shared" si="31"/>
        <v>0</v>
      </c>
      <c r="W122" s="57"/>
      <c r="X122" s="60"/>
      <c r="Y122" s="45"/>
      <c r="Z122" s="48"/>
      <c r="AA122" s="35"/>
      <c r="AB122" s="36" t="e">
        <f t="shared" si="32"/>
        <v>#DIV/0!</v>
      </c>
      <c r="AC122" s="68" t="e">
        <f t="shared" si="33"/>
        <v>#DIV/0!</v>
      </c>
      <c r="AD122" s="63">
        <v>2</v>
      </c>
      <c r="AE122" s="32" t="e">
        <f t="shared" si="34"/>
        <v>#DIV/0!</v>
      </c>
      <c r="AF122" s="56"/>
      <c r="AG122" s="56"/>
      <c r="AH122" s="37" t="e">
        <f t="shared" si="35"/>
        <v>#DIV/0!</v>
      </c>
      <c r="AI122" s="38">
        <v>65</v>
      </c>
      <c r="AJ122" s="30" t="e">
        <f t="shared" si="36"/>
        <v>#DIV/0!</v>
      </c>
      <c r="AK122" s="37" t="e">
        <f t="shared" si="37"/>
        <v>#DIV/0!</v>
      </c>
      <c r="AL122" s="39" t="e">
        <f t="shared" si="38"/>
        <v>#DIV/0!</v>
      </c>
      <c r="AM122" s="40"/>
      <c r="AN122" s="41">
        <f t="shared" si="43"/>
        <v>1</v>
      </c>
      <c r="AO122" s="41">
        <f t="shared" si="43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39"/>
        <v>0</v>
      </c>
      <c r="AX122" s="71">
        <f t="shared" si="40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/>
      <c r="J123" s="26"/>
      <c r="K123" s="26"/>
      <c r="L123" s="26"/>
      <c r="M123" s="62"/>
      <c r="N123" s="27">
        <f t="shared" si="42"/>
        <v>0</v>
      </c>
      <c r="O123" s="28">
        <v>1</v>
      </c>
      <c r="P123" s="29"/>
      <c r="Q123" s="30"/>
      <c r="R123" s="30"/>
      <c r="S123" s="30"/>
      <c r="T123" s="31"/>
      <c r="U123" s="32">
        <f t="shared" si="30"/>
        <v>0</v>
      </c>
      <c r="V123" s="68">
        <f t="shared" si="31"/>
        <v>0</v>
      </c>
      <c r="W123" s="57"/>
      <c r="X123" s="60"/>
      <c r="Y123" s="45"/>
      <c r="Z123" s="48"/>
      <c r="AA123" s="35"/>
      <c r="AB123" s="36" t="e">
        <f t="shared" si="32"/>
        <v>#DIV/0!</v>
      </c>
      <c r="AC123" s="68" t="e">
        <f t="shared" si="33"/>
        <v>#DIV/0!</v>
      </c>
      <c r="AD123" s="63">
        <v>2</v>
      </c>
      <c r="AE123" s="32" t="e">
        <f t="shared" si="34"/>
        <v>#DIV/0!</v>
      </c>
      <c r="AF123" s="56"/>
      <c r="AG123" s="56"/>
      <c r="AH123" s="37" t="e">
        <f t="shared" si="35"/>
        <v>#DIV/0!</v>
      </c>
      <c r="AI123" s="38">
        <v>65</v>
      </c>
      <c r="AJ123" s="30" t="e">
        <f t="shared" si="36"/>
        <v>#DIV/0!</v>
      </c>
      <c r="AK123" s="37" t="e">
        <f t="shared" si="37"/>
        <v>#DIV/0!</v>
      </c>
      <c r="AL123" s="39" t="e">
        <f t="shared" si="38"/>
        <v>#DIV/0!</v>
      </c>
      <c r="AM123" s="40"/>
      <c r="AN123" s="41">
        <f t="shared" si="43"/>
        <v>1</v>
      </c>
      <c r="AO123" s="41">
        <f t="shared" si="43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39"/>
        <v>0</v>
      </c>
      <c r="AX123" s="71">
        <f t="shared" si="40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/>
      <c r="J124" s="26"/>
      <c r="K124" s="26"/>
      <c r="L124" s="26"/>
      <c r="M124" s="62"/>
      <c r="N124" s="27">
        <f t="shared" si="42"/>
        <v>0</v>
      </c>
      <c r="O124" s="28">
        <v>1</v>
      </c>
      <c r="P124" s="29"/>
      <c r="Q124" s="30"/>
      <c r="R124" s="30"/>
      <c r="S124" s="30"/>
      <c r="T124" s="31"/>
      <c r="U124" s="32">
        <f t="shared" si="30"/>
        <v>0</v>
      </c>
      <c r="V124" s="68">
        <f t="shared" si="31"/>
        <v>0</v>
      </c>
      <c r="W124" s="57"/>
      <c r="X124" s="60"/>
      <c r="Y124" s="45"/>
      <c r="Z124" s="48"/>
      <c r="AA124" s="35"/>
      <c r="AB124" s="36" t="e">
        <f t="shared" si="32"/>
        <v>#DIV/0!</v>
      </c>
      <c r="AC124" s="68" t="e">
        <f t="shared" si="33"/>
        <v>#DIV/0!</v>
      </c>
      <c r="AD124" s="63">
        <v>2</v>
      </c>
      <c r="AE124" s="32" t="e">
        <f t="shared" si="34"/>
        <v>#DIV/0!</v>
      </c>
      <c r="AF124" s="56"/>
      <c r="AG124" s="56"/>
      <c r="AH124" s="37" t="e">
        <f t="shared" si="35"/>
        <v>#DIV/0!</v>
      </c>
      <c r="AI124" s="38">
        <v>65</v>
      </c>
      <c r="AJ124" s="30" t="e">
        <f t="shared" si="36"/>
        <v>#DIV/0!</v>
      </c>
      <c r="AK124" s="37" t="e">
        <f t="shared" si="37"/>
        <v>#DIV/0!</v>
      </c>
      <c r="AL124" s="39" t="e">
        <f t="shared" si="38"/>
        <v>#DIV/0!</v>
      </c>
      <c r="AM124" s="40"/>
      <c r="AN124" s="41">
        <f t="shared" si="43"/>
        <v>1</v>
      </c>
      <c r="AO124" s="41">
        <f t="shared" si="43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39"/>
        <v>0</v>
      </c>
      <c r="AX124" s="71">
        <f t="shared" si="40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/>
      <c r="J125" s="26"/>
      <c r="K125" s="26"/>
      <c r="L125" s="26"/>
      <c r="M125" s="62"/>
      <c r="N125" s="27">
        <f t="shared" si="42"/>
        <v>0</v>
      </c>
      <c r="O125" s="28">
        <v>1</v>
      </c>
      <c r="P125" s="29"/>
      <c r="Q125" s="30"/>
      <c r="R125" s="30"/>
      <c r="S125" s="30"/>
      <c r="T125" s="31"/>
      <c r="U125" s="32">
        <f t="shared" si="30"/>
        <v>0</v>
      </c>
      <c r="V125" s="68">
        <f t="shared" si="31"/>
        <v>0</v>
      </c>
      <c r="W125" s="57"/>
      <c r="X125" s="60"/>
      <c r="Y125" s="45"/>
      <c r="Z125" s="48"/>
      <c r="AA125" s="35"/>
      <c r="AB125" s="36" t="e">
        <f t="shared" si="32"/>
        <v>#DIV/0!</v>
      </c>
      <c r="AC125" s="68" t="e">
        <f t="shared" si="33"/>
        <v>#DIV/0!</v>
      </c>
      <c r="AD125" s="63">
        <v>2</v>
      </c>
      <c r="AE125" s="32" t="e">
        <f t="shared" si="34"/>
        <v>#DIV/0!</v>
      </c>
      <c r="AF125" s="56"/>
      <c r="AG125" s="56"/>
      <c r="AH125" s="37" t="e">
        <f t="shared" si="35"/>
        <v>#DIV/0!</v>
      </c>
      <c r="AI125" s="38">
        <v>65</v>
      </c>
      <c r="AJ125" s="30" t="e">
        <f t="shared" si="36"/>
        <v>#DIV/0!</v>
      </c>
      <c r="AK125" s="37" t="e">
        <f t="shared" si="37"/>
        <v>#DIV/0!</v>
      </c>
      <c r="AL125" s="39" t="e">
        <f t="shared" si="38"/>
        <v>#DIV/0!</v>
      </c>
      <c r="AM125" s="40"/>
      <c r="AN125" s="41">
        <f t="shared" si="43"/>
        <v>1</v>
      </c>
      <c r="AO125" s="41">
        <f t="shared" si="43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39"/>
        <v>0</v>
      </c>
      <c r="AX125" s="71">
        <f t="shared" si="40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/>
      <c r="J126" s="26"/>
      <c r="K126" s="26"/>
      <c r="L126" s="26"/>
      <c r="M126" s="62"/>
      <c r="N126" s="27">
        <f t="shared" si="42"/>
        <v>0</v>
      </c>
      <c r="O126" s="28">
        <v>1</v>
      </c>
      <c r="P126" s="29"/>
      <c r="Q126" s="30"/>
      <c r="R126" s="30"/>
      <c r="S126" s="30"/>
      <c r="T126" s="31"/>
      <c r="U126" s="32">
        <f t="shared" si="30"/>
        <v>0</v>
      </c>
      <c r="V126" s="68">
        <f t="shared" si="31"/>
        <v>0</v>
      </c>
      <c r="W126" s="57"/>
      <c r="X126" s="60"/>
      <c r="Y126" s="45"/>
      <c r="Z126" s="48"/>
      <c r="AA126" s="35"/>
      <c r="AB126" s="36" t="e">
        <f t="shared" si="32"/>
        <v>#DIV/0!</v>
      </c>
      <c r="AC126" s="68" t="e">
        <f t="shared" si="33"/>
        <v>#DIV/0!</v>
      </c>
      <c r="AD126" s="63">
        <v>2</v>
      </c>
      <c r="AE126" s="32" t="e">
        <f t="shared" si="34"/>
        <v>#DIV/0!</v>
      </c>
      <c r="AF126" s="56"/>
      <c r="AG126" s="56"/>
      <c r="AH126" s="37" t="e">
        <f t="shared" si="35"/>
        <v>#DIV/0!</v>
      </c>
      <c r="AI126" s="38">
        <v>65</v>
      </c>
      <c r="AJ126" s="30" t="e">
        <f t="shared" si="36"/>
        <v>#DIV/0!</v>
      </c>
      <c r="AK126" s="37" t="e">
        <f t="shared" si="37"/>
        <v>#DIV/0!</v>
      </c>
      <c r="AL126" s="39" t="e">
        <f t="shared" si="38"/>
        <v>#DIV/0!</v>
      </c>
      <c r="AM126" s="40"/>
      <c r="AN126" s="41">
        <f t="shared" si="43"/>
        <v>1</v>
      </c>
      <c r="AO126" s="41">
        <f t="shared" si="43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39"/>
        <v>0</v>
      </c>
      <c r="AX126" s="71">
        <f t="shared" si="40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/>
      <c r="J127" s="26"/>
      <c r="K127" s="26"/>
      <c r="L127" s="26"/>
      <c r="M127" s="62"/>
      <c r="N127" s="27">
        <f t="shared" si="42"/>
        <v>0</v>
      </c>
      <c r="O127" s="28">
        <v>1</v>
      </c>
      <c r="P127" s="29"/>
      <c r="Q127" s="30"/>
      <c r="R127" s="30"/>
      <c r="S127" s="30"/>
      <c r="T127" s="31"/>
      <c r="U127" s="32">
        <f t="shared" si="30"/>
        <v>0</v>
      </c>
      <c r="V127" s="68">
        <f t="shared" si="31"/>
        <v>0</v>
      </c>
      <c r="W127" s="57"/>
      <c r="X127" s="60"/>
      <c r="Y127" s="45"/>
      <c r="Z127" s="48"/>
      <c r="AA127" s="35"/>
      <c r="AB127" s="36" t="e">
        <f t="shared" si="32"/>
        <v>#DIV/0!</v>
      </c>
      <c r="AC127" s="68" t="e">
        <f t="shared" si="33"/>
        <v>#DIV/0!</v>
      </c>
      <c r="AD127" s="63">
        <v>2</v>
      </c>
      <c r="AE127" s="32" t="e">
        <f t="shared" si="34"/>
        <v>#DIV/0!</v>
      </c>
      <c r="AF127" s="56"/>
      <c r="AG127" s="56"/>
      <c r="AH127" s="37" t="e">
        <f t="shared" si="35"/>
        <v>#DIV/0!</v>
      </c>
      <c r="AI127" s="38">
        <v>65</v>
      </c>
      <c r="AJ127" s="30" t="e">
        <f t="shared" si="36"/>
        <v>#DIV/0!</v>
      </c>
      <c r="AK127" s="37" t="e">
        <f t="shared" si="37"/>
        <v>#DIV/0!</v>
      </c>
      <c r="AL127" s="39" t="e">
        <f t="shared" si="38"/>
        <v>#DIV/0!</v>
      </c>
      <c r="AM127" s="40"/>
      <c r="AN127" s="41">
        <f t="shared" si="43"/>
        <v>1</v>
      </c>
      <c r="AO127" s="41">
        <f t="shared" si="43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39"/>
        <v>0</v>
      </c>
      <c r="AX127" s="71">
        <f t="shared" si="40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/>
      <c r="J128" s="26"/>
      <c r="K128" s="26"/>
      <c r="L128" s="26"/>
      <c r="M128" s="62"/>
      <c r="N128" s="27">
        <f t="shared" si="42"/>
        <v>0</v>
      </c>
      <c r="O128" s="28">
        <v>1</v>
      </c>
      <c r="P128" s="29"/>
      <c r="Q128" s="30"/>
      <c r="R128" s="30"/>
      <c r="S128" s="30"/>
      <c r="T128" s="31"/>
      <c r="U128" s="32">
        <f t="shared" si="30"/>
        <v>0</v>
      </c>
      <c r="V128" s="68">
        <f t="shared" si="31"/>
        <v>0</v>
      </c>
      <c r="W128" s="57"/>
      <c r="X128" s="60"/>
      <c r="Y128" s="45"/>
      <c r="Z128" s="48"/>
      <c r="AA128" s="35"/>
      <c r="AB128" s="36" t="e">
        <f t="shared" si="32"/>
        <v>#DIV/0!</v>
      </c>
      <c r="AC128" s="68" t="e">
        <f t="shared" si="33"/>
        <v>#DIV/0!</v>
      </c>
      <c r="AD128" s="63">
        <v>2</v>
      </c>
      <c r="AE128" s="32" t="e">
        <f t="shared" si="34"/>
        <v>#DIV/0!</v>
      </c>
      <c r="AF128" s="56"/>
      <c r="AG128" s="56"/>
      <c r="AH128" s="37" t="e">
        <f t="shared" si="35"/>
        <v>#DIV/0!</v>
      </c>
      <c r="AI128" s="38">
        <v>65</v>
      </c>
      <c r="AJ128" s="30" t="e">
        <f t="shared" si="36"/>
        <v>#DIV/0!</v>
      </c>
      <c r="AK128" s="37" t="e">
        <f t="shared" si="37"/>
        <v>#DIV/0!</v>
      </c>
      <c r="AL128" s="39" t="e">
        <f t="shared" si="38"/>
        <v>#DIV/0!</v>
      </c>
      <c r="AM128" s="40"/>
      <c r="AN128" s="41">
        <f t="shared" si="43"/>
        <v>1</v>
      </c>
      <c r="AO128" s="41">
        <f t="shared" si="43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39"/>
        <v>0</v>
      </c>
      <c r="AX128" s="71">
        <f t="shared" si="40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42"/>
        <v>1</v>
      </c>
      <c r="O129" s="28">
        <v>1</v>
      </c>
      <c r="P129" s="29"/>
      <c r="Q129" s="30"/>
      <c r="R129" s="30"/>
      <c r="S129" s="30"/>
      <c r="T129" s="31"/>
      <c r="U129" s="32">
        <f t="shared" si="30"/>
        <v>0</v>
      </c>
      <c r="V129" s="68">
        <f t="shared" si="31"/>
        <v>0</v>
      </c>
      <c r="W129" s="57"/>
      <c r="X129" s="60"/>
      <c r="Y129" s="45"/>
      <c r="Z129" s="48"/>
      <c r="AA129" s="35"/>
      <c r="AB129" s="36" t="e">
        <f t="shared" si="32"/>
        <v>#DIV/0!</v>
      </c>
      <c r="AC129" s="68" t="e">
        <f t="shared" si="33"/>
        <v>#DIV/0!</v>
      </c>
      <c r="AD129" s="63">
        <v>2</v>
      </c>
      <c r="AE129" s="32" t="e">
        <f t="shared" si="34"/>
        <v>#DIV/0!</v>
      </c>
      <c r="AF129" s="56"/>
      <c r="AG129" s="56"/>
      <c r="AH129" s="37" t="e">
        <f t="shared" si="35"/>
        <v>#DIV/0!</v>
      </c>
      <c r="AI129" s="38">
        <v>65</v>
      </c>
      <c r="AJ129" s="30" t="e">
        <f t="shared" si="36"/>
        <v>#DIV/0!</v>
      </c>
      <c r="AK129" s="37" t="e">
        <f t="shared" si="37"/>
        <v>#DIV/0!</v>
      </c>
      <c r="AL129" s="39" t="e">
        <f t="shared" si="38"/>
        <v>#DIV/0!</v>
      </c>
      <c r="AM129" s="40"/>
      <c r="AN129" s="41">
        <f t="shared" si="43"/>
        <v>1</v>
      </c>
      <c r="AO129" s="41">
        <f t="shared" si="43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39"/>
        <v>0</v>
      </c>
      <c r="AX129" s="71">
        <f t="shared" si="40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42"/>
        <v>1</v>
      </c>
      <c r="O130" s="28">
        <v>1</v>
      </c>
      <c r="P130" s="29"/>
      <c r="Q130" s="30"/>
      <c r="R130" s="30"/>
      <c r="S130" s="30"/>
      <c r="T130" s="31"/>
      <c r="U130" s="32">
        <f t="shared" si="30"/>
        <v>0</v>
      </c>
      <c r="V130" s="68">
        <f t="shared" si="31"/>
        <v>0</v>
      </c>
      <c r="W130" s="57"/>
      <c r="X130" s="60"/>
      <c r="Y130" s="45"/>
      <c r="Z130" s="48"/>
      <c r="AA130" s="35"/>
      <c r="AB130" s="36" t="e">
        <f t="shared" si="32"/>
        <v>#DIV/0!</v>
      </c>
      <c r="AC130" s="68" t="e">
        <f t="shared" si="33"/>
        <v>#DIV/0!</v>
      </c>
      <c r="AD130" s="63">
        <v>2</v>
      </c>
      <c r="AE130" s="32" t="e">
        <f t="shared" si="34"/>
        <v>#DIV/0!</v>
      </c>
      <c r="AF130" s="56"/>
      <c r="AG130" s="56"/>
      <c r="AH130" s="37" t="e">
        <f t="shared" si="35"/>
        <v>#DIV/0!</v>
      </c>
      <c r="AI130" s="38">
        <v>65</v>
      </c>
      <c r="AJ130" s="30" t="e">
        <f t="shared" si="36"/>
        <v>#DIV/0!</v>
      </c>
      <c r="AK130" s="37" t="e">
        <f t="shared" si="37"/>
        <v>#DIV/0!</v>
      </c>
      <c r="AL130" s="39" t="e">
        <f t="shared" si="38"/>
        <v>#DIV/0!</v>
      </c>
      <c r="AM130" s="40"/>
      <c r="AN130" s="41">
        <f t="shared" si="43"/>
        <v>1</v>
      </c>
      <c r="AO130" s="41">
        <f t="shared" si="43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39"/>
        <v>0</v>
      </c>
      <c r="AX130" s="71">
        <f t="shared" si="40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42"/>
        <v>1</v>
      </c>
      <c r="O131" s="28">
        <v>1</v>
      </c>
      <c r="P131" s="29"/>
      <c r="Q131" s="30"/>
      <c r="R131" s="30"/>
      <c r="S131" s="30"/>
      <c r="T131" s="31"/>
      <c r="U131" s="32">
        <f t="shared" si="30"/>
        <v>0</v>
      </c>
      <c r="V131" s="68">
        <f t="shared" si="31"/>
        <v>0</v>
      </c>
      <c r="W131" s="57"/>
      <c r="X131" s="60"/>
      <c r="Y131" s="45"/>
      <c r="Z131" s="48"/>
      <c r="AA131" s="35"/>
      <c r="AB131" s="36" t="e">
        <f t="shared" si="32"/>
        <v>#DIV/0!</v>
      </c>
      <c r="AC131" s="68" t="e">
        <f t="shared" si="33"/>
        <v>#DIV/0!</v>
      </c>
      <c r="AD131" s="63">
        <v>2</v>
      </c>
      <c r="AE131" s="32" t="e">
        <f t="shared" si="34"/>
        <v>#DIV/0!</v>
      </c>
      <c r="AF131" s="56"/>
      <c r="AG131" s="56"/>
      <c r="AH131" s="37" t="e">
        <f t="shared" si="35"/>
        <v>#DIV/0!</v>
      </c>
      <c r="AI131" s="38">
        <v>65</v>
      </c>
      <c r="AJ131" s="30" t="e">
        <f t="shared" si="36"/>
        <v>#DIV/0!</v>
      </c>
      <c r="AK131" s="37" t="e">
        <f t="shared" si="37"/>
        <v>#DIV/0!</v>
      </c>
      <c r="AL131" s="39" t="e">
        <f t="shared" si="38"/>
        <v>#DIV/0!</v>
      </c>
      <c r="AM131" s="40"/>
      <c r="AN131" s="41">
        <f t="shared" ref="AN131:AO136" si="44">100%+AM131</f>
        <v>1</v>
      </c>
      <c r="AO131" s="41">
        <f t="shared" si="44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39"/>
        <v>0</v>
      </c>
      <c r="AX131" s="71">
        <f t="shared" si="40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42"/>
        <v>1</v>
      </c>
      <c r="O132" s="28">
        <v>1</v>
      </c>
      <c r="P132" s="29"/>
      <c r="Q132" s="30"/>
      <c r="R132" s="30"/>
      <c r="S132" s="30"/>
      <c r="T132" s="31"/>
      <c r="U132" s="32">
        <f t="shared" si="30"/>
        <v>0</v>
      </c>
      <c r="V132" s="68">
        <f t="shared" si="31"/>
        <v>0</v>
      </c>
      <c r="W132" s="57"/>
      <c r="X132" s="60"/>
      <c r="Y132" s="45"/>
      <c r="Z132" s="48"/>
      <c r="AA132" s="35"/>
      <c r="AB132" s="36" t="e">
        <f t="shared" si="32"/>
        <v>#DIV/0!</v>
      </c>
      <c r="AC132" s="68" t="e">
        <f t="shared" si="33"/>
        <v>#DIV/0!</v>
      </c>
      <c r="AD132" s="63">
        <v>2</v>
      </c>
      <c r="AE132" s="32" t="e">
        <f t="shared" si="34"/>
        <v>#DIV/0!</v>
      </c>
      <c r="AF132" s="56"/>
      <c r="AG132" s="56"/>
      <c r="AH132" s="37" t="e">
        <f t="shared" si="35"/>
        <v>#DIV/0!</v>
      </c>
      <c r="AI132" s="38">
        <v>65</v>
      </c>
      <c r="AJ132" s="30" t="e">
        <f t="shared" si="36"/>
        <v>#DIV/0!</v>
      </c>
      <c r="AK132" s="37" t="e">
        <f t="shared" si="37"/>
        <v>#DIV/0!</v>
      </c>
      <c r="AL132" s="39" t="e">
        <f t="shared" si="38"/>
        <v>#DIV/0!</v>
      </c>
      <c r="AM132" s="40"/>
      <c r="AN132" s="41">
        <f t="shared" si="44"/>
        <v>1</v>
      </c>
      <c r="AO132" s="41">
        <f t="shared" si="44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39"/>
        <v>0</v>
      </c>
      <c r="AX132" s="71">
        <f t="shared" si="40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42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30"/>
        <v>15</v>
      </c>
      <c r="V133" s="68">
        <f t="shared" si="31"/>
        <v>15</v>
      </c>
      <c r="W133" s="57"/>
      <c r="X133" s="60"/>
      <c r="Y133" s="45"/>
      <c r="Z133" s="48"/>
      <c r="AA133" s="35"/>
      <c r="AB133" s="36" t="e">
        <f t="shared" si="32"/>
        <v>#DIV/0!</v>
      </c>
      <c r="AC133" s="68" t="e">
        <f t="shared" si="33"/>
        <v>#DIV/0!</v>
      </c>
      <c r="AD133" s="63">
        <v>2</v>
      </c>
      <c r="AE133" s="32" t="e">
        <f t="shared" si="34"/>
        <v>#DIV/0!</v>
      </c>
      <c r="AF133" s="56"/>
      <c r="AG133" s="56"/>
      <c r="AH133" s="37" t="e">
        <f t="shared" si="35"/>
        <v>#DIV/0!</v>
      </c>
      <c r="AI133" s="38">
        <v>65</v>
      </c>
      <c r="AJ133" s="30" t="e">
        <f t="shared" si="36"/>
        <v>#DIV/0!</v>
      </c>
      <c r="AK133" s="37" t="e">
        <f t="shared" si="37"/>
        <v>#DIV/0!</v>
      </c>
      <c r="AL133" s="39" t="e">
        <f t="shared" si="38"/>
        <v>#DIV/0!</v>
      </c>
      <c r="AM133" s="40"/>
      <c r="AN133" s="41">
        <f t="shared" si="44"/>
        <v>1</v>
      </c>
      <c r="AO133" s="41">
        <f t="shared" si="44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39"/>
        <v>0</v>
      </c>
      <c r="AX133" s="71">
        <f t="shared" si="40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42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30"/>
        <v>15</v>
      </c>
      <c r="V134" s="68">
        <f t="shared" si="31"/>
        <v>15</v>
      </c>
      <c r="W134" s="57"/>
      <c r="X134" s="60"/>
      <c r="Y134" s="45"/>
      <c r="Z134" s="48"/>
      <c r="AA134" s="35"/>
      <c r="AB134" s="36" t="e">
        <f t="shared" si="32"/>
        <v>#DIV/0!</v>
      </c>
      <c r="AC134" s="68" t="e">
        <f t="shared" si="33"/>
        <v>#DIV/0!</v>
      </c>
      <c r="AD134" s="63">
        <v>2</v>
      </c>
      <c r="AE134" s="32" t="e">
        <f t="shared" si="34"/>
        <v>#DIV/0!</v>
      </c>
      <c r="AF134" s="56"/>
      <c r="AG134" s="56"/>
      <c r="AH134" s="37" t="e">
        <f t="shared" si="35"/>
        <v>#DIV/0!</v>
      </c>
      <c r="AI134" s="38">
        <v>65</v>
      </c>
      <c r="AJ134" s="30" t="e">
        <f t="shared" si="36"/>
        <v>#DIV/0!</v>
      </c>
      <c r="AK134" s="37" t="e">
        <f t="shared" si="37"/>
        <v>#DIV/0!</v>
      </c>
      <c r="AL134" s="39" t="e">
        <f t="shared" si="38"/>
        <v>#DIV/0!</v>
      </c>
      <c r="AM134" s="40"/>
      <c r="AN134" s="41">
        <f t="shared" si="44"/>
        <v>1</v>
      </c>
      <c r="AO134" s="41">
        <f t="shared" si="44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39"/>
        <v>0</v>
      </c>
      <c r="AX134" s="71">
        <f t="shared" si="40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42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30"/>
        <v>15</v>
      </c>
      <c r="V135" s="68">
        <f t="shared" si="31"/>
        <v>15</v>
      </c>
      <c r="W135" s="57"/>
      <c r="X135" s="60"/>
      <c r="Y135" s="45"/>
      <c r="Z135" s="48"/>
      <c r="AA135" s="35"/>
      <c r="AB135" s="36" t="e">
        <f t="shared" si="32"/>
        <v>#DIV/0!</v>
      </c>
      <c r="AC135" s="68" t="e">
        <f t="shared" si="33"/>
        <v>#DIV/0!</v>
      </c>
      <c r="AD135" s="63">
        <v>2</v>
      </c>
      <c r="AE135" s="32" t="e">
        <f t="shared" si="34"/>
        <v>#DIV/0!</v>
      </c>
      <c r="AF135" s="56"/>
      <c r="AG135" s="56"/>
      <c r="AH135" s="37" t="e">
        <f t="shared" si="35"/>
        <v>#DIV/0!</v>
      </c>
      <c r="AI135" s="38">
        <v>65</v>
      </c>
      <c r="AJ135" s="30" t="e">
        <f t="shared" si="36"/>
        <v>#DIV/0!</v>
      </c>
      <c r="AK135" s="37" t="e">
        <f t="shared" si="37"/>
        <v>#DIV/0!</v>
      </c>
      <c r="AL135" s="39" t="e">
        <f t="shared" si="38"/>
        <v>#DIV/0!</v>
      </c>
      <c r="AM135" s="40"/>
      <c r="AN135" s="41">
        <f t="shared" si="44"/>
        <v>1</v>
      </c>
      <c r="AO135" s="41">
        <f t="shared" si="44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39"/>
        <v>0</v>
      </c>
      <c r="AX135" s="71">
        <f t="shared" si="40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42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30"/>
        <v>15</v>
      </c>
      <c r="V136" s="68">
        <f t="shared" si="31"/>
        <v>15</v>
      </c>
      <c r="W136" s="57"/>
      <c r="X136" s="60"/>
      <c r="Y136" s="45"/>
      <c r="Z136" s="48"/>
      <c r="AA136" s="35"/>
      <c r="AB136" s="36" t="e">
        <f t="shared" si="32"/>
        <v>#DIV/0!</v>
      </c>
      <c r="AC136" s="68" t="e">
        <f t="shared" si="33"/>
        <v>#DIV/0!</v>
      </c>
      <c r="AD136" s="63">
        <v>2</v>
      </c>
      <c r="AE136" s="32" t="e">
        <f t="shared" si="34"/>
        <v>#DIV/0!</v>
      </c>
      <c r="AF136" s="56"/>
      <c r="AG136" s="56"/>
      <c r="AH136" s="37" t="e">
        <f t="shared" si="35"/>
        <v>#DIV/0!</v>
      </c>
      <c r="AI136" s="38">
        <v>65</v>
      </c>
      <c r="AJ136" s="30" t="e">
        <f t="shared" si="36"/>
        <v>#DIV/0!</v>
      </c>
      <c r="AK136" s="37" t="e">
        <f t="shared" si="37"/>
        <v>#DIV/0!</v>
      </c>
      <c r="AL136" s="39" t="e">
        <f t="shared" si="38"/>
        <v>#DIV/0!</v>
      </c>
      <c r="AM136" s="40"/>
      <c r="AN136" s="41">
        <f t="shared" si="44"/>
        <v>1</v>
      </c>
      <c r="AO136" s="41">
        <f t="shared" si="44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39"/>
        <v>0</v>
      </c>
      <c r="AX136" s="71">
        <f t="shared" si="40"/>
        <v>0</v>
      </c>
    </row>
  </sheetData>
  <mergeCells count="95">
    <mergeCell ref="A108:H108"/>
    <mergeCell ref="A110:H110"/>
    <mergeCell ref="A112:H112"/>
    <mergeCell ref="A114:H114"/>
    <mergeCell ref="A116:H116"/>
    <mergeCell ref="A98:H98"/>
    <mergeCell ref="A100:H100"/>
    <mergeCell ref="A102:H102"/>
    <mergeCell ref="A104:H104"/>
    <mergeCell ref="A106:H106"/>
    <mergeCell ref="A88:H88"/>
    <mergeCell ref="A90:H90"/>
    <mergeCell ref="A92:H92"/>
    <mergeCell ref="A94:H94"/>
    <mergeCell ref="A96:H96"/>
    <mergeCell ref="A78:H78"/>
    <mergeCell ref="A80:H80"/>
    <mergeCell ref="A82:H82"/>
    <mergeCell ref="A84:H84"/>
    <mergeCell ref="A86:H86"/>
    <mergeCell ref="A68:H68"/>
    <mergeCell ref="A70:H70"/>
    <mergeCell ref="A72:H72"/>
    <mergeCell ref="A74:H74"/>
    <mergeCell ref="A76:H76"/>
    <mergeCell ref="A58:H58"/>
    <mergeCell ref="A60:H60"/>
    <mergeCell ref="A62:H62"/>
    <mergeCell ref="A64:H64"/>
    <mergeCell ref="A66:H66"/>
    <mergeCell ref="A48:H48"/>
    <mergeCell ref="A50:H50"/>
    <mergeCell ref="A52:H52"/>
    <mergeCell ref="A54:H54"/>
    <mergeCell ref="A56:H56"/>
    <mergeCell ref="A38:H38"/>
    <mergeCell ref="A40:H40"/>
    <mergeCell ref="A42:H42"/>
    <mergeCell ref="A44:H44"/>
    <mergeCell ref="A46:H46"/>
    <mergeCell ref="A28:H28"/>
    <mergeCell ref="A30:H30"/>
    <mergeCell ref="A32:H32"/>
    <mergeCell ref="A34:H34"/>
    <mergeCell ref="A36:H36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AF2:AN2"/>
    <mergeCell ref="A12:H12"/>
    <mergeCell ref="AQ3:AQ4"/>
    <mergeCell ref="AR3:AR4"/>
    <mergeCell ref="AS3:AS4"/>
    <mergeCell ref="AT3:AT4"/>
    <mergeCell ref="W3:AE3"/>
    <mergeCell ref="AL3:AL4"/>
    <mergeCell ref="AM3:AM4"/>
    <mergeCell ref="AN3:AN4"/>
    <mergeCell ref="AO3:AO4"/>
    <mergeCell ref="AP3:AP4"/>
    <mergeCell ref="AW3:AW4"/>
    <mergeCell ref="AX3:AX4"/>
    <mergeCell ref="A6:H6"/>
    <mergeCell ref="A8:H8"/>
    <mergeCell ref="A10:H10"/>
    <mergeCell ref="AU3:AU4"/>
    <mergeCell ref="AV3:AV4"/>
    <mergeCell ref="A26:H26"/>
    <mergeCell ref="A14:H14"/>
    <mergeCell ref="A16:H16"/>
    <mergeCell ref="A18:H18"/>
    <mergeCell ref="A20:H20"/>
    <mergeCell ref="A22:H22"/>
    <mergeCell ref="A24:H2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18</vt:i4>
      </vt:variant>
    </vt:vector>
  </HeadingPairs>
  <TitlesOfParts>
    <vt:vector size="36" baseType="lpstr">
      <vt:lpstr>서울권조명기구교체공사</vt:lpstr>
      <vt:lpstr>의왕월암 공공주택지구</vt:lpstr>
      <vt:lpstr>밀양아리랑</vt:lpstr>
      <vt:lpstr>여수국동(소방)</vt:lpstr>
      <vt:lpstr>강원권임대주택</vt:lpstr>
      <vt:lpstr>남양주진접2(소방)</vt:lpstr>
      <vt:lpstr>사천선인</vt:lpstr>
      <vt:lpstr>구리갈매역세권 공공주택지구</vt:lpstr>
      <vt:lpstr>의정부우정(통신)</vt:lpstr>
      <vt:lpstr>대구연호(통신)</vt:lpstr>
      <vt:lpstr>경산대임(소방)</vt:lpstr>
      <vt:lpstr>양주회천택지개발사업</vt:lpstr>
      <vt:lpstr>인천계양</vt:lpstr>
      <vt:lpstr>양주회천(3단계)(통신)</vt:lpstr>
      <vt:lpstr>하남감일(소방)</vt:lpstr>
      <vt:lpstr>부천괴안(소방)</vt:lpstr>
      <vt:lpstr>인천계양(통신)</vt:lpstr>
      <vt:lpstr>양식</vt:lpstr>
      <vt:lpstr>강원권임대주택!Print_Area</vt:lpstr>
      <vt:lpstr>'경산대임(소방)'!Print_Area</vt:lpstr>
      <vt:lpstr>'구리갈매역세권 공공주택지구'!Print_Area</vt:lpstr>
      <vt:lpstr>'남양주진접2(소방)'!Print_Area</vt:lpstr>
      <vt:lpstr>'대구연호(통신)'!Print_Area</vt:lpstr>
      <vt:lpstr>밀양아리랑!Print_Area</vt:lpstr>
      <vt:lpstr>'부천괴안(소방)'!Print_Area</vt:lpstr>
      <vt:lpstr>사천선인!Print_Area</vt:lpstr>
      <vt:lpstr>서울권조명기구교체공사!Print_Area</vt:lpstr>
      <vt:lpstr>양식!Print_Area</vt:lpstr>
      <vt:lpstr>'양주회천(3단계)(통신)'!Print_Area</vt:lpstr>
      <vt:lpstr>양주회천택지개발사업!Print_Area</vt:lpstr>
      <vt:lpstr>'여수국동(소방)'!Print_Area</vt:lpstr>
      <vt:lpstr>'의왕월암 공공주택지구'!Print_Area</vt:lpstr>
      <vt:lpstr>'의정부우정(통신)'!Print_Area</vt:lpstr>
      <vt:lpstr>인천계양!Print_Area</vt:lpstr>
      <vt:lpstr>'인천계양(통신)'!Print_Area</vt:lpstr>
      <vt:lpstr>'하남감일(소방)'!Print_Area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dcterms:created xsi:type="dcterms:W3CDTF">2018-02-19T04:04:34Z</dcterms:created>
  <dcterms:modified xsi:type="dcterms:W3CDTF">2026-01-23T05:40:06Z</dcterms:modified>
</cp:coreProperties>
</file>