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8920" windowHeight="12285" tabRatio="915"/>
  </bookViews>
  <sheets>
    <sheet name="양식" sheetId="182" r:id="rId1"/>
  </sheets>
  <definedNames>
    <definedName name="_xlnm.Print_Area" localSheetId="0">양식!$A$1:$AO$90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90" i="182" l="1"/>
  <c r="AE89" i="182" s="1"/>
  <c r="AM89" i="182"/>
  <c r="AN89" i="182" s="1"/>
  <c r="U89" i="182"/>
  <c r="V89" i="182" s="1"/>
  <c r="N89" i="182"/>
  <c r="U88" i="182"/>
  <c r="AE87" i="182" s="1"/>
  <c r="AM87" i="182"/>
  <c r="AN87" i="182" s="1"/>
  <c r="U87" i="182"/>
  <c r="V87" i="182" s="1"/>
  <c r="N87" i="182"/>
  <c r="U86" i="182"/>
  <c r="AE85" i="182" s="1"/>
  <c r="U85" i="182"/>
  <c r="V85" i="182" s="1"/>
  <c r="N85" i="182"/>
  <c r="U84" i="182"/>
  <c r="AM83" i="182"/>
  <c r="AN83" i="182" s="1"/>
  <c r="AE83" i="182"/>
  <c r="U83" i="182"/>
  <c r="V83" i="182" s="1"/>
  <c r="N83" i="182"/>
  <c r="U82" i="182"/>
  <c r="AE81" i="182" s="1"/>
  <c r="AM81" i="182"/>
  <c r="AN81" i="182" s="1"/>
  <c r="U81" i="182"/>
  <c r="V81" i="182" s="1"/>
  <c r="N81" i="182"/>
  <c r="U80" i="182"/>
  <c r="AE79" i="182" s="1"/>
  <c r="AM79" i="182"/>
  <c r="AN79" i="182" s="1"/>
  <c r="U79" i="182"/>
  <c r="V79" i="182" s="1"/>
  <c r="N79" i="182"/>
  <c r="U78" i="182"/>
  <c r="AE77" i="182" s="1"/>
  <c r="AM77" i="182"/>
  <c r="AN77" i="182" s="1"/>
  <c r="U77" i="182"/>
  <c r="V77" i="182" s="1"/>
  <c r="N77" i="182"/>
  <c r="U76" i="182"/>
  <c r="AE75" i="182" s="1"/>
  <c r="AM75" i="182"/>
  <c r="AN75" i="182" s="1"/>
  <c r="U75" i="182"/>
  <c r="V75" i="182" s="1"/>
  <c r="N75" i="182"/>
  <c r="U74" i="182"/>
  <c r="AE73" i="182" s="1"/>
  <c r="AM73" i="182"/>
  <c r="AN73" i="182" s="1"/>
  <c r="U73" i="182"/>
  <c r="V73" i="182" s="1"/>
  <c r="N73" i="182"/>
  <c r="U72" i="182"/>
  <c r="AE71" i="182" s="1"/>
  <c r="U71" i="182"/>
  <c r="V71" i="182" s="1"/>
  <c r="N71" i="182"/>
  <c r="U70" i="182"/>
  <c r="AE69" i="182" s="1"/>
  <c r="AM69" i="182"/>
  <c r="AN69" i="182" s="1"/>
  <c r="U69" i="182"/>
  <c r="V69" i="182" s="1"/>
  <c r="N69" i="182"/>
  <c r="U68" i="182"/>
  <c r="AE67" i="182" s="1"/>
  <c r="AM67" i="182"/>
  <c r="AN67" i="182" s="1"/>
  <c r="U67" i="182"/>
  <c r="V67" i="182" s="1"/>
  <c r="N67" i="182"/>
  <c r="U24" i="182"/>
  <c r="AE23" i="182" s="1"/>
  <c r="U23" i="182"/>
  <c r="V23" i="182" s="1"/>
  <c r="N23" i="182"/>
  <c r="U28" i="182"/>
  <c r="AE27" i="182" s="1"/>
  <c r="AM27" i="182"/>
  <c r="AN27" i="182" s="1"/>
  <c r="U27" i="182"/>
  <c r="V27" i="182" s="1"/>
  <c r="N27" i="182"/>
  <c r="U8" i="182"/>
  <c r="AE7" i="182" s="1"/>
  <c r="AM7" i="182"/>
  <c r="AN7" i="182" s="1"/>
  <c r="U7" i="182"/>
  <c r="V7" i="182" s="1"/>
  <c r="N7" i="182"/>
  <c r="U10" i="182"/>
  <c r="AE9" i="182" s="1"/>
  <c r="AM9" i="182"/>
  <c r="AN9" i="182" s="1"/>
  <c r="U9" i="182"/>
  <c r="V9" i="182" s="1"/>
  <c r="N9" i="182"/>
  <c r="U14" i="182"/>
  <c r="AE13" i="182" s="1"/>
  <c r="AM13" i="182"/>
  <c r="AN13" i="182" s="1"/>
  <c r="U13" i="182"/>
  <c r="V13" i="182" s="1"/>
  <c r="N13" i="182"/>
  <c r="U66" i="182"/>
  <c r="AE65" i="182" s="1"/>
  <c r="AM65" i="182"/>
  <c r="AN65" i="182" s="1"/>
  <c r="U65" i="182"/>
  <c r="V65" i="182" s="1"/>
  <c r="N65" i="182"/>
  <c r="U64" i="182"/>
  <c r="AE63" i="182" s="1"/>
  <c r="AM63" i="182"/>
  <c r="AN63" i="182" s="1"/>
  <c r="U63" i="182"/>
  <c r="V63" i="182" s="1"/>
  <c r="N63" i="182"/>
  <c r="U62" i="182"/>
  <c r="AE61" i="182" s="1"/>
  <c r="AM61" i="182"/>
  <c r="AN61" i="182" s="1"/>
  <c r="U61" i="182"/>
  <c r="V61" i="182" s="1"/>
  <c r="N61" i="182"/>
  <c r="U60" i="182"/>
  <c r="AE59" i="182" s="1"/>
  <c r="AM59" i="182"/>
  <c r="AN59" i="182" s="1"/>
  <c r="U59" i="182"/>
  <c r="V59" i="182" s="1"/>
  <c r="N59" i="182"/>
  <c r="U58" i="182"/>
  <c r="AE57" i="182" s="1"/>
  <c r="U57" i="182"/>
  <c r="V57" i="182" s="1"/>
  <c r="N57" i="182"/>
  <c r="U56" i="182"/>
  <c r="AE55" i="182" s="1"/>
  <c r="AM55" i="182"/>
  <c r="AN55" i="182" s="1"/>
  <c r="U55" i="182"/>
  <c r="V55" i="182" s="1"/>
  <c r="N55" i="182"/>
  <c r="U16" i="182"/>
  <c r="AE15" i="182" s="1"/>
  <c r="AM15" i="182"/>
  <c r="AN15" i="182" s="1"/>
  <c r="U15" i="182"/>
  <c r="V15" i="182" s="1"/>
  <c r="N15" i="182"/>
  <c r="U18" i="182"/>
  <c r="AE17" i="182" s="1"/>
  <c r="AM17" i="182"/>
  <c r="AN17" i="182" s="1"/>
  <c r="U17" i="182"/>
  <c r="V17" i="182" s="1"/>
  <c r="N17" i="182"/>
  <c r="U54" i="182"/>
  <c r="AE53" i="182" s="1"/>
  <c r="AM53" i="182"/>
  <c r="AN53" i="182" s="1"/>
  <c r="U53" i="182"/>
  <c r="V53" i="182" s="1"/>
  <c r="N53" i="182"/>
  <c r="U52" i="182"/>
  <c r="AE51" i="182" s="1"/>
  <c r="AM51" i="182"/>
  <c r="AN51" i="182" s="1"/>
  <c r="U51" i="182"/>
  <c r="V51" i="182" s="1"/>
  <c r="N51" i="182"/>
  <c r="U50" i="182"/>
  <c r="AE49" i="182" s="1"/>
  <c r="AM49" i="182"/>
  <c r="AN49" i="182" s="1"/>
  <c r="U49" i="182"/>
  <c r="V49" i="182" s="1"/>
  <c r="N49" i="182"/>
  <c r="U48" i="182"/>
  <c r="AE47" i="182" s="1"/>
  <c r="AM47" i="182"/>
  <c r="AN47" i="182" s="1"/>
  <c r="U47" i="182"/>
  <c r="V47" i="182" s="1"/>
  <c r="N47" i="182"/>
  <c r="U46" i="182"/>
  <c r="AE45" i="182" s="1"/>
  <c r="AM45" i="182"/>
  <c r="AN45" i="182" s="1"/>
  <c r="U45" i="182"/>
  <c r="V45" i="182" s="1"/>
  <c r="N45" i="182"/>
  <c r="U44" i="182"/>
  <c r="AE43" i="182" s="1"/>
  <c r="AM43" i="182"/>
  <c r="AN43" i="182" s="1"/>
  <c r="U43" i="182"/>
  <c r="V43" i="182" s="1"/>
  <c r="N43" i="182"/>
  <c r="U42" i="182"/>
  <c r="AE41" i="182" s="1"/>
  <c r="AM41" i="182"/>
  <c r="AN41" i="182" s="1"/>
  <c r="U41" i="182"/>
  <c r="V41" i="182" s="1"/>
  <c r="N41" i="182"/>
  <c r="U20" i="182"/>
  <c r="AE19" i="182" s="1"/>
  <c r="AM19" i="182"/>
  <c r="AN19" i="182" s="1"/>
  <c r="U19" i="182"/>
  <c r="V19" i="182" s="1"/>
  <c r="N19" i="182"/>
  <c r="U12" i="182"/>
  <c r="AE11" i="182" s="1"/>
  <c r="AM11" i="182"/>
  <c r="AN11" i="182" s="1"/>
  <c r="U11" i="182"/>
  <c r="V11" i="182" s="1"/>
  <c r="N11" i="182"/>
  <c r="U6" i="182"/>
  <c r="AE5" i="182" s="1"/>
  <c r="AM5" i="182"/>
  <c r="AN5" i="182" s="1"/>
  <c r="U5" i="182"/>
  <c r="V5" i="182" s="1"/>
  <c r="N5" i="182"/>
  <c r="U22" i="182"/>
  <c r="AE21" i="182" s="1"/>
  <c r="U21" i="182"/>
  <c r="V21" i="182" s="1"/>
  <c r="N21" i="182"/>
  <c r="U40" i="182"/>
  <c r="AE39" i="182" s="1"/>
  <c r="AM39" i="182"/>
  <c r="AN39" i="182" s="1"/>
  <c r="U39" i="182"/>
  <c r="V39" i="182" s="1"/>
  <c r="N39" i="182"/>
  <c r="U38" i="182"/>
  <c r="AE37" i="182" s="1"/>
  <c r="AM37" i="182"/>
  <c r="AN37" i="182" s="1"/>
  <c r="U37" i="182"/>
  <c r="V37" i="182" s="1"/>
  <c r="N37" i="182"/>
  <c r="U36" i="182"/>
  <c r="AE35" i="182" s="1"/>
  <c r="AM35" i="182"/>
  <c r="AN35" i="182" s="1"/>
  <c r="U35" i="182"/>
  <c r="V35" i="182" s="1"/>
  <c r="N35" i="182"/>
  <c r="U34" i="182"/>
  <c r="AE33" i="182" s="1"/>
  <c r="AM33" i="182"/>
  <c r="AN33" i="182" s="1"/>
  <c r="U33" i="182"/>
  <c r="V33" i="182" s="1"/>
  <c r="N33" i="182"/>
  <c r="U32" i="182"/>
  <c r="AE31" i="182" s="1"/>
  <c r="U31" i="182"/>
  <c r="V31" i="182" s="1"/>
  <c r="N31" i="182"/>
  <c r="U30" i="182"/>
  <c r="AE29" i="182" s="1"/>
  <c r="AM29" i="182"/>
  <c r="AN29" i="182" s="1"/>
  <c r="U29" i="182"/>
  <c r="V29" i="182" s="1"/>
  <c r="N29" i="182"/>
  <c r="U26" i="182"/>
  <c r="AE25" i="182" s="1"/>
  <c r="U25" i="182"/>
  <c r="V25" i="182" s="1"/>
  <c r="N25" i="182"/>
  <c r="AC2" i="182"/>
  <c r="AE2" i="182" s="1"/>
  <c r="H2" i="182"/>
  <c r="L2" i="182" s="1"/>
  <c r="AB89" i="182" l="1"/>
  <c r="AC89" i="182" s="1"/>
  <c r="AD89" i="182" s="1"/>
  <c r="AB65" i="182"/>
  <c r="AC65" i="182" s="1"/>
  <c r="AD65" i="182" s="1"/>
  <c r="AH65" i="182" s="1"/>
  <c r="AI65" i="182" s="1"/>
  <c r="AB27" i="182"/>
  <c r="AC27" i="182" s="1"/>
  <c r="AD27" i="182" s="1"/>
  <c r="AH27" i="182" s="1"/>
  <c r="AI27" i="182" s="1"/>
  <c r="AB73" i="182"/>
  <c r="AC73" i="182" s="1"/>
  <c r="AD73" i="182" s="1"/>
  <c r="AH73" i="182" s="1"/>
  <c r="AI73" i="182" s="1"/>
  <c r="AB39" i="182"/>
  <c r="AC39" i="182" s="1"/>
  <c r="AD39" i="182" s="1"/>
  <c r="AH39" i="182" s="1"/>
  <c r="AI39" i="182" s="1"/>
  <c r="AB9" i="182"/>
  <c r="AC9" i="182" s="1"/>
  <c r="AD9" i="182" s="1"/>
  <c r="AH9" i="182" s="1"/>
  <c r="AI9" i="182" s="1"/>
  <c r="AB61" i="182"/>
  <c r="AC61" i="182" s="1"/>
  <c r="AD61" i="182" s="1"/>
  <c r="AH61" i="182" s="1"/>
  <c r="AI61" i="182" s="1"/>
  <c r="AB35" i="182"/>
  <c r="AC35" i="182" s="1"/>
  <c r="AD35" i="182" s="1"/>
  <c r="AH35" i="182" s="1"/>
  <c r="AI35" i="182" s="1"/>
  <c r="AH89" i="182"/>
  <c r="AI89" i="182" s="1"/>
  <c r="AB77" i="182"/>
  <c r="AC77" i="182" s="1"/>
  <c r="AD77" i="182" s="1"/>
  <c r="AH77" i="182" s="1"/>
  <c r="AI77" i="182" s="1"/>
  <c r="AB81" i="182"/>
  <c r="AC81" i="182" s="1"/>
  <c r="AD81" i="182" s="1"/>
  <c r="AH81" i="182" s="1"/>
  <c r="AI81" i="182" s="1"/>
  <c r="AB85" i="182"/>
  <c r="AC85" i="182" s="1"/>
  <c r="AD85" i="182" s="1"/>
  <c r="AH85" i="182" s="1"/>
  <c r="AI85" i="182" s="1"/>
  <c r="AB31" i="182"/>
  <c r="AC31" i="182" s="1"/>
  <c r="AD31" i="182" s="1"/>
  <c r="AH31" i="182" s="1"/>
  <c r="AI31" i="182" s="1"/>
  <c r="AB45" i="182"/>
  <c r="AC45" i="182" s="1"/>
  <c r="AD45" i="182" s="1"/>
  <c r="AH45" i="182" s="1"/>
  <c r="AI45" i="182" s="1"/>
  <c r="AB49" i="182"/>
  <c r="AC49" i="182" s="1"/>
  <c r="AD49" i="182" s="1"/>
  <c r="AH49" i="182" s="1"/>
  <c r="AI49" i="182" s="1"/>
  <c r="AB53" i="182"/>
  <c r="AC53" i="182" s="1"/>
  <c r="AD53" i="182" s="1"/>
  <c r="AH53" i="182" s="1"/>
  <c r="AI53" i="182" s="1"/>
  <c r="AB15" i="182"/>
  <c r="AC15" i="182" s="1"/>
  <c r="AD15" i="182" s="1"/>
  <c r="AH15" i="182" s="1"/>
  <c r="AI15" i="182" s="1"/>
  <c r="AB57" i="182"/>
  <c r="AC57" i="182" s="1"/>
  <c r="AD57" i="182" s="1"/>
  <c r="AH57" i="182" s="1"/>
  <c r="AI57" i="182" s="1"/>
  <c r="AB69" i="182"/>
  <c r="AC69" i="182" s="1"/>
  <c r="AD69" i="182" s="1"/>
  <c r="AH69" i="182" s="1"/>
  <c r="AI69" i="182" s="1"/>
  <c r="AB87" i="182"/>
  <c r="AC87" i="182" s="1"/>
  <c r="AD87" i="182" s="1"/>
  <c r="AH87" i="182" s="1"/>
  <c r="AI87" i="182" s="1"/>
  <c r="AB11" i="182"/>
  <c r="AC11" i="182" s="1"/>
  <c r="AD11" i="182" s="1"/>
  <c r="AH11" i="182" s="1"/>
  <c r="AI11" i="182" s="1"/>
  <c r="AB41" i="182"/>
  <c r="AC41" i="182" s="1"/>
  <c r="AD41" i="182" s="1"/>
  <c r="AH41" i="182" s="1"/>
  <c r="AI41" i="182" s="1"/>
  <c r="AB25" i="182"/>
  <c r="AC25" i="182" s="1"/>
  <c r="AD25" i="182" s="1"/>
  <c r="AH25" i="182" s="1"/>
  <c r="AI25" i="182" s="1"/>
  <c r="AB33" i="182"/>
  <c r="AC33" i="182" s="1"/>
  <c r="AD33" i="182" s="1"/>
  <c r="AH33" i="182" s="1"/>
  <c r="AI33" i="182" s="1"/>
  <c r="AB37" i="182"/>
  <c r="AC37" i="182" s="1"/>
  <c r="AD37" i="182" s="1"/>
  <c r="AH37" i="182" s="1"/>
  <c r="AI37" i="182" s="1"/>
  <c r="AB59" i="182"/>
  <c r="AC59" i="182" s="1"/>
  <c r="AD59" i="182" s="1"/>
  <c r="AH59" i="182" s="1"/>
  <c r="AI59" i="182" s="1"/>
  <c r="AB63" i="182"/>
  <c r="AC63" i="182" s="1"/>
  <c r="AD63" i="182" s="1"/>
  <c r="AH63" i="182" s="1"/>
  <c r="AI63" i="182" s="1"/>
  <c r="AB13" i="182"/>
  <c r="AC13" i="182" s="1"/>
  <c r="AD13" i="182" s="1"/>
  <c r="AH13" i="182" s="1"/>
  <c r="AI13" i="182" s="1"/>
  <c r="AB7" i="182"/>
  <c r="AC7" i="182" s="1"/>
  <c r="AD7" i="182" s="1"/>
  <c r="AB23" i="182"/>
  <c r="AC23" i="182" s="1"/>
  <c r="AD23" i="182" s="1"/>
  <c r="AH23" i="182" s="1"/>
  <c r="AI23" i="182" s="1"/>
  <c r="AB75" i="182"/>
  <c r="AC75" i="182" s="1"/>
  <c r="AD75" i="182" s="1"/>
  <c r="AH75" i="182" s="1"/>
  <c r="AI75" i="182" s="1"/>
  <c r="AB79" i="182"/>
  <c r="AC79" i="182" s="1"/>
  <c r="AD79" i="182" s="1"/>
  <c r="AH79" i="182" s="1"/>
  <c r="AI79" i="182" s="1"/>
  <c r="AB83" i="182"/>
  <c r="AC83" i="182" s="1"/>
  <c r="AD83" i="182" s="1"/>
  <c r="AH83" i="182" s="1"/>
  <c r="AI83" i="182" s="1"/>
  <c r="AB21" i="182"/>
  <c r="AC21" i="182" s="1"/>
  <c r="AD21" i="182" s="1"/>
  <c r="AH21" i="182" s="1"/>
  <c r="AI21" i="182" s="1"/>
  <c r="AB29" i="182"/>
  <c r="AC29" i="182" s="1"/>
  <c r="AD29" i="182" s="1"/>
  <c r="AH29" i="182" s="1"/>
  <c r="AI29" i="182" s="1"/>
  <c r="AB5" i="182"/>
  <c r="AC5" i="182" s="1"/>
  <c r="AD5" i="182" s="1"/>
  <c r="AH5" i="182" s="1"/>
  <c r="AI5" i="182" s="1"/>
  <c r="AB19" i="182"/>
  <c r="AC19" i="182" s="1"/>
  <c r="AD19" i="182" s="1"/>
  <c r="AH19" i="182" s="1"/>
  <c r="AI19" i="182" s="1"/>
  <c r="AB43" i="182"/>
  <c r="AC43" i="182" s="1"/>
  <c r="AD43" i="182" s="1"/>
  <c r="AH43" i="182" s="1"/>
  <c r="AI43" i="182" s="1"/>
  <c r="AB47" i="182"/>
  <c r="AC47" i="182" s="1"/>
  <c r="AD47" i="182" s="1"/>
  <c r="AH47" i="182" s="1"/>
  <c r="AI47" i="182" s="1"/>
  <c r="AB51" i="182"/>
  <c r="AC51" i="182" s="1"/>
  <c r="AD51" i="182" s="1"/>
  <c r="AH51" i="182" s="1"/>
  <c r="AI51" i="182" s="1"/>
  <c r="AB17" i="182"/>
  <c r="AC17" i="182" s="1"/>
  <c r="AD17" i="182" s="1"/>
  <c r="AH17" i="182" s="1"/>
  <c r="AI17" i="182" s="1"/>
  <c r="AB55" i="182"/>
  <c r="AC55" i="182" s="1"/>
  <c r="AD55" i="182" s="1"/>
  <c r="AH55" i="182" s="1"/>
  <c r="AI55" i="182" s="1"/>
  <c r="AB67" i="182"/>
  <c r="AC67" i="182" s="1"/>
  <c r="AD67" i="182" s="1"/>
  <c r="AH67" i="182" s="1"/>
  <c r="AI67" i="182" s="1"/>
  <c r="AB71" i="182"/>
  <c r="AC71" i="182" s="1"/>
  <c r="AD71" i="182" s="1"/>
  <c r="AH71" i="182" s="1"/>
  <c r="AI71" i="182" s="1"/>
  <c r="AH7" i="182" l="1"/>
  <c r="AI7" i="182" s="1"/>
</calcChain>
</file>

<file path=xl/comments1.xml><?xml version="1.0" encoding="utf-8"?>
<comments xmlns="http://schemas.openxmlformats.org/spreadsheetml/2006/main">
  <authors>
    <author>User-Pc</author>
  </authors>
  <commentList>
    <comment ref="B1" authorId="0" shapeId="0">
      <text>
        <r>
          <rPr>
            <b/>
            <sz val="12"/>
            <color indexed="81"/>
            <rFont val="Tahoma"/>
            <family val="2"/>
          </rPr>
          <t xml:space="preserve">&lt; LH </t>
        </r>
        <r>
          <rPr>
            <b/>
            <sz val="12"/>
            <color indexed="81"/>
            <rFont val="돋움"/>
            <family val="3"/>
            <charset val="129"/>
          </rPr>
          <t>낙찰이력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현황</t>
        </r>
        <r>
          <rPr>
            <b/>
            <sz val="12"/>
            <color indexed="81"/>
            <rFont val="Tahoma"/>
            <family val="2"/>
          </rPr>
          <t xml:space="preserve"> &gt; - </t>
        </r>
        <r>
          <rPr>
            <b/>
            <sz val="12"/>
            <color indexed="81"/>
            <rFont val="돋움"/>
            <family val="3"/>
            <charset val="129"/>
          </rPr>
          <t>①
㈜지음이엔아이</t>
        </r>
        <r>
          <rPr>
            <b/>
            <sz val="12"/>
            <color indexed="81"/>
            <rFont val="Tahoma"/>
            <family val="2"/>
          </rPr>
          <t xml:space="preserve">                                                                                                                   </t>
        </r>
        <r>
          <rPr>
            <b/>
            <sz val="12"/>
            <color indexed="81"/>
            <rFont val="돋움"/>
            <family val="3"/>
            <charset val="129"/>
          </rPr>
          <t xml:space="preserve">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2025.03.20 (9,428,462,975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충북혁신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2025.09.03 (3,979,189,607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고양장항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소방시설공사</t>
        </r>
        <r>
          <rPr>
            <b/>
            <sz val="12"/>
            <color indexed="81"/>
            <rFont val="Tahoma"/>
            <family val="2"/>
          </rPr>
          <t xml:space="preserve"> 6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㈜아람이엔테크</t>
        </r>
        <r>
          <rPr>
            <b/>
            <sz val="12"/>
            <color indexed="81"/>
            <rFont val="Tahoma"/>
            <family val="2"/>
          </rPr>
          <t xml:space="preserve"> 
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2025.10.16 (2,256,233,999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대전대동</t>
        </r>
        <r>
          <rPr>
            <b/>
            <sz val="12"/>
            <color indexed="81"/>
            <rFont val="Tahoma"/>
            <family val="2"/>
          </rPr>
          <t xml:space="preserve">2 </t>
        </r>
        <r>
          <rPr>
            <b/>
            <sz val="12"/>
            <color indexed="81"/>
            <rFont val="돋움"/>
            <family val="3"/>
            <charset val="129"/>
          </rPr>
          <t xml:space="preserve">소방시설공사
㈜대흥디씨티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2025.10.16 (7,187,735,979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군포대야미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㈜성전사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2025.03.06 (4,892,709,215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구리갈매역세권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2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㈜대상전력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2025.03.06 (3,914,167,372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구리갈매역세권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2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일렉파워㈜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2025.03.13 (9,751,734,115) - </t>
        </r>
        <r>
          <rPr>
            <b/>
            <sz val="12"/>
            <color indexed="81"/>
            <rFont val="돋움"/>
            <family val="3"/>
            <charset val="129"/>
          </rPr>
          <t>청주지북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전기공사
㈜송원이앤씨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2025.03.13 (1,950,346,823) - </t>
        </r>
        <r>
          <rPr>
            <b/>
            <sz val="12"/>
            <color indexed="81"/>
            <rFont val="돋움"/>
            <family val="3"/>
            <charset val="129"/>
          </rPr>
          <t>청주지북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
㈜부현전기</t>
        </r>
        <r>
          <rPr>
            <b/>
            <sz val="12"/>
            <color indexed="81"/>
            <rFont val="Tahoma"/>
            <family val="2"/>
          </rPr>
          <t xml:space="preserve">
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2025.10.16 (14,375,471,958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군포대야미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2025.06.25 (5,436,090,832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남양주왕숙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4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신신이앤씨㈜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2025.04.03 (5,135,947,500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원주무실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2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㈜도화엔지니어링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2025.03.20 (1,885,692,595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충북혁신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㈜온세이엔씨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2025.03.12(6,576,671,731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의정부우정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 xml:space="preserve">공구
㈜보원엔지니어링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2025.03.12(2,818,573,599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의정부우정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1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</text>
    </comment>
    <comment ref="C1" authorId="0" shapeId="0">
      <text>
        <r>
          <rPr>
            <b/>
            <sz val="12"/>
            <color indexed="81"/>
            <rFont val="Tahoma"/>
            <family val="2"/>
          </rPr>
          <t xml:space="preserve">&lt; LH </t>
        </r>
        <r>
          <rPr>
            <b/>
            <sz val="12"/>
            <color indexed="81"/>
            <rFont val="돋움"/>
            <family val="3"/>
            <charset val="129"/>
          </rPr>
          <t>낙찰이력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보유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현황</t>
        </r>
        <r>
          <rPr>
            <b/>
            <sz val="12"/>
            <color indexed="81"/>
            <rFont val="Tahoma"/>
            <family val="2"/>
          </rPr>
          <t xml:space="preserve"> &gt; - </t>
        </r>
        <r>
          <rPr>
            <b/>
            <sz val="12"/>
            <color indexed="81"/>
            <rFont val="돋움"/>
            <family val="3"/>
            <charset val="129"/>
          </rPr>
          <t xml:space="preserve">②
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유</t>
        </r>
        <r>
          <rPr>
            <b/>
            <sz val="12"/>
            <color indexed="81"/>
            <rFont val="Tahoma"/>
            <family val="2"/>
          </rPr>
          <t>)</t>
        </r>
        <r>
          <rPr>
            <b/>
            <sz val="12"/>
            <color indexed="81"/>
            <rFont val="돋움"/>
            <family val="3"/>
            <charset val="129"/>
          </rPr>
          <t xml:space="preserve">우전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2026.01.14(4,596,128,195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인천계양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4</t>
        </r>
        <r>
          <rPr>
            <b/>
            <sz val="12"/>
            <color indexed="81"/>
            <rFont val="돋움"/>
            <family val="3"/>
            <charset val="129"/>
          </rPr>
          <t xml:space="preserve">공구
대명에너지㈜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2026.01.14(919,225,639</t>
        </r>
        <r>
          <rPr>
            <b/>
            <sz val="12"/>
            <color indexed="81"/>
            <rFont val="돋움"/>
            <family val="3"/>
            <charset val="129"/>
          </rPr>
          <t>원</t>
        </r>
        <r>
          <rPr>
            <b/>
            <sz val="12"/>
            <color indexed="81"/>
            <rFont val="Tahoma"/>
            <family val="2"/>
          </rPr>
          <t xml:space="preserve">) - </t>
        </r>
        <r>
          <rPr>
            <b/>
            <sz val="12"/>
            <color indexed="81"/>
            <rFont val="돋움"/>
            <family val="3"/>
            <charset val="129"/>
          </rPr>
          <t>인천계양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전기공사</t>
        </r>
        <r>
          <rPr>
            <b/>
            <sz val="12"/>
            <color indexed="81"/>
            <rFont val="Tahoma"/>
            <family val="2"/>
          </rPr>
          <t xml:space="preserve"> 4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에스지씨이앤씨㈜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2025.12.22 - </t>
        </r>
        <r>
          <rPr>
            <b/>
            <sz val="12"/>
            <color indexed="81"/>
            <rFont val="돋움"/>
            <family val="3"/>
            <charset val="129"/>
          </rPr>
          <t>시흥거모</t>
        </r>
        <r>
          <rPr>
            <b/>
            <sz val="12"/>
            <color indexed="81"/>
            <rFont val="Tahoma"/>
            <family val="2"/>
          </rPr>
          <t xml:space="preserve"> A-7BL </t>
        </r>
        <r>
          <rPr>
            <b/>
            <sz val="12"/>
            <color indexed="81"/>
            <rFont val="돋움"/>
            <family val="3"/>
            <charset val="129"/>
          </rPr>
          <t>아파트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건설공사</t>
        </r>
        <r>
          <rPr>
            <b/>
            <sz val="12"/>
            <color indexed="81"/>
            <rFont val="Tahoma"/>
            <family val="2"/>
          </rPr>
          <t xml:space="preserve"> 5</t>
        </r>
        <r>
          <rPr>
            <b/>
            <sz val="12"/>
            <color indexed="81"/>
            <rFont val="돋움"/>
            <family val="3"/>
            <charset val="129"/>
          </rPr>
          <t xml:space="preserve">공구
일성건설㈜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2025.12.22 - </t>
        </r>
        <r>
          <rPr>
            <b/>
            <sz val="12"/>
            <color indexed="81"/>
            <rFont val="돋움"/>
            <family val="3"/>
            <charset val="129"/>
          </rPr>
          <t>경산대임</t>
        </r>
        <r>
          <rPr>
            <b/>
            <sz val="12"/>
            <color indexed="81"/>
            <rFont val="Tahoma"/>
            <family val="2"/>
          </rPr>
          <t xml:space="preserve"> A-3BL </t>
        </r>
        <r>
          <rPr>
            <b/>
            <sz val="12"/>
            <color indexed="81"/>
            <rFont val="돋움"/>
            <family val="3"/>
            <charset val="129"/>
          </rPr>
          <t>아파트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건설공사</t>
        </r>
        <r>
          <rPr>
            <b/>
            <sz val="12"/>
            <color indexed="81"/>
            <rFont val="Tahoma"/>
            <family val="2"/>
          </rPr>
          <t xml:space="preserve"> 3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 xml:space="preserve">㈜대광건영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2025.12.16 - </t>
        </r>
        <r>
          <rPr>
            <b/>
            <sz val="12"/>
            <color indexed="81"/>
            <rFont val="돋움"/>
            <family val="3"/>
            <charset val="129"/>
          </rPr>
          <t>수원당수</t>
        </r>
        <r>
          <rPr>
            <b/>
            <sz val="12"/>
            <color indexed="81"/>
            <rFont val="Tahoma"/>
            <family val="2"/>
          </rPr>
          <t xml:space="preserve"> B-3BL </t>
        </r>
        <r>
          <rPr>
            <b/>
            <sz val="12"/>
            <color indexed="81"/>
            <rFont val="돋움"/>
            <family val="3"/>
            <charset val="129"/>
          </rPr>
          <t>아파트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건설공사</t>
        </r>
        <r>
          <rPr>
            <b/>
            <sz val="12"/>
            <color indexed="81"/>
            <rFont val="Tahoma"/>
            <family val="2"/>
          </rPr>
          <t xml:space="preserve"> 7</t>
        </r>
        <r>
          <rPr>
            <b/>
            <sz val="12"/>
            <color indexed="81"/>
            <rFont val="돋움"/>
            <family val="3"/>
            <charset val="129"/>
          </rPr>
          <t>공구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 xml:space="preserve">㈜녹십자이엠
</t>
        </r>
        <r>
          <rPr>
            <b/>
            <sz val="12"/>
            <color indexed="81"/>
            <rFont val="Tahoma"/>
            <family val="2"/>
          </rPr>
          <t xml:space="preserve">- </t>
        </r>
        <r>
          <rPr>
            <b/>
            <sz val="12"/>
            <color indexed="81"/>
            <rFont val="돋움"/>
            <family val="3"/>
            <charset val="129"/>
          </rPr>
          <t>계약일</t>
        </r>
        <r>
          <rPr>
            <b/>
            <sz val="12"/>
            <color indexed="81"/>
            <rFont val="Tahoma"/>
            <family val="2"/>
          </rPr>
          <t xml:space="preserve"> : 2025.11.12</t>
        </r>
      </text>
    </comment>
    <comment ref="AG4" authorId="0" shapeId="0">
      <text>
        <r>
          <rPr>
            <b/>
            <sz val="11"/>
            <color indexed="81"/>
            <rFont val="돋움"/>
            <family val="3"/>
            <charset val="129"/>
          </rPr>
          <t>배치기술자</t>
        </r>
        <r>
          <rPr>
            <b/>
            <sz val="11"/>
            <color indexed="81"/>
            <rFont val="Tahoma"/>
            <family val="2"/>
          </rPr>
          <t xml:space="preserve">(10)
</t>
        </r>
        <r>
          <rPr>
            <b/>
            <sz val="11"/>
            <color indexed="81"/>
            <rFont val="돋움"/>
            <family val="3"/>
            <charset val="129"/>
          </rPr>
          <t>규모별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시공역량</t>
        </r>
        <r>
          <rPr>
            <b/>
            <sz val="11"/>
            <color indexed="81"/>
            <rFont val="Tahoma"/>
            <family val="2"/>
          </rPr>
          <t>(1)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돋움"/>
            <family val="3"/>
            <charset val="129"/>
          </rPr>
          <t>공동수급체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구성</t>
        </r>
        <r>
          <rPr>
            <b/>
            <sz val="11"/>
            <color indexed="81"/>
            <rFont val="Tahoma"/>
            <family val="2"/>
          </rPr>
          <t xml:space="preserve">(4)
</t>
        </r>
        <r>
          <rPr>
            <b/>
            <sz val="11"/>
            <color indexed="81"/>
            <rFont val="돋움"/>
            <family val="3"/>
            <charset val="129"/>
          </rPr>
          <t>안전관리역량</t>
        </r>
        <r>
          <rPr>
            <b/>
            <sz val="11"/>
            <color indexed="81"/>
            <rFont val="Tahoma"/>
            <family val="2"/>
          </rPr>
          <t xml:space="preserve">(2)
</t>
        </r>
      </text>
    </comment>
  </commentList>
</comments>
</file>

<file path=xl/sharedStrings.xml><?xml version="1.0" encoding="utf-8"?>
<sst xmlns="http://schemas.openxmlformats.org/spreadsheetml/2006/main" count="109" uniqueCount="54">
  <si>
    <t>시공비율계산</t>
  </si>
  <si>
    <t>구성원3</t>
  </si>
  <si>
    <t>구성원4</t>
  </si>
  <si>
    <t>동가
주의</t>
    <phoneticPr fontId="3" type="noConversion"/>
  </si>
  <si>
    <t>추정가격</t>
    <phoneticPr fontId="3" type="noConversion"/>
  </si>
  <si>
    <t>시공비율기준</t>
    <phoneticPr fontId="3" type="noConversion"/>
  </si>
  <si>
    <t>소방    시평</t>
    <phoneticPr fontId="3" type="noConversion"/>
  </si>
  <si>
    <t>시공능력</t>
    <phoneticPr fontId="3" type="noConversion"/>
  </si>
  <si>
    <t>시평기준</t>
    <phoneticPr fontId="3" type="noConversion"/>
  </si>
  <si>
    <t>참여가능비율</t>
    <phoneticPr fontId="3" type="noConversion"/>
  </si>
  <si>
    <t>내역작업:</t>
    <phoneticPr fontId="3" type="noConversion"/>
  </si>
  <si>
    <t>기초금액</t>
    <phoneticPr fontId="3" type="noConversion"/>
  </si>
  <si>
    <t>실적평가(설계금액)</t>
    <phoneticPr fontId="3" type="noConversion"/>
  </si>
  <si>
    <t>실적    만점</t>
    <phoneticPr fontId="3" type="noConversion"/>
  </si>
  <si>
    <t>3배수</t>
    <phoneticPr fontId="3" type="noConversion"/>
  </si>
  <si>
    <t>입찰</t>
    <phoneticPr fontId="3" type="noConversion"/>
  </si>
  <si>
    <t>투찰금액</t>
    <phoneticPr fontId="3" type="noConversion"/>
  </si>
  <si>
    <t>연번</t>
    <phoneticPr fontId="3" type="noConversion"/>
  </si>
  <si>
    <t>컨소연락(*:확정)</t>
    <phoneticPr fontId="3" type="noConversion"/>
  </si>
  <si>
    <t>업 체 명</t>
    <phoneticPr fontId="3" type="noConversion"/>
  </si>
  <si>
    <t>지 분</t>
    <phoneticPr fontId="3" type="noConversion"/>
  </si>
  <si>
    <t>합산지분</t>
    <phoneticPr fontId="3" type="noConversion"/>
  </si>
  <si>
    <t>경영상태</t>
    <phoneticPr fontId="3" type="noConversion"/>
  </si>
  <si>
    <t>적 격 예 상 점 수</t>
    <phoneticPr fontId="3" type="noConversion"/>
  </si>
  <si>
    <t>투찰율[%]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</si>
  <si>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</si>
  <si>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</si>
  <si>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</si>
  <si>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A금액(가격심사제외 금액)</t>
    <phoneticPr fontId="3" type="noConversion"/>
  </si>
  <si>
    <t>업체별금액차이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</si>
  <si>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</si>
  <si>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</si>
  <si>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</si>
  <si>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</si>
  <si>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</si>
  <si>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비고</t>
    <phoneticPr fontId="3" type="noConversion"/>
  </si>
  <si>
    <t>구성원1</t>
    <phoneticPr fontId="3" type="noConversion"/>
  </si>
  <si>
    <t>대표사</t>
    <phoneticPr fontId="3" type="noConversion"/>
  </si>
  <si>
    <r>
      <rPr>
        <sz val="10"/>
        <color theme="1"/>
        <rFont val="굴림체"/>
        <family val="3"/>
        <charset val="129"/>
      </rPr>
      <t>경영계산</t>
    </r>
    <r>
      <rPr>
        <sz val="10"/>
        <color indexed="10"/>
        <rFont val="굴림체"/>
        <family val="3"/>
        <charset val="129"/>
      </rPr>
      <t xml:space="preserve">
품질점수</t>
    </r>
    <phoneticPr fontId="3" type="noConversion"/>
  </si>
  <si>
    <t>경영점수(8점)</t>
    <phoneticPr fontId="3" type="noConversion"/>
  </si>
  <si>
    <t>실적계수</t>
    <phoneticPr fontId="3" type="noConversion"/>
  </si>
  <si>
    <t>실적점수</t>
    <phoneticPr fontId="3" type="noConversion"/>
  </si>
  <si>
    <t>실적점수(11점)</t>
    <phoneticPr fontId="3" type="noConversion"/>
  </si>
  <si>
    <t>품질
평가
(4점)</t>
    <phoneticPr fontId="3" type="noConversion"/>
  </si>
  <si>
    <t>지역
경제 (0.3점)</t>
    <phoneticPr fontId="3" type="noConversion"/>
  </si>
  <si>
    <t>기타점수
(17점)</t>
    <phoneticPr fontId="3" type="noConversion"/>
  </si>
  <si>
    <t>예상점수</t>
    <phoneticPr fontId="3" type="noConversion"/>
  </si>
  <si>
    <t>적격점수</t>
    <phoneticPr fontId="3" type="noConversion"/>
  </si>
  <si>
    <t>94점이상:4점 / 91점이상:3.9점 / 88점이상:3.8점</t>
    <phoneticPr fontId="3" type="noConversion"/>
  </si>
  <si>
    <t>낙찰이력
①</t>
    <phoneticPr fontId="3" type="noConversion"/>
  </si>
  <si>
    <t>낙찰이력
②</t>
    <phoneticPr fontId="3" type="noConversion"/>
  </si>
  <si>
    <t>전국</t>
    <phoneticPr fontId="3" type="noConversion"/>
  </si>
  <si>
    <t>공고명/공고번호</t>
    <phoneticPr fontId="3" type="noConversion"/>
  </si>
  <si>
    <t>날짜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</si>
</sst>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_-* #,##0.0_-;\-* #,##0.0_-;_-* &quot;-&quot;_-;_-@_-"/>
    <numFmt numFmtId="179" formatCode="0.000%"/>
    <numFmt numFmtId="180" formatCode="0.0000%"/>
    <numFmt numFmtId="181" formatCode="_-* #,##0.000_-;\-* #,##0.000_-;_-* &quot;-&quot;_-;_-@_-"/>
    <numFmt numFmtId="182" formatCode="_-* #,##0.0000_-;\-* #,##0.0000_-;_-* &quot;-&quot;_-;_-@_-"/>
    <numFmt numFmtId="187" formatCode="_-* #,##0_-;\-* #,##0_-;_-* \-_-;_-@_-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8"/>
      <name val="굴림체"/>
      <family val="3"/>
      <charset val="129"/>
    </font>
    <font>
      <b/>
      <sz val="10"/>
      <name val="굴림체"/>
      <family val="3"/>
      <charset val="129"/>
    </font>
    <font>
      <b/>
      <sz val="18"/>
      <color rgb="FFFF0000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2"/>
      <name val="굴림체"/>
      <family val="3"/>
      <charset val="129"/>
    </font>
    <font>
      <sz val="10"/>
      <color indexed="1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2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sz val="11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7" fontId="1" fillId="0" borderId="0" applyBorder="0" applyProtection="0">
      <alignment vertical="center"/>
    </xf>
    <xf numFmtId="9" fontId="1" fillId="0" borderId="0" applyBorder="0" applyProtection="0">
      <alignment vertical="center"/>
    </xf>
  </cellStyleXfs>
  <cellXfs count="20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1" fontId="5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41" fontId="4" fillId="2" borderId="0" xfId="1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41" fontId="7" fillId="2" borderId="14" xfId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41" fontId="5" fillId="2" borderId="16" xfId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7" fillId="3" borderId="20" xfId="0" applyFont="1" applyFill="1" applyBorder="1" applyAlignment="1">
      <alignment horizontal="center" vertical="center"/>
    </xf>
    <xf numFmtId="41" fontId="2" fillId="2" borderId="0" xfId="1" applyFont="1" applyFill="1" applyAlignment="1">
      <alignment vertical="center" wrapText="1"/>
    </xf>
    <xf numFmtId="0" fontId="7" fillId="3" borderId="27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 shrinkToFit="1"/>
    </xf>
    <xf numFmtId="3" fontId="11" fillId="3" borderId="27" xfId="0" applyNumberFormat="1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left" vertical="center" wrapText="1" shrinkToFit="1"/>
    </xf>
    <xf numFmtId="0" fontId="7" fillId="0" borderId="45" xfId="0" applyFont="1" applyBorder="1" applyAlignment="1">
      <alignment horizontal="left" vertical="center" wrapText="1" shrinkToFit="1"/>
    </xf>
    <xf numFmtId="176" fontId="7" fillId="0" borderId="46" xfId="0" applyNumberFormat="1" applyFont="1" applyBorder="1" applyAlignment="1">
      <alignment horizontal="center" vertical="center"/>
    </xf>
    <xf numFmtId="176" fontId="7" fillId="0" borderId="43" xfId="0" applyNumberFormat="1" applyFont="1" applyBorder="1" applyAlignment="1">
      <alignment horizontal="center" vertical="center"/>
    </xf>
    <xf numFmtId="177" fontId="7" fillId="0" borderId="45" xfId="1" applyNumberFormat="1" applyFont="1" applyFill="1" applyBorder="1">
      <alignment vertical="center"/>
    </xf>
    <xf numFmtId="178" fontId="7" fillId="0" borderId="46" xfId="1" applyNumberFormat="1" applyFont="1" applyFill="1" applyBorder="1">
      <alignment vertical="center"/>
    </xf>
    <xf numFmtId="178" fontId="7" fillId="0" borderId="43" xfId="1" applyNumberFormat="1" applyFont="1" applyFill="1" applyBorder="1">
      <alignment vertical="center"/>
    </xf>
    <xf numFmtId="177" fontId="7" fillId="0" borderId="43" xfId="1" applyNumberFormat="1" applyFont="1" applyFill="1" applyBorder="1">
      <alignment vertical="center"/>
    </xf>
    <xf numFmtId="177" fontId="7" fillId="6" borderId="43" xfId="1" applyNumberFormat="1" applyFont="1" applyFill="1" applyBorder="1">
      <alignment vertical="center"/>
    </xf>
    <xf numFmtId="41" fontId="7" fillId="0" borderId="43" xfId="1" applyFont="1" applyFill="1" applyBorder="1" applyAlignment="1">
      <alignment vertical="center" wrapText="1" shrinkToFit="1"/>
    </xf>
    <xf numFmtId="177" fontId="7" fillId="7" borderId="46" xfId="1" applyNumberFormat="1" applyFont="1" applyFill="1" applyBorder="1">
      <alignment vertical="center"/>
    </xf>
    <xf numFmtId="177" fontId="7" fillId="0" borderId="43" xfId="0" applyNumberFormat="1" applyFont="1" applyBorder="1">
      <alignment vertical="center"/>
    </xf>
    <xf numFmtId="179" fontId="7" fillId="0" borderId="43" xfId="2" applyNumberFormat="1" applyFont="1" applyFill="1" applyBorder="1" applyAlignment="1">
      <alignment vertical="center"/>
    </xf>
    <xf numFmtId="43" fontId="5" fillId="0" borderId="43" xfId="0" applyNumberFormat="1" applyFont="1" applyBorder="1">
      <alignment vertical="center"/>
    </xf>
    <xf numFmtId="180" fontId="7" fillId="0" borderId="43" xfId="2" applyNumberFormat="1" applyFont="1" applyFill="1" applyBorder="1">
      <alignment vertical="center"/>
    </xf>
    <xf numFmtId="179" fontId="7" fillId="0" borderId="43" xfId="2" applyNumberFormat="1" applyFont="1" applyFill="1" applyBorder="1">
      <alignment vertical="center"/>
    </xf>
    <xf numFmtId="41" fontId="13" fillId="0" borderId="43" xfId="1" applyFont="1" applyFill="1" applyBorder="1">
      <alignment vertical="center"/>
    </xf>
    <xf numFmtId="41" fontId="7" fillId="2" borderId="46" xfId="1" applyFont="1" applyFill="1" applyBorder="1" applyAlignment="1">
      <alignment vertical="center" wrapText="1"/>
    </xf>
    <xf numFmtId="41" fontId="7" fillId="0" borderId="9" xfId="1" applyFont="1" applyFill="1" applyBorder="1" applyAlignment="1">
      <alignment vertical="center" wrapText="1" shrinkToFit="1"/>
    </xf>
    <xf numFmtId="0" fontId="7" fillId="0" borderId="44" xfId="0" applyFont="1" applyBorder="1" applyAlignment="1">
      <alignment horizontal="left" vertical="center" wrapText="1" shrinkToFit="1"/>
    </xf>
    <xf numFmtId="0" fontId="7" fillId="0" borderId="9" xfId="0" applyFont="1" applyBorder="1" applyAlignment="1">
      <alignment horizontal="left" vertical="center" wrapText="1" shrinkToFit="1"/>
    </xf>
    <xf numFmtId="0" fontId="11" fillId="0" borderId="43" xfId="0" applyFont="1" applyBorder="1" applyAlignment="1">
      <alignment horizontal="left" vertical="center" wrapText="1" shrinkToFit="1"/>
    </xf>
    <xf numFmtId="0" fontId="12" fillId="0" borderId="43" xfId="0" applyFont="1" applyBorder="1" applyAlignment="1">
      <alignment horizontal="left" vertical="center" wrapText="1" shrinkToFit="1"/>
    </xf>
    <xf numFmtId="0" fontId="12" fillId="0" borderId="45" xfId="0" applyFont="1" applyBorder="1" applyAlignment="1">
      <alignment horizontal="left" vertical="center" wrapText="1" shrinkToFit="1"/>
    </xf>
    <xf numFmtId="10" fontId="7" fillId="0" borderId="46" xfId="0" applyNumberFormat="1" applyFont="1" applyBorder="1" applyAlignment="1">
      <alignment horizontal="center" vertical="center"/>
    </xf>
    <xf numFmtId="0" fontId="11" fillId="0" borderId="45" xfId="0" applyFont="1" applyBorder="1" applyAlignment="1">
      <alignment horizontal="left" vertical="center" wrapText="1" shrinkToFit="1"/>
    </xf>
    <xf numFmtId="0" fontId="7" fillId="0" borderId="51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left" vertical="center" wrapText="1" shrinkToFit="1"/>
    </xf>
    <xf numFmtId="10" fontId="7" fillId="0" borderId="43" xfId="0" applyNumberFormat="1" applyFont="1" applyBorder="1" applyAlignment="1">
      <alignment horizontal="center" vertical="center"/>
    </xf>
    <xf numFmtId="176" fontId="7" fillId="0" borderId="50" xfId="0" applyNumberFormat="1" applyFont="1" applyBorder="1" applyAlignment="1">
      <alignment horizontal="center" vertical="center"/>
    </xf>
    <xf numFmtId="177" fontId="7" fillId="0" borderId="46" xfId="1" applyNumberFormat="1" applyFont="1" applyFill="1" applyBorder="1">
      <alignment vertical="center"/>
    </xf>
    <xf numFmtId="0" fontId="7" fillId="0" borderId="43" xfId="0" applyFont="1" applyBorder="1" applyAlignment="1">
      <alignment horizontal="center" vertical="center" wrapText="1"/>
    </xf>
    <xf numFmtId="177" fontId="11" fillId="0" borderId="43" xfId="1" applyNumberFormat="1" applyFont="1" applyFill="1" applyBorder="1">
      <alignment vertical="center"/>
    </xf>
    <xf numFmtId="176" fontId="7" fillId="0" borderId="53" xfId="0" applyNumberFormat="1" applyFont="1" applyBorder="1" applyAlignment="1">
      <alignment horizontal="center" vertical="center"/>
    </xf>
    <xf numFmtId="0" fontId="11" fillId="0" borderId="54" xfId="0" applyFont="1" applyBorder="1" applyAlignment="1">
      <alignment horizontal="left" vertical="center" wrapText="1" shrinkToFit="1"/>
    </xf>
    <xf numFmtId="0" fontId="7" fillId="0" borderId="54" xfId="0" applyFont="1" applyBorder="1" applyAlignment="1">
      <alignment horizontal="left" vertical="center" wrapText="1" shrinkToFit="1"/>
    </xf>
    <xf numFmtId="0" fontId="7" fillId="0" borderId="53" xfId="0" applyFont="1" applyBorder="1" applyAlignment="1">
      <alignment horizontal="left" vertical="center" wrapText="1" shrinkToFit="1"/>
    </xf>
    <xf numFmtId="0" fontId="2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182" fontId="10" fillId="0" borderId="43" xfId="1" applyNumberFormat="1" applyFont="1" applyFill="1" applyBorder="1">
      <alignment vertical="center"/>
    </xf>
    <xf numFmtId="182" fontId="7" fillId="6" borderId="43" xfId="1" applyNumberFormat="1" applyFont="1" applyFill="1" applyBorder="1">
      <alignment vertical="center"/>
    </xf>
    <xf numFmtId="181" fontId="7" fillId="6" borderId="43" xfId="1" applyNumberFormat="1" applyFont="1" applyFill="1" applyBorder="1">
      <alignment vertical="center"/>
    </xf>
    <xf numFmtId="0" fontId="15" fillId="2" borderId="0" xfId="0" applyFont="1" applyFill="1">
      <alignment vertical="center"/>
    </xf>
    <xf numFmtId="177" fontId="12" fillId="0" borderId="43" xfId="1" applyNumberFormat="1" applyFont="1" applyFill="1" applyBorder="1">
      <alignment vertical="center"/>
    </xf>
    <xf numFmtId="181" fontId="7" fillId="0" borderId="43" xfId="1" applyNumberFormat="1" applyFont="1" applyFill="1" applyBorder="1">
      <alignment vertical="center"/>
    </xf>
    <xf numFmtId="181" fontId="10" fillId="0" borderId="43" xfId="1" applyNumberFormat="1" applyFont="1" applyFill="1" applyBorder="1">
      <alignment vertical="center"/>
    </xf>
    <xf numFmtId="0" fontId="12" fillId="0" borderId="54" xfId="0" applyFont="1" applyBorder="1" applyAlignment="1">
      <alignment horizontal="left" vertical="center" wrapText="1" shrinkToFit="1"/>
    </xf>
    <xf numFmtId="0" fontId="12" fillId="0" borderId="53" xfId="0" applyFont="1" applyBorder="1" applyAlignment="1">
      <alignment horizontal="left" vertical="center" wrapText="1" shrinkToFit="1"/>
    </xf>
    <xf numFmtId="0" fontId="16" fillId="0" borderId="9" xfId="0" applyFont="1" applyBorder="1" applyAlignment="1">
      <alignment horizontal="left" vertical="center" wrapText="1" shrinkToFit="1"/>
    </xf>
    <xf numFmtId="0" fontId="7" fillId="2" borderId="15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10" fontId="7" fillId="0" borderId="54" xfId="0" applyNumberFormat="1" applyFont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0" fontId="12" fillId="0" borderId="44" xfId="0" applyFont="1" applyFill="1" applyBorder="1" applyAlignment="1">
      <alignment horizontal="left" vertical="center" wrapText="1" shrinkToFit="1"/>
    </xf>
    <xf numFmtId="0" fontId="7" fillId="0" borderId="43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7" fillId="0" borderId="51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center" wrapText="1" shrinkToFit="1"/>
    </xf>
    <xf numFmtId="0" fontId="16" fillId="0" borderId="9" xfId="0" applyFont="1" applyFill="1" applyBorder="1" applyAlignment="1">
      <alignment horizontal="left" vertical="center" wrapText="1" shrinkToFit="1"/>
    </xf>
    <xf numFmtId="176" fontId="7" fillId="0" borderId="46" xfId="0" applyNumberFormat="1" applyFont="1" applyFill="1" applyBorder="1" applyAlignment="1">
      <alignment horizontal="center" vertical="center"/>
    </xf>
    <xf numFmtId="176" fontId="7" fillId="0" borderId="43" xfId="0" applyNumberFormat="1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left" vertical="center" wrapText="1" shrinkToFit="1"/>
    </xf>
    <xf numFmtId="0" fontId="7" fillId="0" borderId="45" xfId="0" applyFont="1" applyFill="1" applyBorder="1" applyAlignment="1">
      <alignment horizontal="left" vertical="center" wrapText="1" shrinkToFit="1"/>
    </xf>
    <xf numFmtId="10" fontId="7" fillId="0" borderId="46" xfId="0" applyNumberFormat="1" applyFont="1" applyFill="1" applyBorder="1" applyAlignment="1">
      <alignment horizontal="center" vertical="center"/>
    </xf>
    <xf numFmtId="10" fontId="7" fillId="0" borderId="43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left" vertical="center" wrapText="1" shrinkToFit="1"/>
    </xf>
    <xf numFmtId="0" fontId="11" fillId="0" borderId="9" xfId="0" applyFont="1" applyFill="1" applyBorder="1" applyAlignment="1">
      <alignment horizontal="left" vertical="center" wrapText="1" shrinkToFit="1"/>
    </xf>
    <xf numFmtId="0" fontId="12" fillId="0" borderId="43" xfId="0" applyFont="1" applyFill="1" applyBorder="1" applyAlignment="1">
      <alignment horizontal="left" vertical="center" wrapText="1" shrinkToFit="1"/>
    </xf>
    <xf numFmtId="0" fontId="7" fillId="0" borderId="44" xfId="0" applyFont="1" applyFill="1" applyBorder="1" applyAlignment="1">
      <alignment horizontal="left" vertical="center" wrapText="1" shrinkToFit="1"/>
    </xf>
    <xf numFmtId="0" fontId="16" fillId="0" borderId="44" xfId="0" applyFont="1" applyFill="1" applyBorder="1" applyAlignment="1">
      <alignment horizontal="left" vertical="center" wrapText="1" shrinkToFit="1"/>
    </xf>
    <xf numFmtId="0" fontId="7" fillId="0" borderId="49" xfId="0" applyFont="1" applyFill="1" applyBorder="1" applyAlignment="1">
      <alignment horizontal="left" vertical="center" wrapText="1" shrinkToFit="1"/>
    </xf>
    <xf numFmtId="0" fontId="11" fillId="0" borderId="43" xfId="0" applyFont="1" applyFill="1" applyBorder="1" applyAlignment="1">
      <alignment horizontal="left" vertical="center" wrapText="1" shrinkToFit="1"/>
    </xf>
    <xf numFmtId="0" fontId="12" fillId="0" borderId="53" xfId="0" applyFont="1" applyFill="1" applyBorder="1" applyAlignment="1">
      <alignment horizontal="left" vertical="center" wrapText="1" shrinkToFit="1"/>
    </xf>
    <xf numFmtId="0" fontId="10" fillId="0" borderId="39" xfId="0" applyFont="1" applyBorder="1" applyAlignment="1">
      <alignment horizontal="center" vertical="center" wrapText="1" shrinkToFit="1"/>
    </xf>
    <xf numFmtId="0" fontId="7" fillId="6" borderId="40" xfId="0" applyFont="1" applyFill="1" applyBorder="1" applyAlignment="1">
      <alignment horizontal="center" vertical="center" wrapText="1" shrinkToFit="1"/>
    </xf>
    <xf numFmtId="0" fontId="10" fillId="0" borderId="56" xfId="0" applyFont="1" applyBorder="1" applyAlignment="1">
      <alignment horizontal="center" vertical="center" wrapText="1" shrinkToFit="1"/>
    </xf>
    <xf numFmtId="0" fontId="7" fillId="9" borderId="58" xfId="0" applyFont="1" applyFill="1" applyBorder="1" applyAlignment="1">
      <alignment horizontal="center" vertical="center" wrapText="1" shrinkToFit="1"/>
    </xf>
    <xf numFmtId="0" fontId="7" fillId="7" borderId="58" xfId="0" applyFont="1" applyFill="1" applyBorder="1" applyAlignment="1">
      <alignment horizontal="center" vertical="center" wrapText="1" shrinkToFit="1"/>
    </xf>
    <xf numFmtId="0" fontId="11" fillId="2" borderId="40" xfId="0" applyFont="1" applyFill="1" applyBorder="1" applyAlignment="1">
      <alignment horizontal="center" vertical="center" wrapText="1" shrinkToFit="1"/>
    </xf>
    <xf numFmtId="0" fontId="7" fillId="2" borderId="19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177" fontId="7" fillId="9" borderId="46" xfId="1" applyNumberFormat="1" applyFont="1" applyFill="1" applyBorder="1">
      <alignment vertical="center"/>
    </xf>
    <xf numFmtId="177" fontId="16" fillId="0" borderId="43" xfId="1" applyNumberFormat="1" applyFont="1" applyFill="1" applyBorder="1">
      <alignment vertical="center"/>
    </xf>
    <xf numFmtId="0" fontId="9" fillId="8" borderId="0" xfId="0" applyFont="1" applyFill="1" applyAlignment="1">
      <alignment vertical="center"/>
    </xf>
    <xf numFmtId="0" fontId="21" fillId="8" borderId="0" xfId="0" applyFont="1" applyFill="1" applyAlignment="1">
      <alignment horizontal="center" vertical="center" wrapText="1"/>
    </xf>
    <xf numFmtId="0" fontId="12" fillId="0" borderId="54" xfId="0" applyFont="1" applyFill="1" applyBorder="1" applyAlignment="1">
      <alignment horizontal="left" vertical="center" wrapText="1" shrinkToFit="1"/>
    </xf>
    <xf numFmtId="176" fontId="7" fillId="0" borderId="50" xfId="0" applyNumberFormat="1" applyFont="1" applyFill="1" applyBorder="1" applyAlignment="1">
      <alignment horizontal="center" vertical="center"/>
    </xf>
    <xf numFmtId="176" fontId="7" fillId="0" borderId="54" xfId="0" applyNumberFormat="1" applyFont="1" applyFill="1" applyBorder="1" applyAlignment="1">
      <alignment horizontal="center" vertical="center"/>
    </xf>
    <xf numFmtId="10" fontId="7" fillId="0" borderId="54" xfId="0" applyNumberFormat="1" applyFont="1" applyFill="1" applyBorder="1" applyAlignment="1">
      <alignment horizontal="center" vertical="center"/>
    </xf>
    <xf numFmtId="10" fontId="7" fillId="0" borderId="50" xfId="0" applyNumberFormat="1" applyFont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left" vertical="center" wrapText="1" shrinkToFit="1"/>
    </xf>
    <xf numFmtId="0" fontId="7" fillId="0" borderId="53" xfId="0" applyFont="1" applyFill="1" applyBorder="1" applyAlignment="1">
      <alignment horizontal="left" vertical="center" wrapText="1" shrinkToFit="1"/>
    </xf>
    <xf numFmtId="0" fontId="7" fillId="0" borderId="54" xfId="0" applyFont="1" applyFill="1" applyBorder="1" applyAlignment="1">
      <alignment horizontal="left" vertical="center" wrapText="1" shrinkToFit="1"/>
    </xf>
    <xf numFmtId="0" fontId="7" fillId="0" borderId="3" xfId="0" applyFont="1" applyFill="1" applyBorder="1" applyAlignment="1">
      <alignment horizontal="left" vertical="center" wrapText="1" shrinkToFit="1"/>
    </xf>
    <xf numFmtId="10" fontId="7" fillId="0" borderId="53" xfId="0" applyNumberFormat="1" applyFont="1" applyBorder="1" applyAlignment="1">
      <alignment horizontal="center" vertical="center"/>
    </xf>
    <xf numFmtId="41" fontId="7" fillId="5" borderId="8" xfId="1" applyFont="1" applyFill="1" applyBorder="1" applyAlignment="1">
      <alignment horizontal="center" vertical="center" wrapText="1"/>
    </xf>
    <xf numFmtId="41" fontId="7" fillId="5" borderId="4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41" fontId="7" fillId="2" borderId="17" xfId="1" applyFont="1" applyFill="1" applyBorder="1" applyAlignment="1">
      <alignment horizontal="center" vertical="center"/>
    </xf>
    <xf numFmtId="41" fontId="7" fillId="2" borderId="18" xfId="1" applyFont="1" applyFill="1" applyBorder="1" applyAlignment="1">
      <alignment horizontal="center" vertical="center"/>
    </xf>
    <xf numFmtId="41" fontId="7" fillId="2" borderId="15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41" fontId="5" fillId="2" borderId="12" xfId="1" applyFont="1" applyFill="1" applyBorder="1" applyAlignment="1">
      <alignment horizontal="center" vertical="center"/>
    </xf>
    <xf numFmtId="41" fontId="5" fillId="2" borderId="13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41" fontId="7" fillId="2" borderId="12" xfId="1" applyFont="1" applyFill="1" applyBorder="1" applyAlignment="1">
      <alignment horizontal="center" vertical="center"/>
    </xf>
    <xf numFmtId="0" fontId="0" fillId="0" borderId="13" xfId="0" applyBorder="1">
      <alignment vertical="center"/>
    </xf>
    <xf numFmtId="22" fontId="6" fillId="2" borderId="19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5" fillId="2" borderId="2" xfId="1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5" xfId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8" xfId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 shrinkToFit="1"/>
    </xf>
    <xf numFmtId="0" fontId="11" fillId="0" borderId="47" xfId="0" applyFont="1" applyFill="1" applyBorder="1" applyAlignment="1">
      <alignment horizontal="center" vertical="center" wrapText="1" shrinkToFit="1"/>
    </xf>
    <xf numFmtId="0" fontId="11" fillId="10" borderId="2" xfId="0" applyFont="1" applyFill="1" applyBorder="1" applyAlignment="1">
      <alignment horizontal="center" vertical="center" wrapText="1" shrinkToFit="1"/>
    </xf>
    <xf numFmtId="0" fontId="11" fillId="10" borderId="47" xfId="0" applyFont="1" applyFill="1" applyBorder="1" applyAlignment="1">
      <alignment horizontal="center" vertical="center" wrapText="1" shrinkToFit="1"/>
    </xf>
    <xf numFmtId="0" fontId="11" fillId="10" borderId="52" xfId="0" applyFont="1" applyFill="1" applyBorder="1" applyAlignment="1">
      <alignment horizontal="center" vertical="center" wrapText="1" shrinkToFit="1"/>
    </xf>
    <xf numFmtId="0" fontId="7" fillId="2" borderId="57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11" fillId="0" borderId="52" xfId="0" applyFont="1" applyFill="1" applyBorder="1" applyAlignment="1">
      <alignment horizontal="center" vertical="center" wrapText="1" shrinkToFit="1"/>
    </xf>
    <xf numFmtId="180" fontId="9" fillId="2" borderId="17" xfId="2" applyNumberFormat="1" applyFont="1" applyFill="1" applyBorder="1" applyAlignment="1">
      <alignment horizontal="center" vertical="center"/>
    </xf>
    <xf numFmtId="180" fontId="9" fillId="2" borderId="55" xfId="2" applyNumberFormat="1" applyFont="1" applyFill="1" applyBorder="1" applyAlignment="1">
      <alignment horizontal="center" vertical="center"/>
    </xf>
    <xf numFmtId="180" fontId="9" fillId="2" borderId="18" xfId="2" applyNumberFormat="1" applyFont="1" applyFill="1" applyBorder="1" applyAlignment="1">
      <alignment horizontal="center" vertical="center"/>
    </xf>
    <xf numFmtId="0" fontId="7" fillId="10" borderId="43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left" vertical="center" wrapText="1" shrinkToFit="1"/>
    </xf>
    <xf numFmtId="0" fontId="12" fillId="10" borderId="43" xfId="0" applyFont="1" applyFill="1" applyBorder="1" applyAlignment="1">
      <alignment horizontal="left" vertical="center" wrapText="1" shrinkToFit="1"/>
    </xf>
    <xf numFmtId="0" fontId="12" fillId="10" borderId="54" xfId="0" applyFont="1" applyFill="1" applyBorder="1" applyAlignment="1">
      <alignment horizontal="left" vertical="center" wrapText="1" shrinkToFit="1"/>
    </xf>
    <xf numFmtId="0" fontId="12" fillId="10" borderId="9" xfId="0" applyFont="1" applyFill="1" applyBorder="1" applyAlignment="1">
      <alignment horizontal="left" vertical="center" wrapText="1" shrinkToFit="1"/>
    </xf>
    <xf numFmtId="0" fontId="7" fillId="10" borderId="43" xfId="0" applyFont="1" applyFill="1" applyBorder="1" applyAlignment="1">
      <alignment horizontal="left" vertical="center" wrapText="1" shrinkToFit="1"/>
    </xf>
    <xf numFmtId="0" fontId="7" fillId="10" borderId="53" xfId="0" applyFont="1" applyFill="1" applyBorder="1" applyAlignment="1">
      <alignment horizontal="left" vertical="center" wrapText="1" shrinkToFit="1"/>
    </xf>
    <xf numFmtId="0" fontId="7" fillId="10" borderId="2" xfId="0" applyFont="1" applyFill="1" applyBorder="1" applyAlignment="1">
      <alignment vertical="center" wrapText="1" shrinkToFit="1"/>
    </xf>
    <xf numFmtId="0" fontId="7" fillId="10" borderId="44" xfId="0" applyFont="1" applyFill="1" applyBorder="1" applyAlignment="1">
      <alignment horizontal="left" vertical="center" wrapText="1" shrinkToFit="1"/>
    </xf>
    <xf numFmtId="0" fontId="16" fillId="10" borderId="54" xfId="0" applyFont="1" applyFill="1" applyBorder="1" applyAlignment="1">
      <alignment horizontal="left" vertical="center" wrapText="1" shrinkToFit="1"/>
    </xf>
    <xf numFmtId="0" fontId="16" fillId="10" borderId="44" xfId="0" applyFont="1" applyFill="1" applyBorder="1" applyAlignment="1">
      <alignment horizontal="left" vertical="center" wrapText="1" shrinkToFit="1"/>
    </xf>
    <xf numFmtId="178" fontId="7" fillId="10" borderId="46" xfId="1" applyNumberFormat="1" applyFont="1" applyFill="1" applyBorder="1">
      <alignment vertical="center"/>
    </xf>
    <xf numFmtId="178" fontId="7" fillId="10" borderId="43" xfId="1" applyNumberFormat="1" applyFont="1" applyFill="1" applyBorder="1">
      <alignment vertical="center"/>
    </xf>
    <xf numFmtId="177" fontId="7" fillId="10" borderId="46" xfId="1" applyNumberFormat="1" applyFont="1" applyFill="1" applyBorder="1">
      <alignment vertical="center"/>
    </xf>
    <xf numFmtId="177" fontId="7" fillId="10" borderId="43" xfId="1" applyNumberFormat="1" applyFont="1" applyFill="1" applyBorder="1">
      <alignment vertical="center"/>
    </xf>
  </cellXfs>
  <cellStyles count="5">
    <cellStyle name="Excel Built-in Comma [0]" xfId="3"/>
    <cellStyle name="백분율" xfId="2" builtinId="5"/>
    <cellStyle name="백분율 2" xfId="4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O90"/>
  <sheetViews>
    <sheetView showZeros="0" tabSelected="1" view="pageBreakPreview" zoomScale="80" zoomScaleNormal="80" zoomScaleSheetLayoutView="80" workbookViewId="0">
      <selection activeCell="M6" sqref="M6"/>
    </sheetView>
  </sheetViews>
  <sheetFormatPr defaultColWidth="8.88671875" defaultRowHeight="13.5" x14ac:dyDescent="0.15"/>
  <cols>
    <col min="1" max="1" width="2.88671875" style="71" customWidth="1"/>
    <col min="2" max="2" width="8.44140625" style="72" customWidth="1"/>
    <col min="3" max="3" width="8.88671875" style="17" customWidth="1"/>
    <col min="4" max="6" width="8.88671875" style="1" customWidth="1"/>
    <col min="7" max="7" width="8.21875" style="1" customWidth="1"/>
    <col min="8" max="8" width="7.5546875" style="1" customWidth="1"/>
    <col min="9" max="13" width="8.33203125" style="1" customWidth="1"/>
    <col min="14" max="14" width="7.5546875" style="1" customWidth="1"/>
    <col min="15" max="15" width="6.21875" style="1" customWidth="1"/>
    <col min="16" max="20" width="7.5546875" style="1" customWidth="1"/>
    <col min="21" max="21" width="8.109375" style="1" customWidth="1"/>
    <col min="22" max="22" width="7.44140625" style="70" customWidth="1"/>
    <col min="23" max="27" width="8.109375" style="1" customWidth="1"/>
    <col min="28" max="28" width="8.44140625" style="1" customWidth="1"/>
    <col min="29" max="29" width="8.77734375" style="1" customWidth="1"/>
    <col min="30" max="30" width="7.88671875" style="1" customWidth="1"/>
    <col min="31" max="31" width="7" style="1" customWidth="1"/>
    <col min="32" max="32" width="7.21875" style="1" customWidth="1"/>
    <col min="33" max="33" width="7.6640625" style="76" customWidth="1"/>
    <col min="34" max="34" width="7.88671875" style="1" customWidth="1"/>
    <col min="35" max="35" width="7.5546875" style="1" customWidth="1"/>
    <col min="36" max="36" width="8.44140625" style="1" customWidth="1"/>
    <col min="37" max="37" width="5.109375" style="1" customWidth="1"/>
    <col min="38" max="38" width="7" style="1" customWidth="1"/>
    <col min="39" max="39" width="8.6640625" style="1" customWidth="1"/>
    <col min="40" max="40" width="20.33203125" style="1" customWidth="1"/>
    <col min="41" max="41" width="5.44140625" style="20" customWidth="1"/>
    <col min="42" max="16384" width="8.88671875" style="1"/>
  </cols>
  <sheetData>
    <row r="1" spans="1:41" ht="32.25" customHeight="1" thickBot="1" x14ac:dyDescent="0.2">
      <c r="A1" s="118"/>
      <c r="B1" s="119" t="s">
        <v>49</v>
      </c>
      <c r="C1" s="119" t="s">
        <v>50</v>
      </c>
      <c r="D1" s="3" t="s">
        <v>4</v>
      </c>
      <c r="E1" s="165"/>
      <c r="F1" s="166"/>
      <c r="G1" s="4" t="s">
        <v>5</v>
      </c>
      <c r="H1" s="167"/>
      <c r="I1" s="168"/>
      <c r="J1" s="169"/>
      <c r="K1" s="5" t="s">
        <v>6</v>
      </c>
      <c r="L1" s="167">
        <v>0</v>
      </c>
      <c r="M1" s="168"/>
      <c r="N1" s="170"/>
      <c r="O1" s="6" t="s">
        <v>52</v>
      </c>
      <c r="P1" s="6"/>
      <c r="Q1" s="6"/>
      <c r="R1" s="6"/>
      <c r="S1" s="6"/>
      <c r="T1" s="6"/>
      <c r="U1" s="6"/>
      <c r="V1" s="6"/>
      <c r="W1" s="6"/>
      <c r="X1" s="6"/>
      <c r="Y1" s="6"/>
      <c r="Z1" s="171" t="s">
        <v>7</v>
      </c>
      <c r="AA1" s="171"/>
      <c r="AB1" s="7"/>
      <c r="AC1" s="171" t="s">
        <v>8</v>
      </c>
      <c r="AD1" s="171"/>
      <c r="AE1" s="162" t="s">
        <v>9</v>
      </c>
      <c r="AF1" s="163"/>
      <c r="AG1" s="164"/>
      <c r="AH1" s="6"/>
      <c r="AI1" s="6"/>
      <c r="AJ1" s="6"/>
      <c r="AK1" s="6"/>
      <c r="AL1" s="6"/>
      <c r="AM1" s="2"/>
      <c r="AN1" s="2"/>
      <c r="AO1" s="8"/>
    </row>
    <row r="2" spans="1:41" ht="29.25" customHeight="1" thickBot="1" x14ac:dyDescent="0.2">
      <c r="A2" s="154" t="s">
        <v>10</v>
      </c>
      <c r="B2" s="154"/>
      <c r="C2" s="155"/>
      <c r="D2" s="9" t="s">
        <v>11</v>
      </c>
      <c r="E2" s="156"/>
      <c r="F2" s="157"/>
      <c r="G2" s="10" t="s">
        <v>12</v>
      </c>
      <c r="H2" s="156">
        <f>E2</f>
        <v>0</v>
      </c>
      <c r="I2" s="158"/>
      <c r="J2" s="157"/>
      <c r="K2" s="11" t="s">
        <v>13</v>
      </c>
      <c r="L2" s="159">
        <f>H2*3</f>
        <v>0</v>
      </c>
      <c r="M2" s="160"/>
      <c r="N2" s="12" t="s">
        <v>14</v>
      </c>
      <c r="O2" s="13" t="s">
        <v>15</v>
      </c>
      <c r="P2" s="161" t="s">
        <v>53</v>
      </c>
      <c r="Q2" s="161"/>
      <c r="R2" s="161"/>
      <c r="S2" s="161"/>
      <c r="T2" s="161"/>
      <c r="U2" s="84" t="s">
        <v>51</v>
      </c>
      <c r="V2" s="14"/>
      <c r="W2" s="15"/>
      <c r="X2" s="138" t="s">
        <v>0</v>
      </c>
      <c r="Y2" s="138"/>
      <c r="Z2" s="139"/>
      <c r="AA2" s="140"/>
      <c r="AB2" s="83"/>
      <c r="AC2" s="141">
        <f>H1</f>
        <v>0</v>
      </c>
      <c r="AD2" s="142"/>
      <c r="AE2" s="183" t="e">
        <f>Z2/AC2</f>
        <v>#DIV/0!</v>
      </c>
      <c r="AF2" s="184"/>
      <c r="AG2" s="185"/>
      <c r="AI2" s="16"/>
      <c r="AJ2" s="17"/>
      <c r="AK2" s="17"/>
      <c r="AL2" s="17"/>
      <c r="AM2" s="18"/>
      <c r="AN2" s="19" t="s">
        <v>16</v>
      </c>
    </row>
    <row r="3" spans="1:41" s="22" customFormat="1" ht="24.95" customHeight="1" thickBot="1" x14ac:dyDescent="0.2">
      <c r="A3" s="143" t="s">
        <v>17</v>
      </c>
      <c r="B3" s="145" t="s">
        <v>18</v>
      </c>
      <c r="C3" s="147" t="s">
        <v>19</v>
      </c>
      <c r="D3" s="147"/>
      <c r="E3" s="147"/>
      <c r="F3" s="147"/>
      <c r="G3" s="147"/>
      <c r="H3" s="147"/>
      <c r="I3" s="148" t="s">
        <v>20</v>
      </c>
      <c r="J3" s="149"/>
      <c r="K3" s="147"/>
      <c r="L3" s="149"/>
      <c r="M3" s="150"/>
      <c r="N3" s="147" t="s">
        <v>21</v>
      </c>
      <c r="O3" s="152"/>
      <c r="P3" s="147" t="s">
        <v>22</v>
      </c>
      <c r="Q3" s="147"/>
      <c r="R3" s="147"/>
      <c r="S3" s="147"/>
      <c r="T3" s="177"/>
      <c r="U3" s="178" t="s">
        <v>23</v>
      </c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79"/>
      <c r="AI3" s="26"/>
      <c r="AJ3" s="180" t="s">
        <v>24</v>
      </c>
      <c r="AK3" s="152" t="s">
        <v>25</v>
      </c>
      <c r="AL3" s="134" t="s">
        <v>26</v>
      </c>
      <c r="AM3" s="136" t="s">
        <v>27</v>
      </c>
      <c r="AN3" s="21" t="s">
        <v>28</v>
      </c>
      <c r="AO3" s="132" t="s">
        <v>29</v>
      </c>
    </row>
    <row r="4" spans="1:41" s="22" customFormat="1" ht="41.25" customHeight="1" thickBot="1" x14ac:dyDescent="0.2">
      <c r="A4" s="144"/>
      <c r="B4" s="146"/>
      <c r="C4" s="23" t="s">
        <v>30</v>
      </c>
      <c r="D4" s="24" t="s">
        <v>31</v>
      </c>
      <c r="E4" s="125" t="s">
        <v>32</v>
      </c>
      <c r="F4" s="125" t="s">
        <v>33</v>
      </c>
      <c r="G4" s="125" t="s">
        <v>34</v>
      </c>
      <c r="H4" s="25" t="s">
        <v>35</v>
      </c>
      <c r="I4" s="126" t="s">
        <v>30</v>
      </c>
      <c r="J4" s="24" t="s">
        <v>36</v>
      </c>
      <c r="K4" s="24" t="s">
        <v>32</v>
      </c>
      <c r="L4" s="126" t="s">
        <v>1</v>
      </c>
      <c r="M4" s="26" t="s">
        <v>2</v>
      </c>
      <c r="N4" s="151"/>
      <c r="O4" s="153"/>
      <c r="P4" s="23" t="s">
        <v>37</v>
      </c>
      <c r="Q4" s="24" t="s">
        <v>36</v>
      </c>
      <c r="R4" s="24" t="s">
        <v>32</v>
      </c>
      <c r="S4" s="126" t="s">
        <v>1</v>
      </c>
      <c r="T4" s="125" t="s">
        <v>2</v>
      </c>
      <c r="U4" s="108" t="s">
        <v>38</v>
      </c>
      <c r="V4" s="109" t="s">
        <v>39</v>
      </c>
      <c r="W4" s="27" t="s">
        <v>30</v>
      </c>
      <c r="X4" s="28" t="s">
        <v>36</v>
      </c>
      <c r="Y4" s="28" t="s">
        <v>32</v>
      </c>
      <c r="Z4" s="29" t="s">
        <v>1</v>
      </c>
      <c r="AA4" s="28" t="s">
        <v>2</v>
      </c>
      <c r="AB4" s="30" t="s">
        <v>40</v>
      </c>
      <c r="AC4" s="110" t="s">
        <v>41</v>
      </c>
      <c r="AD4" s="109" t="s">
        <v>42</v>
      </c>
      <c r="AE4" s="111" t="s">
        <v>43</v>
      </c>
      <c r="AF4" s="112" t="s">
        <v>44</v>
      </c>
      <c r="AG4" s="113" t="s">
        <v>45</v>
      </c>
      <c r="AH4" s="114" t="s">
        <v>46</v>
      </c>
      <c r="AI4" s="115" t="s">
        <v>47</v>
      </c>
      <c r="AJ4" s="181"/>
      <c r="AK4" s="153"/>
      <c r="AL4" s="135"/>
      <c r="AM4" s="137"/>
      <c r="AN4" s="31"/>
      <c r="AO4" s="133"/>
    </row>
    <row r="5" spans="1:41" s="22" customFormat="1" ht="48.75" customHeight="1" x14ac:dyDescent="0.15">
      <c r="A5" s="90">
        <v>1</v>
      </c>
      <c r="B5" s="186"/>
      <c r="C5" s="189"/>
      <c r="D5" s="188"/>
      <c r="E5" s="189"/>
      <c r="F5" s="189"/>
      <c r="G5" s="190"/>
      <c r="H5" s="34"/>
      <c r="I5" s="35"/>
      <c r="J5" s="36"/>
      <c r="K5" s="36"/>
      <c r="L5" s="36"/>
      <c r="M5" s="86"/>
      <c r="N5" s="62">
        <f>SUM(I5:M5)</f>
        <v>0</v>
      </c>
      <c r="O5" s="37"/>
      <c r="P5" s="198"/>
      <c r="Q5" s="199"/>
      <c r="R5" s="199"/>
      <c r="S5" s="199"/>
      <c r="T5" s="199"/>
      <c r="U5" s="40">
        <f>ROUND(((P5*I5)+(Q5*J5)+(R5*K5)+(S5*L5)+(T5*M5)),3)</f>
        <v>0</v>
      </c>
      <c r="V5" s="41">
        <f>IF(U5&gt;=8,8,U5)</f>
        <v>0</v>
      </c>
      <c r="W5" s="42"/>
      <c r="X5" s="42"/>
      <c r="Y5" s="42"/>
      <c r="Z5" s="42"/>
      <c r="AA5" s="42"/>
      <c r="AB5" s="73" t="e">
        <f>(((((W5*I5)+(X5*J5)+(Y5*K5)+(Z5*L5)+(AA5*M5))/$L$2)))</f>
        <v>#DIV/0!</v>
      </c>
      <c r="AC5" s="78" t="e">
        <f t="shared" ref="AC5" si="0">ROUND(11*AB5,3)</f>
        <v>#DIV/0!</v>
      </c>
      <c r="AD5" s="75" t="e">
        <f t="shared" ref="AD5" si="1">IF(AC5&gt;=11,11,AC5)</f>
        <v>#DIV/0!</v>
      </c>
      <c r="AE5" s="116">
        <f>IF(U6&gt;=94,4,IF(U6&gt;=91,3.9,IF(U6&gt;=88,3.8,IF(U6&gt;=85,3.7,3.6))))</f>
        <v>3.6</v>
      </c>
      <c r="AF5" s="43">
        <v>0.3</v>
      </c>
      <c r="AG5" s="117">
        <v>17</v>
      </c>
      <c r="AH5" s="44" t="e">
        <f>V5+AD5+AG5+AE5+AF5</f>
        <v>#DIV/0!</v>
      </c>
      <c r="AI5" s="41" t="e">
        <f>IF(AH5&gt;=40,40,AH5)</f>
        <v>#DIV/0!</v>
      </c>
      <c r="AJ5" s="45"/>
      <c r="AK5" s="46"/>
      <c r="AL5" s="47"/>
      <c r="AM5" s="48">
        <f>100%+AL5</f>
        <v>1</v>
      </c>
      <c r="AN5" s="49">
        <f>ROUNDUP((($E$2*AM5-$AN$4)*AJ5+$AN$4),-3)</f>
        <v>0</v>
      </c>
      <c r="AO5" s="50"/>
    </row>
    <row r="6" spans="1:41" s="22" customFormat="1" ht="26.25" customHeight="1" x14ac:dyDescent="0.15">
      <c r="A6" s="91"/>
      <c r="B6" s="187"/>
      <c r="C6" s="174" t="s">
        <v>48</v>
      </c>
      <c r="D6" s="175"/>
      <c r="E6" s="175"/>
      <c r="F6" s="175"/>
      <c r="G6" s="176"/>
      <c r="H6" s="34"/>
      <c r="I6" s="57"/>
      <c r="J6" s="61"/>
      <c r="K6" s="61"/>
      <c r="L6" s="61"/>
      <c r="M6" s="85"/>
      <c r="N6" s="62"/>
      <c r="O6" s="37"/>
      <c r="P6" s="200"/>
      <c r="Q6" s="201"/>
      <c r="R6" s="201"/>
      <c r="S6" s="201"/>
      <c r="T6" s="201"/>
      <c r="U6" s="77">
        <f>(I5*P6)+(J5*Q6)+(K5*R6)+(L5*S6)+(M5*T6)</f>
        <v>0</v>
      </c>
      <c r="V6" s="41"/>
      <c r="W6" s="42"/>
      <c r="X6" s="42"/>
      <c r="Y6" s="42"/>
      <c r="Z6" s="42"/>
      <c r="AA6" s="42"/>
      <c r="AB6" s="73"/>
      <c r="AC6" s="78"/>
      <c r="AD6" s="74"/>
      <c r="AE6" s="116"/>
      <c r="AF6" s="43"/>
      <c r="AG6" s="65"/>
      <c r="AH6" s="44"/>
      <c r="AI6" s="41"/>
      <c r="AJ6" s="45"/>
      <c r="AK6" s="46"/>
      <c r="AL6" s="47"/>
      <c r="AM6" s="48"/>
      <c r="AN6" s="49"/>
      <c r="AO6" s="50"/>
    </row>
    <row r="7" spans="1:41" s="22" customFormat="1" ht="48.75" customHeight="1" x14ac:dyDescent="0.15">
      <c r="A7" s="90">
        <v>2</v>
      </c>
      <c r="B7" s="186"/>
      <c r="C7" s="191"/>
      <c r="D7" s="192"/>
      <c r="E7" s="188"/>
      <c r="F7" s="191"/>
      <c r="G7" s="193"/>
      <c r="H7" s="34"/>
      <c r="I7" s="35"/>
      <c r="J7" s="36"/>
      <c r="K7" s="36"/>
      <c r="L7" s="36"/>
      <c r="M7" s="86"/>
      <c r="N7" s="62">
        <f>SUM(I7:M7)</f>
        <v>0</v>
      </c>
      <c r="O7" s="37"/>
      <c r="P7" s="198"/>
      <c r="Q7" s="199"/>
      <c r="R7" s="199"/>
      <c r="S7" s="199"/>
      <c r="T7" s="199"/>
      <c r="U7" s="40">
        <f>ROUND(((P7*I7)+(Q7*J7)+(R7*K7)+(S7*L7)+(T7*M7)),3)</f>
        <v>0</v>
      </c>
      <c r="V7" s="41">
        <f>IF(U7&gt;=8,8,U7)</f>
        <v>0</v>
      </c>
      <c r="W7" s="42"/>
      <c r="X7" s="42"/>
      <c r="Y7" s="42"/>
      <c r="Z7" s="42"/>
      <c r="AA7" s="42"/>
      <c r="AB7" s="73" t="e">
        <f>(((((W7*I7)+(X7*J7)+(Y7*K7)+(Z7*L7)+(AA7*M7))/$L$2)))</f>
        <v>#DIV/0!</v>
      </c>
      <c r="AC7" s="78" t="e">
        <f>ROUND(11*AB7,3)</f>
        <v>#DIV/0!</v>
      </c>
      <c r="AD7" s="75" t="e">
        <f>IF(AC7&gt;=11,11,AC7)</f>
        <v>#DIV/0!</v>
      </c>
      <c r="AE7" s="116">
        <f>IF(U8&gt;=94,4,IF(U8&gt;=91,3.9,IF(U8&gt;=88,3.8,IF(U8&gt;=85,3.7,3.6))))</f>
        <v>3.6</v>
      </c>
      <c r="AF7" s="43">
        <v>0.1</v>
      </c>
      <c r="AG7" s="117">
        <v>17</v>
      </c>
      <c r="AH7" s="44" t="e">
        <f>V7+AD7+AG7+AE7+AF7</f>
        <v>#DIV/0!</v>
      </c>
      <c r="AI7" s="41" t="e">
        <f>IF(AH7&gt;=40,40,AH7)</f>
        <v>#DIV/0!</v>
      </c>
      <c r="AJ7" s="45"/>
      <c r="AK7" s="46"/>
      <c r="AL7" s="47"/>
      <c r="AM7" s="48">
        <f>100%+AL7</f>
        <v>1</v>
      </c>
      <c r="AN7" s="49">
        <f>ROUNDUP((($E$2*AM7-$AN$4)*AJ7+$AN$4),-3)</f>
        <v>0</v>
      </c>
      <c r="AO7" s="50"/>
    </row>
    <row r="8" spans="1:41" s="22" customFormat="1" ht="26.25" customHeight="1" x14ac:dyDescent="0.15">
      <c r="A8" s="91"/>
      <c r="B8" s="186"/>
      <c r="C8" s="174" t="s">
        <v>48</v>
      </c>
      <c r="D8" s="175"/>
      <c r="E8" s="175"/>
      <c r="F8" s="175"/>
      <c r="G8" s="176"/>
      <c r="H8" s="34"/>
      <c r="I8" s="57"/>
      <c r="J8" s="61"/>
      <c r="K8" s="61"/>
      <c r="L8" s="61"/>
      <c r="M8" s="85"/>
      <c r="N8" s="62"/>
      <c r="O8" s="37"/>
      <c r="P8" s="200"/>
      <c r="Q8" s="201"/>
      <c r="R8" s="201"/>
      <c r="S8" s="201"/>
      <c r="T8" s="201"/>
      <c r="U8" s="77">
        <f>(I7*P8)+(J7*Q8)+(K7*R8)+(L7*S8)+(M7*T8)</f>
        <v>0</v>
      </c>
      <c r="V8" s="41"/>
      <c r="W8" s="42"/>
      <c r="X8" s="42"/>
      <c r="Y8" s="42"/>
      <c r="Z8" s="42"/>
      <c r="AA8" s="42"/>
      <c r="AB8" s="73"/>
      <c r="AC8" s="78"/>
      <c r="AD8" s="74"/>
      <c r="AE8" s="116"/>
      <c r="AF8" s="43"/>
      <c r="AG8" s="65"/>
      <c r="AH8" s="44"/>
      <c r="AI8" s="41"/>
      <c r="AJ8" s="45"/>
      <c r="AK8" s="46"/>
      <c r="AL8" s="47"/>
      <c r="AM8" s="48"/>
      <c r="AN8" s="49"/>
      <c r="AO8" s="50"/>
    </row>
    <row r="9" spans="1:41" s="22" customFormat="1" ht="51" customHeight="1" x14ac:dyDescent="0.15">
      <c r="A9" s="90">
        <v>3</v>
      </c>
      <c r="B9" s="186"/>
      <c r="C9" s="188"/>
      <c r="D9" s="188"/>
      <c r="E9" s="194"/>
      <c r="F9" s="188"/>
      <c r="G9" s="193"/>
      <c r="H9" s="34"/>
      <c r="I9" s="35"/>
      <c r="J9" s="61"/>
      <c r="K9" s="61"/>
      <c r="L9" s="36"/>
      <c r="M9" s="86"/>
      <c r="N9" s="62">
        <f>SUM(I9:M9)</f>
        <v>0</v>
      </c>
      <c r="O9" s="37"/>
      <c r="P9" s="198"/>
      <c r="Q9" s="199"/>
      <c r="R9" s="199"/>
      <c r="S9" s="199"/>
      <c r="T9" s="199"/>
      <c r="U9" s="40">
        <f>ROUND(((P9*I9)+(Q9*J9)+(R9*K9)+(S9*L9)+(T9*M9)),3)</f>
        <v>0</v>
      </c>
      <c r="V9" s="41">
        <f>IF(U9&gt;=8,8,U9)</f>
        <v>0</v>
      </c>
      <c r="W9" s="42"/>
      <c r="X9" s="42"/>
      <c r="Y9" s="42"/>
      <c r="Z9" s="42"/>
      <c r="AA9" s="42"/>
      <c r="AB9" s="73" t="e">
        <f>(((((W9*I9)+(X9*J9)+(Y9*K9)+(Z9*L9)+(AA9*M9))/$L$2)))</f>
        <v>#DIV/0!</v>
      </c>
      <c r="AC9" s="78" t="e">
        <f t="shared" ref="AC9" si="2">ROUND(11*AB9,3)</f>
        <v>#DIV/0!</v>
      </c>
      <c r="AD9" s="75" t="e">
        <f t="shared" ref="AD9" si="3">IF(AC9&gt;=11,11,AC9)</f>
        <v>#DIV/0!</v>
      </c>
      <c r="AE9" s="116">
        <f>IF(U10&gt;=94,4,IF(U10&gt;=91,3.9,IF(U10&gt;=88,3.8,IF(U10&gt;=85,3.7,3.6))))</f>
        <v>3.6</v>
      </c>
      <c r="AF9" s="43">
        <v>0.3</v>
      </c>
      <c r="AG9" s="117">
        <v>17</v>
      </c>
      <c r="AH9" s="44" t="e">
        <f>V9+AD9+AG9+AE9+AF9</f>
        <v>#DIV/0!</v>
      </c>
      <c r="AI9" s="41" t="e">
        <f>IF(AH9&gt;=40,40,AH9)</f>
        <v>#DIV/0!</v>
      </c>
      <c r="AJ9" s="45"/>
      <c r="AK9" s="46"/>
      <c r="AL9" s="47"/>
      <c r="AM9" s="48">
        <f>100%+AL9</f>
        <v>1</v>
      </c>
      <c r="AN9" s="49">
        <f>ROUNDUP((($E$2*AM9-$AN$4)*AJ9+$AN$4),-3)</f>
        <v>0</v>
      </c>
      <c r="AO9" s="50"/>
    </row>
    <row r="10" spans="1:41" s="22" customFormat="1" ht="26.25" customHeight="1" x14ac:dyDescent="0.15">
      <c r="A10" s="91"/>
      <c r="B10" s="187"/>
      <c r="C10" s="174" t="s">
        <v>48</v>
      </c>
      <c r="D10" s="175"/>
      <c r="E10" s="175"/>
      <c r="F10" s="175"/>
      <c r="G10" s="176"/>
      <c r="H10" s="34"/>
      <c r="I10" s="57"/>
      <c r="J10" s="61"/>
      <c r="K10" s="61"/>
      <c r="L10" s="61"/>
      <c r="M10" s="85"/>
      <c r="N10" s="62"/>
      <c r="O10" s="37"/>
      <c r="P10" s="200"/>
      <c r="Q10" s="201"/>
      <c r="R10" s="201"/>
      <c r="S10" s="201"/>
      <c r="T10" s="201"/>
      <c r="U10" s="77">
        <f>(I9*P10)+(J9*Q10)+(K9*R10)+(L9*S10)+(M9*T10)</f>
        <v>0</v>
      </c>
      <c r="V10" s="41"/>
      <c r="W10" s="42"/>
      <c r="X10" s="42"/>
      <c r="Y10" s="42"/>
      <c r="Z10" s="42"/>
      <c r="AA10" s="42"/>
      <c r="AB10" s="73"/>
      <c r="AC10" s="78"/>
      <c r="AD10" s="74"/>
      <c r="AE10" s="116"/>
      <c r="AF10" s="43"/>
      <c r="AG10" s="65"/>
      <c r="AH10" s="44"/>
      <c r="AI10" s="41"/>
      <c r="AJ10" s="45"/>
      <c r="AK10" s="46"/>
      <c r="AL10" s="47"/>
      <c r="AM10" s="48"/>
      <c r="AN10" s="49"/>
      <c r="AO10" s="50"/>
    </row>
    <row r="11" spans="1:41" s="22" customFormat="1" ht="48.75" customHeight="1" x14ac:dyDescent="0.15">
      <c r="A11" s="90">
        <v>4</v>
      </c>
      <c r="B11" s="186"/>
      <c r="C11" s="195"/>
      <c r="D11" s="188"/>
      <c r="E11" s="192"/>
      <c r="F11" s="188"/>
      <c r="G11" s="196"/>
      <c r="H11" s="34"/>
      <c r="I11" s="35"/>
      <c r="J11" s="36"/>
      <c r="K11" s="36"/>
      <c r="L11" s="36"/>
      <c r="M11" s="86"/>
      <c r="N11" s="62">
        <f>SUM(I11:M11)</f>
        <v>0</v>
      </c>
      <c r="O11" s="37"/>
      <c r="P11" s="198"/>
      <c r="Q11" s="199"/>
      <c r="R11" s="199"/>
      <c r="S11" s="199"/>
      <c r="T11" s="199"/>
      <c r="U11" s="40">
        <f>ROUND(((P11*I11)+(Q11*J11)+(R11*K11)+(S11*L11)+(T11*M11)),3)</f>
        <v>0</v>
      </c>
      <c r="V11" s="41">
        <f>IF(U11&gt;=8,8,U11)</f>
        <v>0</v>
      </c>
      <c r="W11" s="42"/>
      <c r="X11" s="42"/>
      <c r="Y11" s="42"/>
      <c r="Z11" s="42"/>
      <c r="AA11" s="42"/>
      <c r="AB11" s="73" t="e">
        <f>(((((W11*I11)+(X11*J11)+(Y11*K11)+(Z11*L11)+(AA11*M11))/$L$2)))</f>
        <v>#DIV/0!</v>
      </c>
      <c r="AC11" s="78" t="e">
        <f t="shared" ref="AC11" si="4">ROUND(11*AB11,3)</f>
        <v>#DIV/0!</v>
      </c>
      <c r="AD11" s="75" t="e">
        <f t="shared" ref="AD11" si="5">IF(AC11&gt;=11,11,AC11)</f>
        <v>#DIV/0!</v>
      </c>
      <c r="AE11" s="116">
        <f>IF(U12&gt;=94,4,IF(U12&gt;=91,3.9,IF(U12&gt;=88,3.8,IF(U12&gt;=85,3.7,3.6))))</f>
        <v>3.6</v>
      </c>
      <c r="AF11" s="43">
        <v>0.3</v>
      </c>
      <c r="AG11" s="117">
        <v>17</v>
      </c>
      <c r="AH11" s="44" t="e">
        <f>V11+AD11+AG11+AE11+AF11</f>
        <v>#DIV/0!</v>
      </c>
      <c r="AI11" s="41" t="e">
        <f>IF(AH11&gt;=40,40,AH11)</f>
        <v>#DIV/0!</v>
      </c>
      <c r="AJ11" s="45"/>
      <c r="AK11" s="46"/>
      <c r="AL11" s="47"/>
      <c r="AM11" s="48">
        <f>100%+AL11</f>
        <v>1</v>
      </c>
      <c r="AN11" s="49">
        <f>ROUNDUP((($E$2*AM11-$AN$4)*AJ11+$AN$4),-3)</f>
        <v>0</v>
      </c>
      <c r="AO11" s="50"/>
    </row>
    <row r="12" spans="1:41" s="22" customFormat="1" ht="26.25" customHeight="1" x14ac:dyDescent="0.15">
      <c r="A12" s="91"/>
      <c r="B12" s="187"/>
      <c r="C12" s="174" t="s">
        <v>48</v>
      </c>
      <c r="D12" s="175"/>
      <c r="E12" s="175"/>
      <c r="F12" s="175"/>
      <c r="G12" s="176"/>
      <c r="H12" s="34"/>
      <c r="I12" s="57"/>
      <c r="J12" s="61"/>
      <c r="K12" s="61"/>
      <c r="L12" s="61"/>
      <c r="M12" s="85"/>
      <c r="N12" s="62"/>
      <c r="O12" s="37"/>
      <c r="P12" s="200"/>
      <c r="Q12" s="201"/>
      <c r="R12" s="201"/>
      <c r="S12" s="201"/>
      <c r="T12" s="201"/>
      <c r="U12" s="77">
        <f>(I11*P12)+(J11*Q12)+(K11*R12)+(L11*S12)+(M11*T12)</f>
        <v>0</v>
      </c>
      <c r="V12" s="41"/>
      <c r="W12" s="42"/>
      <c r="X12" s="42"/>
      <c r="Y12" s="42"/>
      <c r="Z12" s="42"/>
      <c r="AA12" s="42"/>
      <c r="AB12" s="73"/>
      <c r="AC12" s="78"/>
      <c r="AD12" s="74"/>
      <c r="AE12" s="116"/>
      <c r="AF12" s="43"/>
      <c r="AG12" s="65"/>
      <c r="AH12" s="44"/>
      <c r="AI12" s="41"/>
      <c r="AJ12" s="45"/>
      <c r="AK12" s="46"/>
      <c r="AL12" s="47"/>
      <c r="AM12" s="48"/>
      <c r="AN12" s="49"/>
      <c r="AO12" s="50"/>
    </row>
    <row r="13" spans="1:41" s="22" customFormat="1" ht="56.25" customHeight="1" x14ac:dyDescent="0.15">
      <c r="A13" s="90">
        <v>5</v>
      </c>
      <c r="B13" s="186"/>
      <c r="C13" s="197"/>
      <c r="D13" s="192"/>
      <c r="E13" s="188"/>
      <c r="F13" s="192"/>
      <c r="G13" s="193"/>
      <c r="H13" s="34"/>
      <c r="I13" s="35"/>
      <c r="J13" s="36"/>
      <c r="K13" s="36"/>
      <c r="L13" s="36"/>
      <c r="M13" s="86"/>
      <c r="N13" s="62">
        <f>SUM(I13:M13)</f>
        <v>0</v>
      </c>
      <c r="O13" s="37"/>
      <c r="P13" s="198"/>
      <c r="Q13" s="199"/>
      <c r="R13" s="199"/>
      <c r="S13" s="199"/>
      <c r="T13" s="199"/>
      <c r="U13" s="40">
        <f>ROUND(((P13*I13)+(Q13*J13)+(R13*K13)+(S13*L13)+(T13*M13)),3)</f>
        <v>0</v>
      </c>
      <c r="V13" s="41">
        <f>IF(U13&gt;=8,8,U13)</f>
        <v>0</v>
      </c>
      <c r="W13" s="42"/>
      <c r="X13" s="42"/>
      <c r="Y13" s="42"/>
      <c r="Z13" s="51"/>
      <c r="AA13" s="42"/>
      <c r="AB13" s="73" t="e">
        <f>(((((W13*I13)+(X13*J13)+(Y13*K13)+(Z13*L13)+(AA13*M13))/$L$2)))</f>
        <v>#DIV/0!</v>
      </c>
      <c r="AC13" s="78" t="e">
        <f>ROUND(11*AB13,3)</f>
        <v>#DIV/0!</v>
      </c>
      <c r="AD13" s="75" t="e">
        <f>IF(AC13&gt;=11,11,AC13)</f>
        <v>#DIV/0!</v>
      </c>
      <c r="AE13" s="116">
        <f>IF(U14&gt;=94,4,IF(U14&gt;=91,3.9,IF(U14&gt;=88,3.8,IF(U14&gt;=85,3.7,3.6))))</f>
        <v>3.6</v>
      </c>
      <c r="AF13" s="43">
        <v>0.2</v>
      </c>
      <c r="AG13" s="117">
        <v>17</v>
      </c>
      <c r="AH13" s="44" t="e">
        <f>V13+AD13+AG13+AE13+AF13</f>
        <v>#DIV/0!</v>
      </c>
      <c r="AI13" s="41" t="e">
        <f>IF(AH13&gt;=40,40,AH13)</f>
        <v>#DIV/0!</v>
      </c>
      <c r="AJ13" s="45"/>
      <c r="AK13" s="46"/>
      <c r="AL13" s="47"/>
      <c r="AM13" s="48">
        <f>100%+AL13</f>
        <v>1</v>
      </c>
      <c r="AN13" s="49">
        <f>ROUNDUP((($E$2*AM13-$AN$4)*AJ13+$AN$4),-3)</f>
        <v>0</v>
      </c>
      <c r="AO13" s="50"/>
    </row>
    <row r="14" spans="1:41" s="22" customFormat="1" ht="26.25" customHeight="1" x14ac:dyDescent="0.15">
      <c r="A14" s="91"/>
      <c r="B14" s="89"/>
      <c r="C14" s="174" t="s">
        <v>48</v>
      </c>
      <c r="D14" s="175"/>
      <c r="E14" s="175"/>
      <c r="F14" s="175"/>
      <c r="G14" s="176"/>
      <c r="H14" s="34"/>
      <c r="I14" s="57"/>
      <c r="J14" s="61"/>
      <c r="K14" s="61"/>
      <c r="L14" s="61"/>
      <c r="M14" s="85"/>
      <c r="N14" s="62"/>
      <c r="O14" s="37"/>
      <c r="P14" s="199"/>
      <c r="Q14" s="199"/>
      <c r="R14" s="199"/>
      <c r="S14" s="199"/>
      <c r="T14" s="201"/>
      <c r="U14" s="77">
        <f>(I13*P14)+(J13*Q14)+(K13*R14)+(L13*S14)+(M13*T14)</f>
        <v>0</v>
      </c>
      <c r="V14" s="41"/>
      <c r="W14" s="42"/>
      <c r="X14" s="42"/>
      <c r="Y14" s="42"/>
      <c r="Z14" s="42"/>
      <c r="AA14" s="42"/>
      <c r="AB14" s="73"/>
      <c r="AC14" s="78"/>
      <c r="AD14" s="74"/>
      <c r="AE14" s="116"/>
      <c r="AF14" s="43"/>
      <c r="AG14" s="65"/>
      <c r="AH14" s="44"/>
      <c r="AI14" s="41"/>
      <c r="AJ14" s="45"/>
      <c r="AK14" s="46"/>
      <c r="AL14" s="47"/>
      <c r="AM14" s="48"/>
      <c r="AN14" s="49"/>
      <c r="AO14" s="50"/>
    </row>
    <row r="15" spans="1:41" s="22" customFormat="1" ht="48.75" customHeight="1" x14ac:dyDescent="0.15">
      <c r="A15" s="90"/>
      <c r="B15" s="88"/>
      <c r="C15" s="189"/>
      <c r="D15" s="189"/>
      <c r="E15" s="191"/>
      <c r="F15" s="192"/>
      <c r="G15" s="193"/>
      <c r="H15" s="34"/>
      <c r="I15" s="35"/>
      <c r="J15" s="36"/>
      <c r="K15" s="36"/>
      <c r="L15" s="36"/>
      <c r="M15" s="86"/>
      <c r="N15" s="62">
        <f>SUM(I15:M15)</f>
        <v>0</v>
      </c>
      <c r="O15" s="37"/>
      <c r="P15" s="198"/>
      <c r="Q15" s="199"/>
      <c r="R15" s="199"/>
      <c r="S15" s="199"/>
      <c r="T15" s="199"/>
      <c r="U15" s="40">
        <f>ROUND(((P15*I15)+(Q15*J15)+(R15*K15)+(S15*L15)+(T15*M15)),3)</f>
        <v>0</v>
      </c>
      <c r="V15" s="41">
        <f>IF(U15&gt;=8,8,U15)</f>
        <v>0</v>
      </c>
      <c r="W15" s="42"/>
      <c r="X15" s="42"/>
      <c r="Y15" s="42"/>
      <c r="Z15" s="42"/>
      <c r="AA15" s="42"/>
      <c r="AB15" s="73" t="e">
        <f>(((((W15*I15)+(X15*J15)+(Y15*K15)+(Z15*L15)+(AA15*M15))/$L$2)))</f>
        <v>#DIV/0!</v>
      </c>
      <c r="AC15" s="78" t="e">
        <f t="shared" ref="AC15" si="6">ROUND(11*AB15,3)</f>
        <v>#DIV/0!</v>
      </c>
      <c r="AD15" s="75" t="e">
        <f t="shared" ref="AD15" si="7">IF(AC15&gt;=11,11,AC15)</f>
        <v>#DIV/0!</v>
      </c>
      <c r="AE15" s="116">
        <f>IF(U16&gt;=94,4,IF(U16&gt;=91,3.9,IF(U16&gt;=88,3.8,IF(U16&gt;=85,3.7,3.6))))</f>
        <v>3.6</v>
      </c>
      <c r="AF15" s="43">
        <v>0.3</v>
      </c>
      <c r="AG15" s="117">
        <v>17</v>
      </c>
      <c r="AH15" s="44" t="e">
        <f>V15+AD15+AG15+AE15+AF15</f>
        <v>#DIV/0!</v>
      </c>
      <c r="AI15" s="41" t="e">
        <f>IF(AH15&gt;=40,40,AH15)</f>
        <v>#DIV/0!</v>
      </c>
      <c r="AJ15" s="45"/>
      <c r="AK15" s="46"/>
      <c r="AL15" s="47"/>
      <c r="AM15" s="48">
        <f>100%+AL15</f>
        <v>1</v>
      </c>
      <c r="AN15" s="49">
        <f>ROUNDUP((($E$2*AM15-$AN$4)*AJ15+$AN$4),-3)</f>
        <v>0</v>
      </c>
      <c r="AO15" s="50"/>
    </row>
    <row r="16" spans="1:41" s="22" customFormat="1" ht="26.25" customHeight="1" x14ac:dyDescent="0.15">
      <c r="A16" s="91"/>
      <c r="B16" s="89"/>
      <c r="C16" s="174" t="s">
        <v>48</v>
      </c>
      <c r="D16" s="175"/>
      <c r="E16" s="175"/>
      <c r="F16" s="175"/>
      <c r="G16" s="176"/>
      <c r="H16" s="34"/>
      <c r="I16" s="57"/>
      <c r="J16" s="61"/>
      <c r="K16" s="61"/>
      <c r="L16" s="61"/>
      <c r="M16" s="85"/>
      <c r="N16" s="62"/>
      <c r="O16" s="37"/>
      <c r="P16" s="200"/>
      <c r="Q16" s="201"/>
      <c r="R16" s="201"/>
      <c r="S16" s="201"/>
      <c r="T16" s="201"/>
      <c r="U16" s="77">
        <f>(I15*P16)+(J15*Q16)+(K15*R16)+(L15*S16)+(M15*T16)</f>
        <v>0</v>
      </c>
      <c r="V16" s="41"/>
      <c r="W16" s="42"/>
      <c r="X16" s="42"/>
      <c r="Y16" s="42"/>
      <c r="Z16" s="42"/>
      <c r="AA16" s="42"/>
      <c r="AB16" s="73"/>
      <c r="AC16" s="78"/>
      <c r="AD16" s="74"/>
      <c r="AE16" s="116"/>
      <c r="AF16" s="43"/>
      <c r="AG16" s="65"/>
      <c r="AH16" s="44"/>
      <c r="AI16" s="41"/>
      <c r="AJ16" s="45"/>
      <c r="AK16" s="46"/>
      <c r="AL16" s="47"/>
      <c r="AM16" s="48"/>
      <c r="AN16" s="49"/>
      <c r="AO16" s="50"/>
    </row>
    <row r="17" spans="1:41" s="22" customFormat="1" ht="48.75" customHeight="1" x14ac:dyDescent="0.15">
      <c r="A17" s="90"/>
      <c r="B17" s="88"/>
      <c r="C17" s="191"/>
      <c r="D17" s="192"/>
      <c r="E17" s="191"/>
      <c r="F17" s="189"/>
      <c r="G17" s="190"/>
      <c r="H17" s="58"/>
      <c r="I17" s="35"/>
      <c r="J17" s="36"/>
      <c r="K17" s="36"/>
      <c r="L17" s="36"/>
      <c r="M17" s="86"/>
      <c r="N17" s="62">
        <f>SUM(I17:M17)</f>
        <v>0</v>
      </c>
      <c r="O17" s="37"/>
      <c r="P17" s="198"/>
      <c r="Q17" s="199"/>
      <c r="R17" s="199"/>
      <c r="S17" s="199"/>
      <c r="T17" s="199"/>
      <c r="U17" s="40">
        <f>ROUND(((P17*I17)+(Q17*J17)+(R17*K17)+(S17*L17)+(T17*M17)),3)</f>
        <v>0</v>
      </c>
      <c r="V17" s="41">
        <f>IF(U17&gt;=8,8,U17)</f>
        <v>0</v>
      </c>
      <c r="W17" s="42"/>
      <c r="X17" s="42"/>
      <c r="Y17" s="42"/>
      <c r="Z17" s="42"/>
      <c r="AA17" s="42"/>
      <c r="AB17" s="73" t="e">
        <f>(((((W17*I17)+(X17*J17)+(Y17*K17)+(Z17*L17)+(AA17*M17))/$L$2)))</f>
        <v>#DIV/0!</v>
      </c>
      <c r="AC17" s="78" t="e">
        <f t="shared" ref="AC17" si="8">ROUND(11*AB17,3)</f>
        <v>#DIV/0!</v>
      </c>
      <c r="AD17" s="75" t="e">
        <f t="shared" ref="AD17" si="9">IF(AC17&gt;=11,11,AC17)</f>
        <v>#DIV/0!</v>
      </c>
      <c r="AE17" s="116">
        <f>IF(U18&gt;=94,4,IF(U18&gt;=91,3.9,IF(U18&gt;=88,3.8,IF(U18&gt;=85,3.7,3.6))))</f>
        <v>3.6</v>
      </c>
      <c r="AF17" s="43">
        <v>0.3</v>
      </c>
      <c r="AG17" s="117">
        <v>17</v>
      </c>
      <c r="AH17" s="44" t="e">
        <f>V17+AD17+AG17+AE17+AF17</f>
        <v>#DIV/0!</v>
      </c>
      <c r="AI17" s="41" t="e">
        <f>IF(AH17&gt;=40,40,AH17)</f>
        <v>#DIV/0!</v>
      </c>
      <c r="AJ17" s="45"/>
      <c r="AK17" s="46"/>
      <c r="AL17" s="47"/>
      <c r="AM17" s="48">
        <f>100%+AL17</f>
        <v>1</v>
      </c>
      <c r="AN17" s="49">
        <f>ROUNDUP((($E$2*AM17-$AN$4)*AJ17+$AN$4),-3)</f>
        <v>0</v>
      </c>
      <c r="AO17" s="50"/>
    </row>
    <row r="18" spans="1:41" s="22" customFormat="1" ht="26.25" customHeight="1" x14ac:dyDescent="0.15">
      <c r="A18" s="91"/>
      <c r="B18" s="89"/>
      <c r="C18" s="174" t="s">
        <v>48</v>
      </c>
      <c r="D18" s="175"/>
      <c r="E18" s="175"/>
      <c r="F18" s="175"/>
      <c r="G18" s="176"/>
      <c r="H18" s="34"/>
      <c r="I18" s="57"/>
      <c r="J18" s="61"/>
      <c r="K18" s="61"/>
      <c r="L18" s="61"/>
      <c r="M18" s="85"/>
      <c r="N18" s="62"/>
      <c r="O18" s="37"/>
      <c r="P18" s="199"/>
      <c r="Q18" s="199"/>
      <c r="R18" s="200"/>
      <c r="S18" s="201"/>
      <c r="T18" s="201"/>
      <c r="U18" s="77">
        <f>(I17*P18)+(J17*Q18)+(K17*R18)+(L17*S18)+(M17*T18)</f>
        <v>0</v>
      </c>
      <c r="V18" s="41"/>
      <c r="W18" s="42"/>
      <c r="X18" s="42"/>
      <c r="Y18" s="42"/>
      <c r="Z18" s="42"/>
      <c r="AA18" s="42"/>
      <c r="AB18" s="73"/>
      <c r="AC18" s="78"/>
      <c r="AD18" s="74"/>
      <c r="AE18" s="116"/>
      <c r="AF18" s="43"/>
      <c r="AG18" s="65"/>
      <c r="AH18" s="44"/>
      <c r="AI18" s="41"/>
      <c r="AJ18" s="45"/>
      <c r="AK18" s="46"/>
      <c r="AL18" s="47"/>
      <c r="AM18" s="48"/>
      <c r="AN18" s="49"/>
      <c r="AO18" s="50"/>
    </row>
    <row r="19" spans="1:41" s="22" customFormat="1" ht="54" customHeight="1" x14ac:dyDescent="0.15">
      <c r="A19" s="90"/>
      <c r="B19" s="88"/>
      <c r="C19" s="92"/>
      <c r="D19" s="102"/>
      <c r="E19" s="100"/>
      <c r="F19" s="96"/>
      <c r="G19" s="107"/>
      <c r="H19" s="34"/>
      <c r="I19" s="35"/>
      <c r="J19" s="36"/>
      <c r="K19" s="36"/>
      <c r="L19" s="36"/>
      <c r="M19" s="86"/>
      <c r="N19" s="62">
        <f>SUM(I19:M19)</f>
        <v>0</v>
      </c>
      <c r="O19" s="37"/>
      <c r="P19" s="198"/>
      <c r="Q19" s="199"/>
      <c r="R19" s="199"/>
      <c r="S19" s="199"/>
      <c r="T19" s="199"/>
      <c r="U19" s="40">
        <f>ROUND(((P19*I19)+(Q19*J19)+(R19*K19)+(S19*L19)+(T19*M19)),3)</f>
        <v>0</v>
      </c>
      <c r="V19" s="41">
        <f>IF(U19&gt;=8,8,U19)</f>
        <v>0</v>
      </c>
      <c r="W19" s="42"/>
      <c r="X19" s="42"/>
      <c r="Y19" s="42"/>
      <c r="Z19" s="51"/>
      <c r="AA19" s="42"/>
      <c r="AB19" s="73" t="e">
        <f>(((((W19*I19)+(X19*J19)+(Y19*K19)+(Z19*L19)+(AA19*M19))/$L$2)))</f>
        <v>#DIV/0!</v>
      </c>
      <c r="AC19" s="78" t="e">
        <f>ROUND(11*AB19,3)</f>
        <v>#DIV/0!</v>
      </c>
      <c r="AD19" s="75" t="e">
        <f t="shared" ref="AD19" si="10">IF(AC19&gt;=11,11,AC19)</f>
        <v>#DIV/0!</v>
      </c>
      <c r="AE19" s="116">
        <f>IF(U20&gt;=94,4,IF(U20&gt;=91,3.9,IF(U20&gt;=88,3.8,IF(U20&gt;=85,3.7,3.6))))</f>
        <v>3.6</v>
      </c>
      <c r="AF19" s="43">
        <v>0.3</v>
      </c>
      <c r="AG19" s="117">
        <v>17</v>
      </c>
      <c r="AH19" s="44" t="e">
        <f>V19+AD19+AG19+AE19+AF19</f>
        <v>#DIV/0!</v>
      </c>
      <c r="AI19" s="41" t="e">
        <f>IF(AH19&gt;=40,40,AH19)</f>
        <v>#DIV/0!</v>
      </c>
      <c r="AJ19" s="45"/>
      <c r="AK19" s="46"/>
      <c r="AL19" s="47"/>
      <c r="AM19" s="48">
        <f>100%+AL19</f>
        <v>1</v>
      </c>
      <c r="AN19" s="49">
        <f>ROUNDUP((($E$2*AM19-$AN$4)*AJ19+$AN$4),-3)</f>
        <v>0</v>
      </c>
      <c r="AO19" s="50"/>
    </row>
    <row r="20" spans="1:41" s="22" customFormat="1" ht="26.25" customHeight="1" x14ac:dyDescent="0.15">
      <c r="A20" s="91"/>
      <c r="B20" s="89"/>
      <c r="C20" s="172" t="s">
        <v>48</v>
      </c>
      <c r="D20" s="173"/>
      <c r="E20" s="173"/>
      <c r="F20" s="173"/>
      <c r="G20" s="182"/>
      <c r="H20" s="34"/>
      <c r="I20" s="57"/>
      <c r="J20" s="61"/>
      <c r="K20" s="61"/>
      <c r="L20" s="61"/>
      <c r="M20" s="85"/>
      <c r="N20" s="62"/>
      <c r="O20" s="37"/>
      <c r="P20" s="63"/>
      <c r="Q20" s="63"/>
      <c r="R20" s="63"/>
      <c r="S20" s="63"/>
      <c r="T20" s="40"/>
      <c r="U20" s="77">
        <f>(I19*P20)+(J19*Q20)+(K19*R20)+(L19*S20)+(M19*T20)</f>
        <v>0</v>
      </c>
      <c r="V20" s="41"/>
      <c r="W20" s="42"/>
      <c r="X20" s="42"/>
      <c r="Y20" s="42"/>
      <c r="Z20" s="42"/>
      <c r="AA20" s="42"/>
      <c r="AB20" s="73"/>
      <c r="AC20" s="78"/>
      <c r="AD20" s="74"/>
      <c r="AE20" s="116"/>
      <c r="AF20" s="43"/>
      <c r="AG20" s="65"/>
      <c r="AH20" s="44"/>
      <c r="AI20" s="41"/>
      <c r="AJ20" s="45"/>
      <c r="AK20" s="46"/>
      <c r="AL20" s="47"/>
      <c r="AM20" s="48"/>
      <c r="AN20" s="49"/>
      <c r="AO20" s="50"/>
    </row>
    <row r="21" spans="1:41" s="22" customFormat="1" ht="51.75" customHeight="1" x14ac:dyDescent="0.15">
      <c r="A21" s="90"/>
      <c r="B21" s="88"/>
      <c r="C21" s="104"/>
      <c r="D21" s="92"/>
      <c r="E21" s="96"/>
      <c r="F21" s="96"/>
      <c r="G21" s="120"/>
      <c r="H21" s="34"/>
      <c r="I21" s="94"/>
      <c r="J21" s="95"/>
      <c r="K21" s="95"/>
      <c r="L21" s="95"/>
      <c r="M21" s="122"/>
      <c r="N21" s="121">
        <f>SUM(I21:M21)</f>
        <v>0</v>
      </c>
      <c r="O21" s="37"/>
      <c r="P21" s="38"/>
      <c r="Q21" s="38"/>
      <c r="R21" s="39"/>
      <c r="S21" s="39"/>
      <c r="T21" s="39"/>
      <c r="U21" s="40">
        <f>ROUND(((P21*I21)+(Q21*J21)+(R21*K21)+(S21*L21)+(T21*M21)),3)</f>
        <v>0</v>
      </c>
      <c r="V21" s="41">
        <f>IF(U21&gt;=8,8,U21)</f>
        <v>0</v>
      </c>
      <c r="W21" s="42"/>
      <c r="X21" s="42"/>
      <c r="Y21" s="51"/>
      <c r="Z21" s="42"/>
      <c r="AA21" s="42"/>
      <c r="AB21" s="73" t="e">
        <f>(((((W21*I21)+(X21*J21)+(Y21*K21)+(Z21*L21)+(AA21*M21))/$L$2)))</f>
        <v>#DIV/0!</v>
      </c>
      <c r="AC21" s="78" t="e">
        <f>ROUND(11*AB21,3)</f>
        <v>#DIV/0!</v>
      </c>
      <c r="AD21" s="75" t="e">
        <f t="shared" ref="AD21" si="11">IF(AC21&gt;=11,11,AC21)</f>
        <v>#DIV/0!</v>
      </c>
      <c r="AE21" s="116">
        <f>IF(U22&gt;=94,4,IF(U22&gt;=91,3.9,IF(U22&gt;=88,3.8,IF(U22&gt;=85,3.7,3.6))))</f>
        <v>3.6</v>
      </c>
      <c r="AF21" s="43">
        <v>0.3</v>
      </c>
      <c r="AG21" s="117">
        <v>17</v>
      </c>
      <c r="AH21" s="44" t="e">
        <f>V21+AD21+AG21+AE21+AF21</f>
        <v>#DIV/0!</v>
      </c>
      <c r="AI21" s="41" t="e">
        <f>IF(AH21&gt;=40,40,AH21)</f>
        <v>#DIV/0!</v>
      </c>
      <c r="AJ21" s="45"/>
      <c r="AK21" s="46"/>
      <c r="AL21" s="47"/>
      <c r="AM21" s="48"/>
      <c r="AN21" s="49"/>
      <c r="AO21" s="50"/>
    </row>
    <row r="22" spans="1:41" s="22" customFormat="1" ht="26.25" customHeight="1" x14ac:dyDescent="0.15">
      <c r="A22" s="91"/>
      <c r="B22" s="89"/>
      <c r="C22" s="172" t="s">
        <v>48</v>
      </c>
      <c r="D22" s="173"/>
      <c r="E22" s="173"/>
      <c r="F22" s="173"/>
      <c r="G22" s="182"/>
      <c r="H22" s="97"/>
      <c r="I22" s="98"/>
      <c r="J22" s="99"/>
      <c r="K22" s="99"/>
      <c r="L22" s="99"/>
      <c r="M22" s="123"/>
      <c r="N22" s="121"/>
      <c r="O22" s="37"/>
      <c r="P22" s="40"/>
      <c r="Q22" s="40"/>
      <c r="R22" s="40"/>
      <c r="S22" s="40"/>
      <c r="T22" s="40"/>
      <c r="U22" s="77">
        <f>(I21*P22)+(J21*Q22)+(K21*R22)+(L21*S22)+(M21*T22)</f>
        <v>0</v>
      </c>
      <c r="V22" s="41"/>
      <c r="W22" s="42"/>
      <c r="X22" s="42"/>
      <c r="Y22" s="42"/>
      <c r="Z22" s="42"/>
      <c r="AA22" s="42"/>
      <c r="AB22" s="73"/>
      <c r="AC22" s="78"/>
      <c r="AD22" s="74"/>
      <c r="AE22" s="116"/>
      <c r="AF22" s="43"/>
      <c r="AG22" s="65"/>
      <c r="AH22" s="44"/>
      <c r="AI22" s="41"/>
      <c r="AJ22" s="45"/>
      <c r="AK22" s="46"/>
      <c r="AL22" s="47"/>
      <c r="AM22" s="48"/>
      <c r="AN22" s="49"/>
      <c r="AO22" s="50"/>
    </row>
    <row r="23" spans="1:41" s="22" customFormat="1" ht="48.75" customHeight="1" x14ac:dyDescent="0.15">
      <c r="A23" s="90"/>
      <c r="B23" s="88"/>
      <c r="C23" s="100"/>
      <c r="D23" s="96"/>
      <c r="E23" s="92"/>
      <c r="F23" s="105"/>
      <c r="G23" s="128"/>
      <c r="H23" s="58"/>
      <c r="I23" s="35"/>
      <c r="J23" s="36"/>
      <c r="K23" s="36"/>
      <c r="L23" s="36"/>
      <c r="M23" s="86"/>
      <c r="N23" s="62">
        <f>SUM(I23:M23)</f>
        <v>0</v>
      </c>
      <c r="O23" s="37"/>
      <c r="P23" s="38"/>
      <c r="Q23" s="39"/>
      <c r="R23" s="39"/>
      <c r="S23" s="39"/>
      <c r="T23" s="39"/>
      <c r="U23" s="40">
        <f>ROUND(((P23*I23)+(Q23*J23)+(R23*K23)+(S23*L23)+(T23*M23)),3)</f>
        <v>0</v>
      </c>
      <c r="V23" s="41">
        <f>IF(U23&gt;=8,8,U23)</f>
        <v>0</v>
      </c>
      <c r="W23" s="42"/>
      <c r="X23" s="42"/>
      <c r="Y23" s="42"/>
      <c r="Z23" s="42"/>
      <c r="AA23" s="42"/>
      <c r="AB23" s="73" t="e">
        <f>(((((W23*I23)+(X23*J23)+(Y23*K23)+(Z23*L23)+(AA23*M23))/$L$2)))</f>
        <v>#DIV/0!</v>
      </c>
      <c r="AC23" s="78" t="e">
        <f t="shared" ref="AC23" si="12">ROUND(11*AB23,3)</f>
        <v>#DIV/0!</v>
      </c>
      <c r="AD23" s="75" t="e">
        <f t="shared" ref="AD23" si="13">IF(AC23&gt;=11,11,AC23)</f>
        <v>#DIV/0!</v>
      </c>
      <c r="AE23" s="116">
        <f>IF(U24&gt;=94,4,IF(U24&gt;=91,3.9,IF(U24&gt;=88,3.8,IF(U24&gt;=85,3.7,3.6))))</f>
        <v>3.6</v>
      </c>
      <c r="AF23" s="43">
        <v>0.3</v>
      </c>
      <c r="AG23" s="117">
        <v>17</v>
      </c>
      <c r="AH23" s="44" t="e">
        <f>V23+AD23+AG23+AE23+AF23</f>
        <v>#DIV/0!</v>
      </c>
      <c r="AI23" s="41" t="e">
        <f>IF(AH23&gt;=40,40,AH23)</f>
        <v>#DIV/0!</v>
      </c>
      <c r="AJ23" s="45"/>
      <c r="AK23" s="46"/>
      <c r="AL23" s="47"/>
      <c r="AM23" s="48"/>
      <c r="AN23" s="49"/>
      <c r="AO23" s="50"/>
    </row>
    <row r="24" spans="1:41" s="22" customFormat="1" ht="26.25" customHeight="1" x14ac:dyDescent="0.15">
      <c r="A24" s="91"/>
      <c r="B24" s="89"/>
      <c r="C24" s="172" t="s">
        <v>48</v>
      </c>
      <c r="D24" s="173"/>
      <c r="E24" s="173"/>
      <c r="F24" s="173"/>
      <c r="G24" s="182"/>
      <c r="H24" s="34"/>
      <c r="I24" s="57"/>
      <c r="J24" s="61"/>
      <c r="K24" s="61"/>
      <c r="L24" s="61"/>
      <c r="M24" s="85"/>
      <c r="N24" s="62"/>
      <c r="O24" s="37"/>
      <c r="P24" s="63"/>
      <c r="Q24" s="40"/>
      <c r="R24" s="39"/>
      <c r="S24" s="40"/>
      <c r="T24" s="40"/>
      <c r="U24" s="77">
        <f>(I23*P24)+(J23*Q24)+(K23*R24)+(L23*S24)+(M23*T24)</f>
        <v>0</v>
      </c>
      <c r="V24" s="41"/>
      <c r="W24" s="42"/>
      <c r="X24" s="42"/>
      <c r="Y24" s="42"/>
      <c r="Z24" s="42"/>
      <c r="AA24" s="42"/>
      <c r="AB24" s="73"/>
      <c r="AC24" s="78"/>
      <c r="AD24" s="74"/>
      <c r="AE24" s="116"/>
      <c r="AF24" s="43"/>
      <c r="AG24" s="65"/>
      <c r="AH24" s="44"/>
      <c r="AI24" s="41"/>
      <c r="AJ24" s="45"/>
      <c r="AK24" s="46"/>
      <c r="AL24" s="47"/>
      <c r="AM24" s="48"/>
      <c r="AN24" s="49"/>
      <c r="AO24" s="50"/>
    </row>
    <row r="25" spans="1:41" s="22" customFormat="1" ht="48.75" customHeight="1" x14ac:dyDescent="0.15">
      <c r="A25" s="90"/>
      <c r="B25" s="88"/>
      <c r="C25" s="100"/>
      <c r="D25" s="101"/>
      <c r="E25" s="101"/>
      <c r="F25" s="101"/>
      <c r="G25" s="120"/>
      <c r="H25" s="34"/>
      <c r="I25" s="35"/>
      <c r="J25" s="36"/>
      <c r="K25" s="36"/>
      <c r="L25" s="36"/>
      <c r="M25" s="86"/>
      <c r="N25" s="62">
        <f>SUM(I25:M25)</f>
        <v>0</v>
      </c>
      <c r="O25" s="37"/>
      <c r="P25" s="38"/>
      <c r="Q25" s="39"/>
      <c r="R25" s="39"/>
      <c r="S25" s="39"/>
      <c r="T25" s="39"/>
      <c r="U25" s="40">
        <f>ROUND(((P25*I25)+(Q25*J25)+(R25*K25)+(S25*L25)+(T25*M25)),3)</f>
        <v>0</v>
      </c>
      <c r="V25" s="41">
        <f>IF(U25&gt;=8,8,U25)</f>
        <v>0</v>
      </c>
      <c r="W25" s="42"/>
      <c r="X25" s="42"/>
      <c r="Y25" s="42"/>
      <c r="Z25" s="42"/>
      <c r="AA25" s="42"/>
      <c r="AB25" s="73" t="e">
        <f>(((((W25*I25)+(X25*J25)+(Y25*K25)+(Z25*L25)+(AA25*M25))/$L$2)))</f>
        <v>#DIV/0!</v>
      </c>
      <c r="AC25" s="78" t="e">
        <f>ROUND(11*AB25,3)</f>
        <v>#DIV/0!</v>
      </c>
      <c r="AD25" s="75" t="e">
        <f>IF(AC25&gt;=11,11,AC25)</f>
        <v>#DIV/0!</v>
      </c>
      <c r="AE25" s="116">
        <f>IF(U26&gt;=94,4,IF(U26&gt;=91,3.9,IF(U26&gt;=88,3.8,IF(U26&gt;=85,3.7,3.6))))</f>
        <v>3.6</v>
      </c>
      <c r="AF25" s="43">
        <v>0.3</v>
      </c>
      <c r="AG25" s="117">
        <v>17</v>
      </c>
      <c r="AH25" s="44" t="e">
        <f>V25+AD25+AG25+AE25+AF25</f>
        <v>#DIV/0!</v>
      </c>
      <c r="AI25" s="41" t="e">
        <f>IF(AH25&gt;=40,40,AH25)</f>
        <v>#DIV/0!</v>
      </c>
      <c r="AJ25" s="45"/>
      <c r="AK25" s="46"/>
      <c r="AL25" s="47"/>
      <c r="AM25" s="48"/>
      <c r="AN25" s="49"/>
      <c r="AO25" s="50"/>
    </row>
    <row r="26" spans="1:41" s="22" customFormat="1" ht="26.25" customHeight="1" x14ac:dyDescent="0.15">
      <c r="A26" s="91"/>
      <c r="B26" s="89"/>
      <c r="C26" s="172" t="s">
        <v>48</v>
      </c>
      <c r="D26" s="173"/>
      <c r="E26" s="173"/>
      <c r="F26" s="173"/>
      <c r="G26" s="182"/>
      <c r="H26" s="34"/>
      <c r="I26" s="57"/>
      <c r="J26" s="61"/>
      <c r="K26" s="61"/>
      <c r="L26" s="61"/>
      <c r="M26" s="85"/>
      <c r="N26" s="62"/>
      <c r="O26" s="37"/>
      <c r="P26" s="39"/>
      <c r="Q26" s="39"/>
      <c r="R26" s="39"/>
      <c r="S26" s="39"/>
      <c r="T26" s="40"/>
      <c r="U26" s="77">
        <f>(I25*P26)+(J25*Q26)+(K25*R26)+(L25*S26)+(M25*T26)</f>
        <v>0</v>
      </c>
      <c r="V26" s="41"/>
      <c r="W26" s="42"/>
      <c r="X26" s="42"/>
      <c r="Y26" s="42"/>
      <c r="Z26" s="42"/>
      <c r="AA26" s="42"/>
      <c r="AB26" s="73"/>
      <c r="AC26" s="78"/>
      <c r="AD26" s="74"/>
      <c r="AE26" s="116"/>
      <c r="AF26" s="43"/>
      <c r="AG26" s="65"/>
      <c r="AH26" s="44"/>
      <c r="AI26" s="41"/>
      <c r="AJ26" s="45"/>
      <c r="AK26" s="46"/>
      <c r="AL26" s="47"/>
      <c r="AM26" s="48"/>
      <c r="AN26" s="49"/>
      <c r="AO26" s="50"/>
    </row>
    <row r="27" spans="1:41" s="22" customFormat="1" ht="48.75" customHeight="1" x14ac:dyDescent="0.15">
      <c r="A27" s="90"/>
      <c r="B27" s="88"/>
      <c r="C27" s="96"/>
      <c r="D27" s="96"/>
      <c r="E27" s="96"/>
      <c r="F27" s="102"/>
      <c r="G27" s="129"/>
      <c r="H27" s="34"/>
      <c r="I27" s="35"/>
      <c r="J27" s="36"/>
      <c r="K27" s="36"/>
      <c r="L27" s="36"/>
      <c r="M27" s="86"/>
      <c r="N27" s="62">
        <f>SUM(I27:M27)</f>
        <v>0</v>
      </c>
      <c r="O27" s="37"/>
      <c r="P27" s="198"/>
      <c r="Q27" s="199"/>
      <c r="R27" s="199"/>
      <c r="S27" s="39"/>
      <c r="T27" s="39"/>
      <c r="U27" s="40">
        <f>ROUND(((P27*I27)+(Q27*J27)+(R27*K27)+(S27*L27)+(T27*M27)),3)</f>
        <v>0</v>
      </c>
      <c r="V27" s="41">
        <f>IF(U27&gt;=8,8,U27)</f>
        <v>0</v>
      </c>
      <c r="W27" s="42"/>
      <c r="X27" s="42"/>
      <c r="Y27" s="51"/>
      <c r="Z27" s="42"/>
      <c r="AA27" s="42"/>
      <c r="AB27" s="73" t="e">
        <f>(((((W27*I27)+(X27*J27)+(Y27*K27)+(Z27*L27)+(AA27*M27))/$L$2)))</f>
        <v>#DIV/0!</v>
      </c>
      <c r="AC27" s="78" t="e">
        <f t="shared" ref="AC27" si="14">ROUND(11*AB27,3)</f>
        <v>#DIV/0!</v>
      </c>
      <c r="AD27" s="75" t="e">
        <f t="shared" ref="AD27" si="15">IF(AC27&gt;=11,11,AC27)</f>
        <v>#DIV/0!</v>
      </c>
      <c r="AE27" s="116">
        <f>IF(U28&gt;=94,4,IF(U28&gt;=91,3.9,IF(U28&gt;=88,3.8,IF(U28&gt;=85,3.7,3.6))))</f>
        <v>3.6</v>
      </c>
      <c r="AF27" s="43">
        <v>0.3</v>
      </c>
      <c r="AG27" s="117">
        <v>17</v>
      </c>
      <c r="AH27" s="44" t="e">
        <f>V27+AD27+AG27+AE27+AF27</f>
        <v>#DIV/0!</v>
      </c>
      <c r="AI27" s="41" t="e">
        <f>IF(AH27&gt;=40,40,AH27)</f>
        <v>#DIV/0!</v>
      </c>
      <c r="AJ27" s="45"/>
      <c r="AK27" s="46"/>
      <c r="AL27" s="47"/>
      <c r="AM27" s="48">
        <f>100%+AL27</f>
        <v>1</v>
      </c>
      <c r="AN27" s="49">
        <f>ROUNDUP((($E$2*AM27-$AN$4)*AJ27+$AN$4),-3)</f>
        <v>0</v>
      </c>
      <c r="AO27" s="50"/>
    </row>
    <row r="28" spans="1:41" s="22" customFormat="1" ht="26.25" customHeight="1" x14ac:dyDescent="0.15">
      <c r="A28" s="91"/>
      <c r="B28" s="89"/>
      <c r="C28" s="174" t="s">
        <v>48</v>
      </c>
      <c r="D28" s="175"/>
      <c r="E28" s="175"/>
      <c r="F28" s="175"/>
      <c r="G28" s="176"/>
      <c r="H28" s="60"/>
      <c r="I28" s="57"/>
      <c r="J28" s="61"/>
      <c r="K28" s="61"/>
      <c r="L28" s="61"/>
      <c r="M28" s="131"/>
      <c r="N28" s="62"/>
      <c r="O28" s="37"/>
      <c r="P28" s="201"/>
      <c r="Q28" s="201"/>
      <c r="R28" s="201"/>
      <c r="S28" s="40"/>
      <c r="T28" s="40"/>
      <c r="U28" s="77">
        <f>(I27*P28)+(J27*Q28)+(K27*R28)+(L27*S28)+(M27*T28)</f>
        <v>0</v>
      </c>
      <c r="V28" s="41"/>
      <c r="W28" s="42"/>
      <c r="X28" s="42"/>
      <c r="Y28" s="42"/>
      <c r="Z28" s="42"/>
      <c r="AA28" s="42"/>
      <c r="AB28" s="73"/>
      <c r="AC28" s="78"/>
      <c r="AD28" s="74"/>
      <c r="AE28" s="116"/>
      <c r="AF28" s="43"/>
      <c r="AG28" s="65"/>
      <c r="AH28" s="44"/>
      <c r="AI28" s="41"/>
      <c r="AJ28" s="45"/>
      <c r="AK28" s="46"/>
      <c r="AL28" s="47"/>
      <c r="AM28" s="48"/>
      <c r="AN28" s="49"/>
      <c r="AO28" s="50"/>
    </row>
    <row r="29" spans="1:41" s="22" customFormat="1" ht="48.75" customHeight="1" x14ac:dyDescent="0.15">
      <c r="A29" s="90"/>
      <c r="B29" s="88"/>
      <c r="C29" s="189"/>
      <c r="D29" s="189"/>
      <c r="E29" s="192"/>
      <c r="F29" s="188"/>
      <c r="G29" s="190"/>
      <c r="H29" s="34"/>
      <c r="I29" s="35"/>
      <c r="J29" s="36"/>
      <c r="K29" s="36"/>
      <c r="L29" s="61"/>
      <c r="M29" s="86"/>
      <c r="N29" s="62">
        <f>SUM(I29:M29)</f>
        <v>0</v>
      </c>
      <c r="O29" s="37"/>
      <c r="P29" s="198"/>
      <c r="Q29" s="199"/>
      <c r="R29" s="199"/>
      <c r="S29" s="39"/>
      <c r="T29" s="39"/>
      <c r="U29" s="40">
        <f>ROUND(((P29*I29)+(Q29*J29)+(R29*K29)+(S29*L29)+(T29*M29)),3)</f>
        <v>0</v>
      </c>
      <c r="V29" s="41">
        <f>IF(U29&gt;=8,8,U29)</f>
        <v>0</v>
      </c>
      <c r="W29" s="42"/>
      <c r="X29" s="42"/>
      <c r="Y29" s="42"/>
      <c r="Z29" s="42"/>
      <c r="AA29" s="42"/>
      <c r="AB29" s="73" t="e">
        <f>(((((W29*I29)+(X29*J29)+(Y29*K29)+(Z29*L29)+(AA29*M29))/$L$2)))</f>
        <v>#DIV/0!</v>
      </c>
      <c r="AC29" s="78" t="e">
        <f>ROUND(11*AB29,3)</f>
        <v>#DIV/0!</v>
      </c>
      <c r="AD29" s="75" t="e">
        <f>IF(AC29&gt;=11,11,AC29)</f>
        <v>#DIV/0!</v>
      </c>
      <c r="AE29" s="116">
        <f>IF(U30&gt;=94,4,IF(U30&gt;=91,3.9,IF(U30&gt;=88,3.8,IF(U30&gt;=85,3.7,3.6))))</f>
        <v>3.6</v>
      </c>
      <c r="AF29" s="43">
        <v>0.3</v>
      </c>
      <c r="AG29" s="117">
        <v>17</v>
      </c>
      <c r="AH29" s="44" t="e">
        <f>V29+AD29+AG29+AE29+AF29</f>
        <v>#DIV/0!</v>
      </c>
      <c r="AI29" s="41" t="e">
        <f>IF(AH29&gt;=40,40,AH29)</f>
        <v>#DIV/0!</v>
      </c>
      <c r="AJ29" s="45"/>
      <c r="AK29" s="46"/>
      <c r="AL29" s="47"/>
      <c r="AM29" s="48">
        <f>100%+AL29</f>
        <v>1</v>
      </c>
      <c r="AN29" s="49">
        <f>ROUNDUP((($E$2*AM29-$AN$4)*AJ29+$AN$4),-3)</f>
        <v>0</v>
      </c>
      <c r="AO29" s="50"/>
    </row>
    <row r="30" spans="1:41" s="22" customFormat="1" ht="26.25" customHeight="1" x14ac:dyDescent="0.15">
      <c r="A30" s="91"/>
      <c r="B30" s="89"/>
      <c r="C30" s="172" t="s">
        <v>48</v>
      </c>
      <c r="D30" s="173"/>
      <c r="E30" s="173"/>
      <c r="F30" s="173"/>
      <c r="G30" s="182"/>
      <c r="H30" s="34"/>
      <c r="I30" s="57"/>
      <c r="J30" s="61"/>
      <c r="K30" s="61"/>
      <c r="L30" s="61"/>
      <c r="M30" s="85"/>
      <c r="N30" s="62"/>
      <c r="O30" s="37"/>
      <c r="P30" s="200"/>
      <c r="Q30" s="201"/>
      <c r="R30" s="201"/>
      <c r="S30" s="40"/>
      <c r="T30" s="40"/>
      <c r="U30" s="77">
        <f>(I29*P30)+(J29*Q30)+(K29*R30)+(L29*S30)+(M29*T30)</f>
        <v>0</v>
      </c>
      <c r="V30" s="41"/>
      <c r="W30" s="42"/>
      <c r="X30" s="42"/>
      <c r="Y30" s="42"/>
      <c r="Z30" s="42"/>
      <c r="AA30" s="42"/>
      <c r="AB30" s="73"/>
      <c r="AC30" s="78"/>
      <c r="AD30" s="74"/>
      <c r="AE30" s="116"/>
      <c r="AF30" s="43"/>
      <c r="AG30" s="65"/>
      <c r="AH30" s="44"/>
      <c r="AI30" s="41"/>
      <c r="AJ30" s="45"/>
      <c r="AK30" s="46"/>
      <c r="AL30" s="47"/>
      <c r="AM30" s="48"/>
      <c r="AN30" s="49"/>
      <c r="AO30" s="50"/>
    </row>
    <row r="31" spans="1:41" s="22" customFormat="1" ht="62.25" customHeight="1" x14ac:dyDescent="0.15">
      <c r="A31" s="90"/>
      <c r="B31" s="88"/>
      <c r="C31" s="92"/>
      <c r="D31" s="96"/>
      <c r="E31" s="96"/>
      <c r="F31" s="100"/>
      <c r="G31" s="120"/>
      <c r="H31" s="34"/>
      <c r="I31" s="94"/>
      <c r="J31" s="95"/>
      <c r="K31" s="95"/>
      <c r="L31" s="95"/>
      <c r="M31" s="122"/>
      <c r="N31" s="121">
        <f>SUM(I31:M31)</f>
        <v>0</v>
      </c>
      <c r="O31" s="37"/>
      <c r="P31" s="198"/>
      <c r="Q31" s="198"/>
      <c r="R31" s="199"/>
      <c r="S31" s="39"/>
      <c r="T31" s="39"/>
      <c r="U31" s="40">
        <f>ROUND(((P31*I31)+(Q31*J31)+(R31*K31)+(S31*L31)+(T31*M31)),3)</f>
        <v>0</v>
      </c>
      <c r="V31" s="41">
        <f>IF(U31&gt;=8,8,U31)</f>
        <v>0</v>
      </c>
      <c r="W31" s="42"/>
      <c r="X31" s="42"/>
      <c r="Y31" s="42"/>
      <c r="Z31" s="42"/>
      <c r="AA31" s="42"/>
      <c r="AB31" s="73" t="e">
        <f>(((((W31*I31)+(X31*J31)+(Y31*K31)+(Z31*L31)+(AA31*M31))/$L$2)))</f>
        <v>#DIV/0!</v>
      </c>
      <c r="AC31" s="78" t="e">
        <f>ROUND(11*AB31,3)</f>
        <v>#DIV/0!</v>
      </c>
      <c r="AD31" s="75" t="e">
        <f t="shared" ref="AD31" si="16">IF(AC31&gt;=11,11,AC31)</f>
        <v>#DIV/0!</v>
      </c>
      <c r="AE31" s="116">
        <f>IF(U32&gt;=94,4,IF(U32&gt;=91,3.9,IF(U32&gt;=88,3.8,IF(U32&gt;=85,3.7,3.6))))</f>
        <v>3.6</v>
      </c>
      <c r="AF31" s="43">
        <v>0.3</v>
      </c>
      <c r="AG31" s="117">
        <v>17</v>
      </c>
      <c r="AH31" s="44" t="e">
        <f>V31+AD31+AG31+AE31+AF31</f>
        <v>#DIV/0!</v>
      </c>
      <c r="AI31" s="41" t="e">
        <f>IF(AH31&gt;=40,40,AH31)</f>
        <v>#DIV/0!</v>
      </c>
      <c r="AJ31" s="45"/>
      <c r="AK31" s="46"/>
      <c r="AL31" s="47"/>
      <c r="AM31" s="48"/>
      <c r="AN31" s="49"/>
      <c r="AO31" s="50"/>
    </row>
    <row r="32" spans="1:41" s="22" customFormat="1" ht="26.25" customHeight="1" x14ac:dyDescent="0.15">
      <c r="A32" s="91"/>
      <c r="B32" s="89"/>
      <c r="C32" s="172" t="s">
        <v>48</v>
      </c>
      <c r="D32" s="173"/>
      <c r="E32" s="173"/>
      <c r="F32" s="173"/>
      <c r="G32" s="182"/>
      <c r="H32" s="97"/>
      <c r="I32" s="98"/>
      <c r="J32" s="99"/>
      <c r="K32" s="99"/>
      <c r="L32" s="99"/>
      <c r="M32" s="123"/>
      <c r="N32" s="121"/>
      <c r="O32" s="37"/>
      <c r="P32" s="200"/>
      <c r="Q32" s="201"/>
      <c r="R32" s="201"/>
      <c r="S32" s="40"/>
      <c r="T32" s="40"/>
      <c r="U32" s="77">
        <f>(I31*P32)+(J31*Q32)+(K31*R32)+(L31*S32)+(M31*T32)</f>
        <v>0</v>
      </c>
      <c r="V32" s="41"/>
      <c r="W32" s="42"/>
      <c r="X32" s="42"/>
      <c r="Y32" s="42"/>
      <c r="Z32" s="42"/>
      <c r="AA32" s="42"/>
      <c r="AB32" s="73"/>
      <c r="AC32" s="78"/>
      <c r="AD32" s="74"/>
      <c r="AE32" s="116"/>
      <c r="AF32" s="43"/>
      <c r="AG32" s="65"/>
      <c r="AH32" s="44"/>
      <c r="AI32" s="41"/>
      <c r="AJ32" s="45"/>
      <c r="AK32" s="46"/>
      <c r="AL32" s="47"/>
      <c r="AM32" s="48"/>
      <c r="AN32" s="49"/>
      <c r="AO32" s="50"/>
    </row>
    <row r="33" spans="1:41" s="22" customFormat="1" ht="52.5" customHeight="1" x14ac:dyDescent="0.15">
      <c r="A33" s="90"/>
      <c r="B33" s="88"/>
      <c r="C33" s="96"/>
      <c r="D33" s="92"/>
      <c r="E33" s="92"/>
      <c r="F33" s="92"/>
      <c r="G33" s="127"/>
      <c r="H33" s="34"/>
      <c r="I33" s="35"/>
      <c r="J33" s="36"/>
      <c r="K33" s="36"/>
      <c r="L33" s="36"/>
      <c r="M33" s="66"/>
      <c r="N33" s="62">
        <f>SUM(I33:M33)</f>
        <v>0</v>
      </c>
      <c r="O33" s="37"/>
      <c r="P33" s="38"/>
      <c r="Q33" s="39"/>
      <c r="R33" s="39"/>
      <c r="S33" s="39"/>
      <c r="T33" s="39"/>
      <c r="U33" s="40">
        <f>ROUND(((P33*I33)+(Q33*J33)+(R33*K33)+(S33*L33)+(T33*M33)),3)</f>
        <v>0</v>
      </c>
      <c r="V33" s="41">
        <f>IF(U33&gt;=8,8,U33)</f>
        <v>0</v>
      </c>
      <c r="W33" s="42"/>
      <c r="X33" s="42"/>
      <c r="Y33" s="42"/>
      <c r="Z33" s="42"/>
      <c r="AA33" s="42"/>
      <c r="AB33" s="73" t="e">
        <f>(((((W33*I33)+(X33*J33)+(Y33*K33)+(Z33*L33)+(AA33*M33))/$L$2)))</f>
        <v>#DIV/0!</v>
      </c>
      <c r="AC33" s="78" t="e">
        <f>ROUND(11*AB33,3)</f>
        <v>#DIV/0!</v>
      </c>
      <c r="AD33" s="75" t="e">
        <f>IF(AC33&gt;=11,11,AC33)</f>
        <v>#DIV/0!</v>
      </c>
      <c r="AE33" s="116">
        <f>IF(U34&gt;=94,4,IF(U34&gt;=91,3.9,IF(U34&gt;=88,3.8,IF(U34&gt;=85,3.7,3.6))))</f>
        <v>3.6</v>
      </c>
      <c r="AF33" s="43">
        <v>0.3</v>
      </c>
      <c r="AG33" s="117">
        <v>17</v>
      </c>
      <c r="AH33" s="44" t="e">
        <f>V33+AD33+AG33+AE33+AF33</f>
        <v>#DIV/0!</v>
      </c>
      <c r="AI33" s="41" t="e">
        <f>IF(AH33&gt;=40,40,AH33)</f>
        <v>#DIV/0!</v>
      </c>
      <c r="AJ33" s="45"/>
      <c r="AK33" s="46"/>
      <c r="AL33" s="47"/>
      <c r="AM33" s="48">
        <f>100%+AL33</f>
        <v>1</v>
      </c>
      <c r="AN33" s="49">
        <f>ROUNDUP((($E$2*AM33-$AN$4)*AJ33+$AN$4),-3)</f>
        <v>0</v>
      </c>
      <c r="AO33" s="50"/>
    </row>
    <row r="34" spans="1:41" s="22" customFormat="1" ht="26.25" customHeight="1" x14ac:dyDescent="0.15">
      <c r="A34" s="91"/>
      <c r="B34" s="89"/>
      <c r="C34" s="172" t="s">
        <v>48</v>
      </c>
      <c r="D34" s="173"/>
      <c r="E34" s="173"/>
      <c r="F34" s="173"/>
      <c r="G34" s="182"/>
      <c r="H34" s="34"/>
      <c r="I34" s="57"/>
      <c r="J34" s="61"/>
      <c r="K34" s="61"/>
      <c r="L34" s="61"/>
      <c r="M34" s="85"/>
      <c r="N34" s="62"/>
      <c r="O34" s="37"/>
      <c r="P34" s="40"/>
      <c r="Q34" s="40"/>
      <c r="R34" s="40"/>
      <c r="S34" s="40"/>
      <c r="T34" s="40"/>
      <c r="U34" s="77">
        <f>(I33*P34)+(J33*Q34)+(K33*R34)+(L33*S34)+(M33*T34)</f>
        <v>0</v>
      </c>
      <c r="V34" s="41"/>
      <c r="W34" s="42"/>
      <c r="X34" s="42"/>
      <c r="Y34" s="42"/>
      <c r="Z34" s="42"/>
      <c r="AA34" s="42"/>
      <c r="AB34" s="73"/>
      <c r="AC34" s="78"/>
      <c r="AD34" s="74"/>
      <c r="AE34" s="116"/>
      <c r="AF34" s="43"/>
      <c r="AG34" s="65"/>
      <c r="AH34" s="44"/>
      <c r="AI34" s="41"/>
      <c r="AJ34" s="45"/>
      <c r="AK34" s="46"/>
      <c r="AL34" s="47"/>
      <c r="AM34" s="48"/>
      <c r="AN34" s="49"/>
      <c r="AO34" s="50"/>
    </row>
    <row r="35" spans="1:41" s="22" customFormat="1" ht="48.75" customHeight="1" x14ac:dyDescent="0.15">
      <c r="A35" s="90"/>
      <c r="B35" s="88"/>
      <c r="C35" s="96"/>
      <c r="D35" s="103"/>
      <c r="E35" s="100"/>
      <c r="F35" s="92"/>
      <c r="G35" s="128"/>
      <c r="H35" s="34"/>
      <c r="I35" s="35"/>
      <c r="J35" s="36"/>
      <c r="K35" s="36"/>
      <c r="L35" s="61"/>
      <c r="M35" s="85"/>
      <c r="N35" s="62">
        <f>SUM(I35:M35)</f>
        <v>0</v>
      </c>
      <c r="O35" s="37"/>
      <c r="P35" s="198"/>
      <c r="Q35" s="199"/>
      <c r="R35" s="199"/>
      <c r="S35" s="199"/>
      <c r="T35" s="199"/>
      <c r="U35" s="40">
        <f>ROUND(((P35*I35)+(Q35*J35)+(R35*K35)+(S35*L35)+(T35*M35)),3)</f>
        <v>0</v>
      </c>
      <c r="V35" s="41">
        <f>IF(U35&gt;=8,8,U35)</f>
        <v>0</v>
      </c>
      <c r="W35" s="42"/>
      <c r="X35" s="42"/>
      <c r="Y35" s="42"/>
      <c r="Z35" s="42"/>
      <c r="AA35" s="42"/>
      <c r="AB35" s="73" t="e">
        <f>(((((W35*I35)+(X35*J35)+(Y35*K35)+(Z35*L35)+(AA35*M35))/$L$2)))</f>
        <v>#DIV/0!</v>
      </c>
      <c r="AC35" s="78" t="e">
        <f>ROUND(11*AB35,3)</f>
        <v>#DIV/0!</v>
      </c>
      <c r="AD35" s="75" t="e">
        <f t="shared" ref="AD35" si="17">IF(AC35&gt;=11,11,AC35)</f>
        <v>#DIV/0!</v>
      </c>
      <c r="AE35" s="116">
        <f>IF(U36&gt;=94,4,IF(U36&gt;=91,3.9,IF(U36&gt;=88,3.8,IF(U36&gt;=85,3.7,3.6))))</f>
        <v>3.6</v>
      </c>
      <c r="AF35" s="43">
        <v>0.3</v>
      </c>
      <c r="AG35" s="117">
        <v>17</v>
      </c>
      <c r="AH35" s="44" t="e">
        <f>V35+AD35+AG35+AE35+AF35</f>
        <v>#DIV/0!</v>
      </c>
      <c r="AI35" s="41" t="e">
        <f>IF(AH35&gt;=40,40,AH35)</f>
        <v>#DIV/0!</v>
      </c>
      <c r="AJ35" s="45"/>
      <c r="AK35" s="46"/>
      <c r="AL35" s="47"/>
      <c r="AM35" s="48">
        <f>100%+AL35</f>
        <v>1</v>
      </c>
      <c r="AN35" s="49">
        <f>ROUNDUP((($E$2*AM35-$AN$4)*AJ35+$AN$4),-3)</f>
        <v>0</v>
      </c>
      <c r="AO35" s="50"/>
    </row>
    <row r="36" spans="1:41" s="22" customFormat="1" ht="26.25" customHeight="1" x14ac:dyDescent="0.15">
      <c r="A36" s="91"/>
      <c r="B36" s="89"/>
      <c r="C36" s="172" t="s">
        <v>48</v>
      </c>
      <c r="D36" s="173"/>
      <c r="E36" s="173"/>
      <c r="F36" s="173"/>
      <c r="G36" s="182"/>
      <c r="H36" s="34"/>
      <c r="I36" s="57"/>
      <c r="J36" s="61"/>
      <c r="K36" s="61"/>
      <c r="L36" s="61"/>
      <c r="M36" s="85"/>
      <c r="N36" s="62"/>
      <c r="O36" s="37"/>
      <c r="P36" s="201"/>
      <c r="Q36" s="201"/>
      <c r="R36" s="201"/>
      <c r="S36" s="201"/>
      <c r="T36" s="201"/>
      <c r="U36" s="77">
        <f>(I35*P36)+(J35*Q36)+(K35*R36)+(L35*S36)+(M35*T36)</f>
        <v>0</v>
      </c>
      <c r="V36" s="41"/>
      <c r="W36" s="42"/>
      <c r="X36" s="42"/>
      <c r="Y36" s="42"/>
      <c r="Z36" s="42"/>
      <c r="AA36" s="42"/>
      <c r="AB36" s="73"/>
      <c r="AC36" s="78"/>
      <c r="AD36" s="74"/>
      <c r="AE36" s="116"/>
      <c r="AF36" s="43"/>
      <c r="AG36" s="65"/>
      <c r="AH36" s="44"/>
      <c r="AI36" s="41"/>
      <c r="AJ36" s="45"/>
      <c r="AK36" s="46"/>
      <c r="AL36" s="47"/>
      <c r="AM36" s="48"/>
      <c r="AN36" s="49"/>
      <c r="AO36" s="50"/>
    </row>
    <row r="37" spans="1:41" s="22" customFormat="1" ht="48.75" customHeight="1" x14ac:dyDescent="0.15">
      <c r="A37" s="90"/>
      <c r="B37" s="88"/>
      <c r="C37" s="96"/>
      <c r="D37" s="92"/>
      <c r="E37" s="102"/>
      <c r="F37" s="102"/>
      <c r="G37" s="120"/>
      <c r="H37" s="34"/>
      <c r="I37" s="35"/>
      <c r="J37" s="36"/>
      <c r="K37" s="36"/>
      <c r="L37" s="36"/>
      <c r="M37" s="86"/>
      <c r="N37" s="62">
        <f>SUM(I37:M37)</f>
        <v>0</v>
      </c>
      <c r="O37" s="37"/>
      <c r="P37" s="198"/>
      <c r="Q37" s="199"/>
      <c r="R37" s="199"/>
      <c r="S37" s="199"/>
      <c r="T37" s="199"/>
      <c r="U37" s="40">
        <f>ROUND(((P37*I37)+(Q37*J37)+(R37*K37)+(S37*L37)+(T37*M37)),3)</f>
        <v>0</v>
      </c>
      <c r="V37" s="41">
        <f>IF(U37&gt;=8,8,U37)</f>
        <v>0</v>
      </c>
      <c r="W37" s="51"/>
      <c r="X37" s="42"/>
      <c r="Y37" s="42"/>
      <c r="Z37" s="42"/>
      <c r="AA37" s="42"/>
      <c r="AB37" s="73" t="e">
        <f>(((((W37*I37)+(X37*J37)+(Y37*K37)+(Z37*L37)+(AA37*M37))/$L$2)))</f>
        <v>#DIV/0!</v>
      </c>
      <c r="AC37" s="78" t="e">
        <f>ROUND(11*AB37,3)</f>
        <v>#DIV/0!</v>
      </c>
      <c r="AD37" s="75" t="e">
        <f>IF(AC37&gt;=11,11,AC37)</f>
        <v>#DIV/0!</v>
      </c>
      <c r="AE37" s="116">
        <f>IF(U38&gt;=94,4,IF(U38&gt;=91,3.9,IF(U38&gt;=88,3.8,IF(U38&gt;=85,3.7,3.6))))</f>
        <v>3.6</v>
      </c>
      <c r="AF37" s="43">
        <v>0.3</v>
      </c>
      <c r="AG37" s="117">
        <v>17</v>
      </c>
      <c r="AH37" s="44" t="e">
        <f>V37+AD37+AG37+AE37+AF37</f>
        <v>#DIV/0!</v>
      </c>
      <c r="AI37" s="41" t="e">
        <f>IF(AH37&gt;=40,40,AH37)</f>
        <v>#DIV/0!</v>
      </c>
      <c r="AJ37" s="45"/>
      <c r="AK37" s="46"/>
      <c r="AL37" s="47"/>
      <c r="AM37" s="48">
        <f>100%+AL37</f>
        <v>1</v>
      </c>
      <c r="AN37" s="49">
        <f>ROUNDUP((($E$2*AM37-$AN$4)*AJ37+$AN$4),-3)</f>
        <v>0</v>
      </c>
      <c r="AO37" s="50"/>
    </row>
    <row r="38" spans="1:41" s="22" customFormat="1" ht="26.25" customHeight="1" x14ac:dyDescent="0.15">
      <c r="A38" s="91"/>
      <c r="B38" s="89"/>
      <c r="C38" s="172" t="s">
        <v>48</v>
      </c>
      <c r="D38" s="173"/>
      <c r="E38" s="173"/>
      <c r="F38" s="173"/>
      <c r="G38" s="182"/>
      <c r="H38" s="34"/>
      <c r="I38" s="57"/>
      <c r="J38" s="61"/>
      <c r="K38" s="61"/>
      <c r="L38" s="61"/>
      <c r="M38" s="85"/>
      <c r="N38" s="62"/>
      <c r="O38" s="37"/>
      <c r="P38" s="200"/>
      <c r="Q38" s="201"/>
      <c r="R38" s="199"/>
      <c r="S38" s="201"/>
      <c r="T38" s="201"/>
      <c r="U38" s="77">
        <f>(I37*P38)+(J37*Q38)+(K37*R38)+(L37*S38)+(M37*T38)</f>
        <v>0</v>
      </c>
      <c r="V38" s="41"/>
      <c r="W38" s="42"/>
      <c r="X38" s="42"/>
      <c r="Y38" s="42"/>
      <c r="Z38" s="42"/>
      <c r="AA38" s="42"/>
      <c r="AB38" s="73"/>
      <c r="AC38" s="78"/>
      <c r="AD38" s="74"/>
      <c r="AE38" s="116"/>
      <c r="AF38" s="43"/>
      <c r="AG38" s="65"/>
      <c r="AH38" s="44"/>
      <c r="AI38" s="41"/>
      <c r="AJ38" s="45"/>
      <c r="AK38" s="46"/>
      <c r="AL38" s="47"/>
      <c r="AM38" s="48"/>
      <c r="AN38" s="49"/>
      <c r="AO38" s="50"/>
    </row>
    <row r="39" spans="1:41" s="22" customFormat="1" ht="48.75" customHeight="1" x14ac:dyDescent="0.15">
      <c r="A39" s="90"/>
      <c r="B39" s="88"/>
      <c r="C39" s="96"/>
      <c r="D39" s="96"/>
      <c r="E39" s="92"/>
      <c r="F39" s="102"/>
      <c r="G39" s="128"/>
      <c r="H39" s="34"/>
      <c r="I39" s="35"/>
      <c r="J39" s="36"/>
      <c r="K39" s="36"/>
      <c r="L39" s="36"/>
      <c r="M39" s="86"/>
      <c r="N39" s="62">
        <f>SUM(I39:M39)</f>
        <v>0</v>
      </c>
      <c r="O39" s="37"/>
      <c r="P39" s="198"/>
      <c r="Q39" s="199"/>
      <c r="R39" s="199"/>
      <c r="S39" s="199"/>
      <c r="T39" s="199"/>
      <c r="U39" s="40">
        <f>ROUND(((P39*I39)+(Q39*J39)+(R39*K39)+(S39*L39)+(T39*M39)),3)</f>
        <v>0</v>
      </c>
      <c r="V39" s="41">
        <f>IF(U39&gt;=8,8,U39)</f>
        <v>0</v>
      </c>
      <c r="W39" s="42"/>
      <c r="X39" s="42"/>
      <c r="Y39" s="42"/>
      <c r="Z39" s="42"/>
      <c r="AA39" s="42"/>
      <c r="AB39" s="73" t="e">
        <f>(((((W39*I39)+(X39*J39)+(Y39*K39)+(Z39*L39)+(AA39*M39))/$L$2)))</f>
        <v>#DIV/0!</v>
      </c>
      <c r="AC39" s="78" t="e">
        <f t="shared" ref="AC39" si="18">ROUND(11*AB39,3)</f>
        <v>#DIV/0!</v>
      </c>
      <c r="AD39" s="75" t="e">
        <f t="shared" ref="AD39" si="19">IF(AC39&gt;=11,11,AC39)</f>
        <v>#DIV/0!</v>
      </c>
      <c r="AE39" s="116">
        <f>IF(U40&gt;=94,4,IF(U40&gt;=91,3.9,IF(U40&gt;=88,3.8,IF(U40&gt;=85,3.7,3.6))))</f>
        <v>3.6</v>
      </c>
      <c r="AF39" s="43">
        <v>0.3</v>
      </c>
      <c r="AG39" s="117">
        <v>17</v>
      </c>
      <c r="AH39" s="44" t="e">
        <f>V39+AD39+AG39+AE39+AF39</f>
        <v>#DIV/0!</v>
      </c>
      <c r="AI39" s="41" t="e">
        <f>IF(AH39&gt;=40,40,AH39)</f>
        <v>#DIV/0!</v>
      </c>
      <c r="AJ39" s="45"/>
      <c r="AK39" s="46"/>
      <c r="AL39" s="47"/>
      <c r="AM39" s="48">
        <f>100%+AL39</f>
        <v>1</v>
      </c>
      <c r="AN39" s="49">
        <f>ROUNDUP((($E$2*AM39-$AN$4)*AJ39+$AN$4),-3)</f>
        <v>0</v>
      </c>
      <c r="AO39" s="50"/>
    </row>
    <row r="40" spans="1:41" s="22" customFormat="1" ht="26.25" customHeight="1" x14ac:dyDescent="0.15">
      <c r="A40" s="91"/>
      <c r="B40" s="89"/>
      <c r="C40" s="172" t="s">
        <v>48</v>
      </c>
      <c r="D40" s="173"/>
      <c r="E40" s="173"/>
      <c r="F40" s="173"/>
      <c r="G40" s="182"/>
      <c r="H40" s="34"/>
      <c r="I40" s="57"/>
      <c r="J40" s="61"/>
      <c r="K40" s="61"/>
      <c r="L40" s="61"/>
      <c r="M40" s="85"/>
      <c r="N40" s="62"/>
      <c r="O40" s="37"/>
      <c r="P40" s="200"/>
      <c r="Q40" s="201"/>
      <c r="R40" s="201"/>
      <c r="S40" s="201"/>
      <c r="T40" s="201"/>
      <c r="U40" s="77">
        <f>(I39*P40)+(J39*Q40)+(K39*R40)+(L39*S40)+(M39*T40)</f>
        <v>0</v>
      </c>
      <c r="V40" s="41"/>
      <c r="W40" s="42"/>
      <c r="X40" s="42"/>
      <c r="Y40" s="42"/>
      <c r="Z40" s="42"/>
      <c r="AA40" s="42"/>
      <c r="AB40" s="73"/>
      <c r="AC40" s="78"/>
      <c r="AD40" s="74"/>
      <c r="AE40" s="116"/>
      <c r="AF40" s="43"/>
      <c r="AG40" s="65"/>
      <c r="AH40" s="44"/>
      <c r="AI40" s="41"/>
      <c r="AJ40" s="45"/>
      <c r="AK40" s="46"/>
      <c r="AL40" s="47"/>
      <c r="AM40" s="48"/>
      <c r="AN40" s="49"/>
      <c r="AO40" s="50"/>
    </row>
    <row r="41" spans="1:41" s="22" customFormat="1" ht="48" customHeight="1" x14ac:dyDescent="0.15">
      <c r="A41" s="90"/>
      <c r="B41" s="88"/>
      <c r="C41" s="92"/>
      <c r="D41" s="96"/>
      <c r="E41" s="103"/>
      <c r="F41" s="96"/>
      <c r="G41" s="128"/>
      <c r="H41" s="34"/>
      <c r="I41" s="35"/>
      <c r="J41" s="36"/>
      <c r="K41" s="36"/>
      <c r="L41" s="36"/>
      <c r="M41" s="86"/>
      <c r="N41" s="62">
        <f>SUM(I41:M41)</f>
        <v>0</v>
      </c>
      <c r="O41" s="37"/>
      <c r="P41" s="198"/>
      <c r="Q41" s="199"/>
      <c r="R41" s="199"/>
      <c r="S41" s="199"/>
      <c r="T41" s="199"/>
      <c r="U41" s="40">
        <f>ROUND(((P41*I41)+(Q41*J41)+(R41*K41)+(S41*L41)+(T41*M41)),3)</f>
        <v>0</v>
      </c>
      <c r="V41" s="41">
        <f>IF(U41&gt;=8,8,U41)</f>
        <v>0</v>
      </c>
      <c r="W41" s="42"/>
      <c r="X41" s="42"/>
      <c r="Y41" s="42"/>
      <c r="Z41" s="42"/>
      <c r="AA41" s="42"/>
      <c r="AB41" s="79" t="e">
        <f>(((((W41*I41)+(X41*J41)+(Y41*K41)+(Z41*L41)+(AA41*M41))/$L$2)))</f>
        <v>#DIV/0!</v>
      </c>
      <c r="AC41" s="78" t="e">
        <f t="shared" ref="AC41" si="20">ROUND(11*AB41,3)</f>
        <v>#DIV/0!</v>
      </c>
      <c r="AD41" s="75" t="e">
        <f t="shared" ref="AD41" si="21">IF(AC41&gt;=11,11,AC41)</f>
        <v>#DIV/0!</v>
      </c>
      <c r="AE41" s="116">
        <f>IF(U42&gt;=94,4,IF(U42&gt;=91,3.9,IF(U42&gt;=88,3.8,IF(U42&gt;=85,3.7,3.6))))</f>
        <v>3.6</v>
      </c>
      <c r="AF41" s="43">
        <v>0.3</v>
      </c>
      <c r="AG41" s="117">
        <v>17</v>
      </c>
      <c r="AH41" s="44" t="e">
        <f>V41+AD41+AG41+AE41+AF41</f>
        <v>#DIV/0!</v>
      </c>
      <c r="AI41" s="41" t="e">
        <f>IF(AH41&gt;=40,40,AH41)</f>
        <v>#DIV/0!</v>
      </c>
      <c r="AJ41" s="45"/>
      <c r="AK41" s="46"/>
      <c r="AL41" s="47"/>
      <c r="AM41" s="48">
        <f>100%+AL41</f>
        <v>1</v>
      </c>
      <c r="AN41" s="49">
        <f>ROUNDUP((($E$2*AM41-$AN$4)*AJ41+$AN$4),-3)</f>
        <v>0</v>
      </c>
      <c r="AO41" s="50"/>
    </row>
    <row r="42" spans="1:41" s="22" customFormat="1" ht="26.25" customHeight="1" x14ac:dyDescent="0.15">
      <c r="A42" s="91"/>
      <c r="B42" s="89"/>
      <c r="C42" s="172" t="s">
        <v>48</v>
      </c>
      <c r="D42" s="173"/>
      <c r="E42" s="173"/>
      <c r="F42" s="173"/>
      <c r="G42" s="182"/>
      <c r="H42" s="34"/>
      <c r="I42" s="57"/>
      <c r="J42" s="61"/>
      <c r="K42" s="61"/>
      <c r="L42" s="61"/>
      <c r="M42" s="85"/>
      <c r="N42" s="62"/>
      <c r="O42" s="37"/>
      <c r="P42" s="200"/>
      <c r="Q42" s="201"/>
      <c r="R42" s="201"/>
      <c r="S42" s="201"/>
      <c r="T42" s="201"/>
      <c r="U42" s="77">
        <f>(I41*P42)+(J41*Q42)+(K41*R42)+(L41*S42)+(M41*T42)</f>
        <v>0</v>
      </c>
      <c r="V42" s="41"/>
      <c r="W42" s="42"/>
      <c r="X42" s="42"/>
      <c r="Y42" s="42"/>
      <c r="Z42" s="42"/>
      <c r="AA42" s="42"/>
      <c r="AB42" s="73"/>
      <c r="AC42" s="78"/>
      <c r="AD42" s="74"/>
      <c r="AE42" s="116"/>
      <c r="AF42" s="43"/>
      <c r="AG42" s="65"/>
      <c r="AH42" s="44"/>
      <c r="AI42" s="41"/>
      <c r="AJ42" s="45"/>
      <c r="AK42" s="46"/>
      <c r="AL42" s="47"/>
      <c r="AM42" s="48"/>
      <c r="AN42" s="49"/>
      <c r="AO42" s="50"/>
    </row>
    <row r="43" spans="1:41" s="22" customFormat="1" ht="48.75" customHeight="1" x14ac:dyDescent="0.15">
      <c r="A43" s="90"/>
      <c r="B43" s="88"/>
      <c r="C43" s="103"/>
      <c r="D43" s="92"/>
      <c r="E43" s="96"/>
      <c r="F43" s="92"/>
      <c r="G43" s="129"/>
      <c r="H43" s="56"/>
      <c r="I43" s="35"/>
      <c r="J43" s="36"/>
      <c r="K43" s="36"/>
      <c r="L43" s="36"/>
      <c r="M43" s="86"/>
      <c r="N43" s="62">
        <f>SUM(I43:M43)</f>
        <v>0</v>
      </c>
      <c r="O43" s="37"/>
      <c r="P43" s="198"/>
      <c r="Q43" s="199"/>
      <c r="R43" s="199"/>
      <c r="S43" s="199"/>
      <c r="T43" s="199"/>
      <c r="U43" s="40">
        <f>ROUND(((P43*I43)+(Q43*J43)+(R43*K43)+(S43*L43)+(T43*M43)),3)</f>
        <v>0</v>
      </c>
      <c r="V43" s="41">
        <f>IF(U43&gt;=8,8,U43)</f>
        <v>0</v>
      </c>
      <c r="W43" s="42"/>
      <c r="X43" s="42"/>
      <c r="Y43" s="42"/>
      <c r="Z43" s="42"/>
      <c r="AA43" s="42"/>
      <c r="AB43" s="73" t="e">
        <f>(((((W43*I43)+(X43*J43)+(Y43*K43)+(Z43*L43)+(AA43*M43))/$L$2)))</f>
        <v>#DIV/0!</v>
      </c>
      <c r="AC43" s="78" t="e">
        <f t="shared" ref="AC43" si="22">ROUND(11*AB43,3)</f>
        <v>#DIV/0!</v>
      </c>
      <c r="AD43" s="75" t="e">
        <f t="shared" ref="AD43" si="23">IF(AC43&gt;=11,11,AC43)</f>
        <v>#DIV/0!</v>
      </c>
      <c r="AE43" s="116">
        <f>IF(U44&gt;=94,4,IF(U44&gt;=91,3.9,IF(U44&gt;=88,3.8,IF(U44&gt;=85,3.7,3.6))))</f>
        <v>3.6</v>
      </c>
      <c r="AF43" s="43">
        <v>0.3</v>
      </c>
      <c r="AG43" s="117">
        <v>17</v>
      </c>
      <c r="AH43" s="44" t="e">
        <f>V43+AD43+AG43+AE43+AF43</f>
        <v>#DIV/0!</v>
      </c>
      <c r="AI43" s="41" t="e">
        <f>IF(AH43&gt;=40,40,AH43)</f>
        <v>#DIV/0!</v>
      </c>
      <c r="AJ43" s="45"/>
      <c r="AK43" s="46"/>
      <c r="AL43" s="47"/>
      <c r="AM43" s="48">
        <f>100%+AL43</f>
        <v>1</v>
      </c>
      <c r="AN43" s="49">
        <f>ROUNDUP((($E$2*AM43-$AN$4)*AJ43+$AN$4),-3)</f>
        <v>0</v>
      </c>
      <c r="AO43" s="50"/>
    </row>
    <row r="44" spans="1:41" s="22" customFormat="1" ht="26.25" customHeight="1" x14ac:dyDescent="0.15">
      <c r="A44" s="91"/>
      <c r="B44" s="89"/>
      <c r="C44" s="172" t="s">
        <v>48</v>
      </c>
      <c r="D44" s="173"/>
      <c r="E44" s="173"/>
      <c r="F44" s="173"/>
      <c r="G44" s="182"/>
      <c r="H44" s="34"/>
      <c r="I44" s="57"/>
      <c r="J44" s="61"/>
      <c r="K44" s="61"/>
      <c r="L44" s="61"/>
      <c r="M44" s="85"/>
      <c r="N44" s="62"/>
      <c r="O44" s="37"/>
      <c r="P44" s="200"/>
      <c r="Q44" s="199"/>
      <c r="R44" s="199"/>
      <c r="S44" s="201"/>
      <c r="T44" s="201"/>
      <c r="U44" s="77">
        <f>(I43*P44)+(J43*Q44)+(K43*R44)+(L43*S44)+(M43*T44)</f>
        <v>0</v>
      </c>
      <c r="V44" s="41"/>
      <c r="W44" s="42"/>
      <c r="X44" s="42"/>
      <c r="Y44" s="42"/>
      <c r="Z44" s="42"/>
      <c r="AA44" s="42"/>
      <c r="AB44" s="73"/>
      <c r="AC44" s="78"/>
      <c r="AD44" s="74"/>
      <c r="AE44" s="116"/>
      <c r="AF44" s="43"/>
      <c r="AG44" s="65"/>
      <c r="AH44" s="44"/>
      <c r="AI44" s="41"/>
      <c r="AJ44" s="45"/>
      <c r="AK44" s="46"/>
      <c r="AL44" s="47"/>
      <c r="AM44" s="48"/>
      <c r="AN44" s="49"/>
      <c r="AO44" s="50"/>
    </row>
    <row r="45" spans="1:41" s="22" customFormat="1" ht="50.25" customHeight="1" x14ac:dyDescent="0.15">
      <c r="A45" s="90"/>
      <c r="B45" s="88"/>
      <c r="C45" s="96"/>
      <c r="D45" s="96"/>
      <c r="E45" s="96"/>
      <c r="F45" s="96"/>
      <c r="G45" s="128"/>
      <c r="H45" s="34"/>
      <c r="I45" s="35"/>
      <c r="J45" s="36"/>
      <c r="K45" s="36"/>
      <c r="L45" s="36"/>
      <c r="M45" s="86"/>
      <c r="N45" s="62">
        <f>SUM(I45:M45)</f>
        <v>0</v>
      </c>
      <c r="O45" s="37"/>
      <c r="P45" s="198"/>
      <c r="Q45" s="199"/>
      <c r="R45" s="199"/>
      <c r="S45" s="199"/>
      <c r="T45" s="199"/>
      <c r="U45" s="40">
        <f>ROUND(((P45*I45)+(Q45*J45)+(R45*K45)+(S45*L45)+(T45*M45)),3)</f>
        <v>0</v>
      </c>
      <c r="V45" s="41">
        <f>IF(U45&gt;=8,8,U45)</f>
        <v>0</v>
      </c>
      <c r="W45" s="42"/>
      <c r="X45" s="42"/>
      <c r="Y45" s="42"/>
      <c r="Z45" s="42"/>
      <c r="AA45" s="42"/>
      <c r="AB45" s="73" t="e">
        <f>(((((W45*I45)+(X45*J45)+(Y45*K45)+(Z45*L45)+(AA45*M45))/$L$2)))</f>
        <v>#DIV/0!</v>
      </c>
      <c r="AC45" s="78" t="e">
        <f t="shared" ref="AC45" si="24">ROUND(11*AB45,3)</f>
        <v>#DIV/0!</v>
      </c>
      <c r="AD45" s="75" t="e">
        <f t="shared" ref="AD45" si="25">IF(AC45&gt;=11,11,AC45)</f>
        <v>#DIV/0!</v>
      </c>
      <c r="AE45" s="116">
        <f>IF(U46&gt;=94,4,IF(U46&gt;=91,3.9,IF(U46&gt;=88,3.8,IF(U46&gt;=85,3.7,3.6))))</f>
        <v>3.6</v>
      </c>
      <c r="AF45" s="43">
        <v>0.3</v>
      </c>
      <c r="AG45" s="117">
        <v>17</v>
      </c>
      <c r="AH45" s="44" t="e">
        <f>V45+AD45+AG45+AE45+AF45</f>
        <v>#DIV/0!</v>
      </c>
      <c r="AI45" s="41" t="e">
        <f>IF(AH45&gt;=40,40,AH45)</f>
        <v>#DIV/0!</v>
      </c>
      <c r="AJ45" s="45"/>
      <c r="AK45" s="46"/>
      <c r="AL45" s="47"/>
      <c r="AM45" s="48">
        <f>100%+AL45</f>
        <v>1</v>
      </c>
      <c r="AN45" s="49">
        <f>ROUNDUP((($E$2*AM45-$AN$4)*AJ45+$AN$4),-3)</f>
        <v>0</v>
      </c>
      <c r="AO45" s="50"/>
    </row>
    <row r="46" spans="1:41" s="22" customFormat="1" ht="26.25" customHeight="1" x14ac:dyDescent="0.15">
      <c r="A46" s="91"/>
      <c r="B46" s="89"/>
      <c r="C46" s="172" t="s">
        <v>48</v>
      </c>
      <c r="D46" s="173"/>
      <c r="E46" s="173"/>
      <c r="F46" s="173"/>
      <c r="G46" s="182"/>
      <c r="H46" s="34"/>
      <c r="I46" s="57"/>
      <c r="J46" s="61"/>
      <c r="K46" s="61"/>
      <c r="L46" s="61"/>
      <c r="M46" s="85"/>
      <c r="N46" s="62"/>
      <c r="O46" s="37"/>
      <c r="P46" s="200"/>
      <c r="Q46" s="201"/>
      <c r="R46" s="201"/>
      <c r="S46" s="201"/>
      <c r="T46" s="201"/>
      <c r="U46" s="77">
        <f>(I45*P46)+(J45*Q46)+(K45*R46)+(L45*S46)+(M45*T46)</f>
        <v>0</v>
      </c>
      <c r="V46" s="41"/>
      <c r="W46" s="42"/>
      <c r="X46" s="42"/>
      <c r="Y46" s="42"/>
      <c r="Z46" s="42"/>
      <c r="AA46" s="42"/>
      <c r="AB46" s="73"/>
      <c r="AC46" s="78"/>
      <c r="AD46" s="74"/>
      <c r="AE46" s="116"/>
      <c r="AF46" s="43"/>
      <c r="AG46" s="65"/>
      <c r="AH46" s="44"/>
      <c r="AI46" s="41"/>
      <c r="AJ46" s="45"/>
      <c r="AK46" s="46"/>
      <c r="AL46" s="47"/>
      <c r="AM46" s="48"/>
      <c r="AN46" s="49"/>
      <c r="AO46" s="50"/>
    </row>
    <row r="47" spans="1:41" s="22" customFormat="1" ht="48.75" customHeight="1" x14ac:dyDescent="0.15">
      <c r="A47" s="90"/>
      <c r="B47" s="88"/>
      <c r="C47" s="96"/>
      <c r="D47" s="96"/>
      <c r="E47" s="92"/>
      <c r="F47" s="96"/>
      <c r="G47" s="120"/>
      <c r="H47" s="34"/>
      <c r="I47" s="35"/>
      <c r="J47" s="36"/>
      <c r="K47" s="36"/>
      <c r="L47" s="61"/>
      <c r="M47" s="86"/>
      <c r="N47" s="62">
        <f>SUM(I47:M47)</f>
        <v>0</v>
      </c>
      <c r="O47" s="37"/>
      <c r="P47" s="198"/>
      <c r="Q47" s="199"/>
      <c r="R47" s="199"/>
      <c r="S47" s="199"/>
      <c r="T47" s="199"/>
      <c r="U47" s="40">
        <f>ROUND(((P47*I47)+(Q47*J47)+(R47*K47)+(S47*L47)+(T47*M47)),3)</f>
        <v>0</v>
      </c>
      <c r="V47" s="41">
        <f>IF(U47&gt;=8,8,U47)</f>
        <v>0</v>
      </c>
      <c r="W47" s="42"/>
      <c r="X47" s="42"/>
      <c r="Y47" s="42"/>
      <c r="Z47" s="42"/>
      <c r="AA47" s="42"/>
      <c r="AB47" s="73" t="e">
        <f>(((((W47*I47)+(X47*J47)+(Y47*K47)+(Z47*L47)+(AA47*M47))/$L$2)))</f>
        <v>#DIV/0!</v>
      </c>
      <c r="AC47" s="78" t="e">
        <f>ROUND(11*AB47,3)</f>
        <v>#DIV/0!</v>
      </c>
      <c r="AD47" s="75" t="e">
        <f>IF(AC47&gt;=11,11,AC47)</f>
        <v>#DIV/0!</v>
      </c>
      <c r="AE47" s="116">
        <f>IF(U48&gt;=94,4,IF(U48&gt;=91,3.9,IF(U48&gt;=88,3.8,IF(U48&gt;=85,3.7,3.6))))</f>
        <v>3.6</v>
      </c>
      <c r="AF47" s="43">
        <v>0.3</v>
      </c>
      <c r="AG47" s="117">
        <v>17</v>
      </c>
      <c r="AH47" s="44" t="e">
        <f>V47+AD47+AG47+AE47+AF47</f>
        <v>#DIV/0!</v>
      </c>
      <c r="AI47" s="41" t="e">
        <f>IF(AH47&gt;=40,40,AH47)</f>
        <v>#DIV/0!</v>
      </c>
      <c r="AJ47" s="45"/>
      <c r="AK47" s="46"/>
      <c r="AL47" s="47"/>
      <c r="AM47" s="48">
        <f>100%+AL47</f>
        <v>1</v>
      </c>
      <c r="AN47" s="49">
        <f>ROUNDUP((($E$2*AM47-$AN$4)*AJ47+$AN$4),-3)</f>
        <v>0</v>
      </c>
      <c r="AO47" s="50"/>
    </row>
    <row r="48" spans="1:41" s="22" customFormat="1" ht="26.25" customHeight="1" x14ac:dyDescent="0.15">
      <c r="A48" s="91"/>
      <c r="B48" s="89"/>
      <c r="C48" s="172" t="s">
        <v>48</v>
      </c>
      <c r="D48" s="173"/>
      <c r="E48" s="173"/>
      <c r="F48" s="173"/>
      <c r="G48" s="182"/>
      <c r="H48" s="34"/>
      <c r="I48" s="57"/>
      <c r="J48" s="61"/>
      <c r="K48" s="61"/>
      <c r="L48" s="61"/>
      <c r="M48" s="85"/>
      <c r="N48" s="62"/>
      <c r="O48" s="37"/>
      <c r="P48" s="200"/>
      <c r="Q48" s="199"/>
      <c r="R48" s="199"/>
      <c r="S48" s="201"/>
      <c r="T48" s="201"/>
      <c r="U48" s="77">
        <f>(I47*P48)+(J47*Q48)+(K47*R48)+(L47*S48)+(M47*T48)</f>
        <v>0</v>
      </c>
      <c r="V48" s="41"/>
      <c r="W48" s="42"/>
      <c r="X48" s="42"/>
      <c r="Y48" s="42"/>
      <c r="Z48" s="42"/>
      <c r="AA48" s="42"/>
      <c r="AB48" s="73"/>
      <c r="AC48" s="78"/>
      <c r="AD48" s="74"/>
      <c r="AE48" s="116"/>
      <c r="AF48" s="43"/>
      <c r="AG48" s="65"/>
      <c r="AH48" s="44"/>
      <c r="AI48" s="41"/>
      <c r="AJ48" s="45"/>
      <c r="AK48" s="46"/>
      <c r="AL48" s="47"/>
      <c r="AM48" s="48"/>
      <c r="AN48" s="49"/>
      <c r="AO48" s="50"/>
    </row>
    <row r="49" spans="1:41" s="22" customFormat="1" ht="54" customHeight="1" x14ac:dyDescent="0.15">
      <c r="A49" s="90"/>
      <c r="B49" s="88"/>
      <c r="C49" s="96"/>
      <c r="D49" s="92"/>
      <c r="E49" s="92"/>
      <c r="F49" s="92"/>
      <c r="G49" s="120"/>
      <c r="H49" s="34"/>
      <c r="I49" s="36"/>
      <c r="J49" s="35"/>
      <c r="K49" s="36"/>
      <c r="L49" s="36"/>
      <c r="M49" s="86"/>
      <c r="N49" s="62">
        <f>SUM(I49:M49)</f>
        <v>0</v>
      </c>
      <c r="O49" s="37"/>
      <c r="P49" s="198"/>
      <c r="Q49" s="199"/>
      <c r="R49" s="199"/>
      <c r="S49" s="199"/>
      <c r="T49" s="199"/>
      <c r="U49" s="40">
        <f>ROUND(((P49*I49)+(Q49*J49)+(R49*K49)+(S49*L49)+(T49*M49)),3)</f>
        <v>0</v>
      </c>
      <c r="V49" s="41">
        <f>IF(U49&gt;=8,8,U49)</f>
        <v>0</v>
      </c>
      <c r="W49" s="42"/>
      <c r="X49" s="42"/>
      <c r="Y49" s="42"/>
      <c r="Z49" s="42"/>
      <c r="AA49" s="42"/>
      <c r="AB49" s="73" t="e">
        <f>(((((W49*I49)+(X49*J49)+(Y49*K49)+(Z49*L49)+(AA49*M49))/$L$2)))</f>
        <v>#DIV/0!</v>
      </c>
      <c r="AC49" s="78" t="e">
        <f t="shared" ref="AC49" si="26">ROUND(11*AB49,3)</f>
        <v>#DIV/0!</v>
      </c>
      <c r="AD49" s="75" t="e">
        <f t="shared" ref="AD49" si="27">IF(AC49&gt;=11,11,AC49)</f>
        <v>#DIV/0!</v>
      </c>
      <c r="AE49" s="116">
        <f>IF(U50&gt;=94,4,IF(U50&gt;=91,3.9,IF(U50&gt;=88,3.8,IF(U50&gt;=85,3.7,3.6))))</f>
        <v>3.6</v>
      </c>
      <c r="AF49" s="43">
        <v>0.3</v>
      </c>
      <c r="AG49" s="117">
        <v>17</v>
      </c>
      <c r="AH49" s="44" t="e">
        <f>V49+AD49+AG49+AE49+AF49</f>
        <v>#DIV/0!</v>
      </c>
      <c r="AI49" s="41" t="e">
        <f>IF(AH49&gt;=40,40,AH49)</f>
        <v>#DIV/0!</v>
      </c>
      <c r="AJ49" s="45"/>
      <c r="AK49" s="46"/>
      <c r="AL49" s="47"/>
      <c r="AM49" s="48">
        <f>100%+AL49</f>
        <v>1</v>
      </c>
      <c r="AN49" s="49">
        <f>ROUNDUP((($E$2*AM49-$AN$4)*AJ49+$AN$4),-3)</f>
        <v>0</v>
      </c>
      <c r="AO49" s="50"/>
    </row>
    <row r="50" spans="1:41" s="22" customFormat="1" ht="26.25" customHeight="1" x14ac:dyDescent="0.15">
      <c r="A50" s="91"/>
      <c r="B50" s="89"/>
      <c r="C50" s="172" t="s">
        <v>48</v>
      </c>
      <c r="D50" s="173"/>
      <c r="E50" s="173"/>
      <c r="F50" s="173"/>
      <c r="G50" s="182"/>
      <c r="H50" s="34"/>
      <c r="I50" s="57"/>
      <c r="J50" s="61"/>
      <c r="K50" s="61"/>
      <c r="L50" s="61"/>
      <c r="M50" s="85"/>
      <c r="N50" s="62"/>
      <c r="O50" s="37"/>
      <c r="P50" s="200"/>
      <c r="Q50" s="201"/>
      <c r="R50" s="201"/>
      <c r="S50" s="201"/>
      <c r="T50" s="201"/>
      <c r="U50" s="77">
        <f>(I49*P50)+(J49*Q50)+(K49*R50)+(L49*S50)+(M49*T50)</f>
        <v>0</v>
      </c>
      <c r="V50" s="41"/>
      <c r="W50" s="42"/>
      <c r="X50" s="42"/>
      <c r="Y50" s="42"/>
      <c r="Z50" s="42"/>
      <c r="AA50" s="42"/>
      <c r="AB50" s="73"/>
      <c r="AC50" s="78"/>
      <c r="AD50" s="74"/>
      <c r="AE50" s="116"/>
      <c r="AF50" s="43"/>
      <c r="AG50" s="65"/>
      <c r="AH50" s="44"/>
      <c r="AI50" s="41"/>
      <c r="AJ50" s="45"/>
      <c r="AK50" s="46"/>
      <c r="AL50" s="47"/>
      <c r="AM50" s="48"/>
      <c r="AN50" s="49"/>
      <c r="AO50" s="50"/>
    </row>
    <row r="51" spans="1:41" s="22" customFormat="1" ht="48.75" customHeight="1" x14ac:dyDescent="0.15">
      <c r="A51" s="90"/>
      <c r="B51" s="88"/>
      <c r="C51" s="100"/>
      <c r="D51" s="102"/>
      <c r="E51" s="102"/>
      <c r="F51" s="92"/>
      <c r="G51" s="127"/>
      <c r="H51" s="58" t="s">
        <v>3</v>
      </c>
      <c r="I51" s="35"/>
      <c r="J51" s="36"/>
      <c r="K51" s="36"/>
      <c r="L51" s="36"/>
      <c r="M51" s="86"/>
      <c r="N51" s="62">
        <f>SUM(I51:M51)</f>
        <v>0</v>
      </c>
      <c r="O51" s="37"/>
      <c r="P51" s="198"/>
      <c r="Q51" s="199"/>
      <c r="R51" s="199"/>
      <c r="S51" s="199"/>
      <c r="T51" s="199"/>
      <c r="U51" s="40">
        <f>ROUND(((P51*I51)+(Q51*J51)+(R51*K51)+(S51*L51)+(T51*M51)),3)</f>
        <v>0</v>
      </c>
      <c r="V51" s="41">
        <f>IF(U51&gt;=8,8,U51)</f>
        <v>0</v>
      </c>
      <c r="W51" s="42"/>
      <c r="X51" s="42"/>
      <c r="Y51" s="42"/>
      <c r="Z51" s="42"/>
      <c r="AA51" s="42"/>
      <c r="AB51" s="73" t="e">
        <f>(((((W51*I51)+(X51*J51)+(Y51*K51)+(Z51*L51)+(AA51*M51))/$L$2)))</f>
        <v>#DIV/0!</v>
      </c>
      <c r="AC51" s="78" t="e">
        <f t="shared" ref="AC51" si="28">ROUND(11*AB51,3)</f>
        <v>#DIV/0!</v>
      </c>
      <c r="AD51" s="75" t="e">
        <f t="shared" ref="AD51" si="29">IF(AC51&gt;=11,11,AC51)</f>
        <v>#DIV/0!</v>
      </c>
      <c r="AE51" s="116">
        <f>IF(U52&gt;=94,4,IF(U52&gt;=91,3.9,IF(U52&gt;=88,3.8,IF(U52&gt;=85,3.7,3.6))))</f>
        <v>3.6</v>
      </c>
      <c r="AF51" s="43">
        <v>0.3</v>
      </c>
      <c r="AG51" s="117">
        <v>17</v>
      </c>
      <c r="AH51" s="44" t="e">
        <f>V51+AD51+AG51+AE51+AF51</f>
        <v>#DIV/0!</v>
      </c>
      <c r="AI51" s="41" t="e">
        <f>IF(AH51&gt;=40,40,AH51)</f>
        <v>#DIV/0!</v>
      </c>
      <c r="AJ51" s="45"/>
      <c r="AK51" s="46"/>
      <c r="AL51" s="47"/>
      <c r="AM51" s="48">
        <f>100%+AL51</f>
        <v>1</v>
      </c>
      <c r="AN51" s="49">
        <f>ROUNDUP((($E$2*AM51-$AN$4)*AJ51+$AN$4),-3)</f>
        <v>0</v>
      </c>
      <c r="AO51" s="50"/>
    </row>
    <row r="52" spans="1:41" s="22" customFormat="1" ht="26.25" customHeight="1" x14ac:dyDescent="0.15">
      <c r="A52" s="91"/>
      <c r="B52" s="89"/>
      <c r="C52" s="172" t="s">
        <v>48</v>
      </c>
      <c r="D52" s="173"/>
      <c r="E52" s="173"/>
      <c r="F52" s="173"/>
      <c r="G52" s="182"/>
      <c r="H52" s="34"/>
      <c r="I52" s="57"/>
      <c r="J52" s="61"/>
      <c r="K52" s="61"/>
      <c r="L52" s="61"/>
      <c r="M52" s="85"/>
      <c r="N52" s="62"/>
      <c r="O52" s="37"/>
      <c r="P52" s="200"/>
      <c r="Q52" s="199"/>
      <c r="R52" s="201"/>
      <c r="S52" s="201"/>
      <c r="T52" s="201"/>
      <c r="U52" s="77">
        <f>(I51*P52)+(J51*Q52)+(K51*R52)+(L51*S52)+(M51*T52)</f>
        <v>0</v>
      </c>
      <c r="V52" s="41"/>
      <c r="W52" s="42"/>
      <c r="X52" s="42"/>
      <c r="Y52" s="42"/>
      <c r="Z52" s="42"/>
      <c r="AA52" s="42"/>
      <c r="AB52" s="73"/>
      <c r="AC52" s="78"/>
      <c r="AD52" s="74"/>
      <c r="AE52" s="116"/>
      <c r="AF52" s="43"/>
      <c r="AG52" s="65"/>
      <c r="AH52" s="44"/>
      <c r="AI52" s="41"/>
      <c r="AJ52" s="45"/>
      <c r="AK52" s="46"/>
      <c r="AL52" s="47"/>
      <c r="AM52" s="48"/>
      <c r="AN52" s="49"/>
      <c r="AO52" s="50"/>
    </row>
    <row r="53" spans="1:41" s="22" customFormat="1" ht="50.25" customHeight="1" x14ac:dyDescent="0.15">
      <c r="A53" s="90"/>
      <c r="B53" s="88"/>
      <c r="C53" s="87"/>
      <c r="D53" s="100"/>
      <c r="E53" s="102"/>
      <c r="F53" s="92"/>
      <c r="G53" s="107"/>
      <c r="H53" s="58" t="s">
        <v>3</v>
      </c>
      <c r="I53" s="35"/>
      <c r="J53" s="36"/>
      <c r="K53" s="36"/>
      <c r="L53" s="36"/>
      <c r="M53" s="86"/>
      <c r="N53" s="62">
        <f>SUM(I53:M53)</f>
        <v>0</v>
      </c>
      <c r="O53" s="37"/>
      <c r="P53" s="198"/>
      <c r="Q53" s="199"/>
      <c r="R53" s="199"/>
      <c r="S53" s="199"/>
      <c r="T53" s="199"/>
      <c r="U53" s="40">
        <f>ROUND(((P53*I53)+(Q53*J53)+(R53*K53)+(S53*L53)+(T53*M53)),3)</f>
        <v>0</v>
      </c>
      <c r="V53" s="41">
        <f>IF(U53&gt;=8,8,U53)</f>
        <v>0</v>
      </c>
      <c r="W53" s="42"/>
      <c r="X53" s="42"/>
      <c r="Y53" s="42"/>
      <c r="Z53" s="42"/>
      <c r="AA53" s="42"/>
      <c r="AB53" s="73" t="e">
        <f>(((((W53*I53)+(X53*J53)+(Y53*K53)+(Z53*L53)+(AA53*M53))/$L$2)))</f>
        <v>#DIV/0!</v>
      </c>
      <c r="AC53" s="78" t="e">
        <f t="shared" ref="AC53" si="30">ROUND(11*AB53,3)</f>
        <v>#DIV/0!</v>
      </c>
      <c r="AD53" s="75" t="e">
        <f t="shared" ref="AD53" si="31">IF(AC53&gt;=11,11,AC53)</f>
        <v>#DIV/0!</v>
      </c>
      <c r="AE53" s="116">
        <f>IF(U54&gt;=94,4,IF(U54&gt;=91,3.9,IF(U54&gt;=88,3.8,IF(U54&gt;=85,3.7,3.6))))</f>
        <v>3.6</v>
      </c>
      <c r="AF53" s="43">
        <v>0.3</v>
      </c>
      <c r="AG53" s="117">
        <v>17</v>
      </c>
      <c r="AH53" s="44" t="e">
        <f>V53+AD53+AG53+AE53+AF53</f>
        <v>#DIV/0!</v>
      </c>
      <c r="AI53" s="41" t="e">
        <f>IF(AH53&gt;=40,40,AH53)</f>
        <v>#DIV/0!</v>
      </c>
      <c r="AJ53" s="45"/>
      <c r="AK53" s="46"/>
      <c r="AL53" s="47"/>
      <c r="AM53" s="48">
        <f>100%+AL53</f>
        <v>1</v>
      </c>
      <c r="AN53" s="49">
        <f>ROUNDUP((($E$2*AM53-$AN$4)*AJ53+$AN$4),-3)</f>
        <v>0</v>
      </c>
      <c r="AO53" s="50"/>
    </row>
    <row r="54" spans="1:41" s="22" customFormat="1" ht="26.25" customHeight="1" x14ac:dyDescent="0.15">
      <c r="A54" s="91"/>
      <c r="B54" s="89"/>
      <c r="C54" s="172" t="s">
        <v>48</v>
      </c>
      <c r="D54" s="173"/>
      <c r="E54" s="173"/>
      <c r="F54" s="173"/>
      <c r="G54" s="182"/>
      <c r="H54" s="34"/>
      <c r="I54" s="57"/>
      <c r="J54" s="61"/>
      <c r="K54" s="61"/>
      <c r="L54" s="61"/>
      <c r="M54" s="85"/>
      <c r="N54" s="62"/>
      <c r="O54" s="37"/>
      <c r="P54" s="200"/>
      <c r="Q54" s="200"/>
      <c r="R54" s="201"/>
      <c r="S54" s="201"/>
      <c r="T54" s="201"/>
      <c r="U54" s="77">
        <f>(I53*P54)+(J53*Q54)+(K53*R54)+(L53*S54)+(M53*T54)</f>
        <v>0</v>
      </c>
      <c r="V54" s="41"/>
      <c r="W54" s="42"/>
      <c r="X54" s="42"/>
      <c r="Y54" s="42"/>
      <c r="Z54" s="42"/>
      <c r="AA54" s="42"/>
      <c r="AB54" s="73"/>
      <c r="AC54" s="78"/>
      <c r="AD54" s="74"/>
      <c r="AE54" s="116"/>
      <c r="AF54" s="43"/>
      <c r="AG54" s="65"/>
      <c r="AH54" s="44"/>
      <c r="AI54" s="41"/>
      <c r="AJ54" s="45"/>
      <c r="AK54" s="46"/>
      <c r="AL54" s="47"/>
      <c r="AM54" s="48"/>
      <c r="AN54" s="49"/>
      <c r="AO54" s="50"/>
    </row>
    <row r="55" spans="1:41" s="22" customFormat="1" ht="48.75" customHeight="1" x14ac:dyDescent="0.15">
      <c r="A55" s="90"/>
      <c r="B55" s="88"/>
      <c r="C55" s="96"/>
      <c r="D55" s="102"/>
      <c r="E55" s="96"/>
      <c r="F55" s="92"/>
      <c r="G55" s="120"/>
      <c r="H55" s="58" t="s">
        <v>3</v>
      </c>
      <c r="I55" s="35"/>
      <c r="J55" s="36"/>
      <c r="K55" s="36"/>
      <c r="L55" s="61"/>
      <c r="M55" s="86"/>
      <c r="N55" s="62">
        <f>SUM(I55:M55)</f>
        <v>0</v>
      </c>
      <c r="O55" s="37"/>
      <c r="P55" s="198"/>
      <c r="Q55" s="199"/>
      <c r="R55" s="199"/>
      <c r="S55" s="199"/>
      <c r="T55" s="199"/>
      <c r="U55" s="40">
        <f>ROUND(((P55*I55)+(Q55*J55)+(R55*K55)+(S55*L55)+(T55*M55)),3)</f>
        <v>0</v>
      </c>
      <c r="V55" s="41">
        <f>IF(U55&gt;=8,8,U55)</f>
        <v>0</v>
      </c>
      <c r="W55" s="42"/>
      <c r="X55" s="42"/>
      <c r="Y55" s="42"/>
      <c r="Z55" s="42"/>
      <c r="AA55" s="42"/>
      <c r="AB55" s="73" t="e">
        <f>(((((W55*I55)+(X55*J55)+(Y55*K55)+(Z55*L55)+(AA55*M55))/$L$2)))</f>
        <v>#DIV/0!</v>
      </c>
      <c r="AC55" s="78" t="e">
        <f t="shared" ref="AC55" si="32">ROUND(11*AB55,3)</f>
        <v>#DIV/0!</v>
      </c>
      <c r="AD55" s="75" t="e">
        <f t="shared" ref="AD55" si="33">IF(AC55&gt;=11,11,AC55)</f>
        <v>#DIV/0!</v>
      </c>
      <c r="AE55" s="116">
        <f>IF(U56&gt;=94,4,IF(U56&gt;=91,3.9,IF(U56&gt;=88,3.8,IF(U56&gt;=85,3.7,3.6))))</f>
        <v>3.6</v>
      </c>
      <c r="AF55" s="43">
        <v>0.3</v>
      </c>
      <c r="AG55" s="117">
        <v>17</v>
      </c>
      <c r="AH55" s="44" t="e">
        <f>V55+AD55+AG55+AE55+AF55</f>
        <v>#DIV/0!</v>
      </c>
      <c r="AI55" s="41" t="e">
        <f>IF(AH55&gt;=40,40,AH55)</f>
        <v>#DIV/0!</v>
      </c>
      <c r="AJ55" s="45"/>
      <c r="AK55" s="46"/>
      <c r="AL55" s="47"/>
      <c r="AM55" s="48">
        <f>100%+AL55</f>
        <v>1</v>
      </c>
      <c r="AN55" s="49">
        <f>ROUNDUP((($E$2*AM55-$AN$4)*AJ55+$AN$4),-3)</f>
        <v>0</v>
      </c>
      <c r="AO55" s="50"/>
    </row>
    <row r="56" spans="1:41" s="22" customFormat="1" ht="26.25" customHeight="1" x14ac:dyDescent="0.15">
      <c r="A56" s="91"/>
      <c r="B56" s="89"/>
      <c r="C56" s="172" t="s">
        <v>48</v>
      </c>
      <c r="D56" s="173"/>
      <c r="E56" s="173"/>
      <c r="F56" s="173"/>
      <c r="G56" s="182"/>
      <c r="H56" s="34"/>
      <c r="I56" s="57"/>
      <c r="J56" s="61"/>
      <c r="K56" s="61"/>
      <c r="L56" s="61"/>
      <c r="M56" s="85"/>
      <c r="N56" s="62"/>
      <c r="O56" s="37"/>
      <c r="P56" s="200"/>
      <c r="Q56" s="200"/>
      <c r="R56" s="200"/>
      <c r="S56" s="201"/>
      <c r="T56" s="201"/>
      <c r="U56" s="77">
        <f>(I55*P56)+(J55*Q56)+(K55*R56)+(L55*S56)+(M55*T56)</f>
        <v>0</v>
      </c>
      <c r="V56" s="41"/>
      <c r="W56" s="42"/>
      <c r="X56" s="42"/>
      <c r="Y56" s="42"/>
      <c r="Z56" s="42"/>
      <c r="AA56" s="42"/>
      <c r="AB56" s="73"/>
      <c r="AC56" s="78"/>
      <c r="AD56" s="74"/>
      <c r="AE56" s="116"/>
      <c r="AF56" s="43"/>
      <c r="AG56" s="65"/>
      <c r="AH56" s="44"/>
      <c r="AI56" s="41"/>
      <c r="AJ56" s="45"/>
      <c r="AK56" s="46"/>
      <c r="AL56" s="47"/>
      <c r="AM56" s="48"/>
      <c r="AN56" s="49"/>
      <c r="AO56" s="50"/>
    </row>
    <row r="57" spans="1:41" s="22" customFormat="1" ht="51.75" customHeight="1" x14ac:dyDescent="0.15">
      <c r="A57" s="90"/>
      <c r="B57" s="88"/>
      <c r="C57" s="52"/>
      <c r="D57" s="92"/>
      <c r="E57" s="130"/>
      <c r="F57" s="92"/>
      <c r="G57" s="128"/>
      <c r="H57" s="34"/>
      <c r="I57" s="94"/>
      <c r="J57" s="95"/>
      <c r="K57" s="95"/>
      <c r="L57" s="95"/>
      <c r="M57" s="122"/>
      <c r="N57" s="121">
        <f>SUM(I57:M57)</f>
        <v>0</v>
      </c>
      <c r="O57" s="37"/>
      <c r="P57" s="198"/>
      <c r="Q57" s="198"/>
      <c r="R57" s="199"/>
      <c r="S57" s="199"/>
      <c r="T57" s="199"/>
      <c r="U57" s="40">
        <f>ROUND(((P57*I57)+(Q57*J57)+(R57*K57)+(S57*L57)+(T57*M57)),3)</f>
        <v>0</v>
      </c>
      <c r="V57" s="41">
        <f>IF(U57&gt;=8,8,U57)</f>
        <v>0</v>
      </c>
      <c r="W57" s="42"/>
      <c r="X57" s="42"/>
      <c r="Y57" s="42"/>
      <c r="Z57" s="42"/>
      <c r="AA57" s="42"/>
      <c r="AB57" s="73" t="e">
        <f>(((((W57*I57)+(X57*J57)+(Y57*K57)+(Z57*L57)+(AA57*M57))/$L$2)))</f>
        <v>#DIV/0!</v>
      </c>
      <c r="AC57" s="78" t="e">
        <f t="shared" ref="AC57" si="34">ROUND(11*AB57,3)</f>
        <v>#DIV/0!</v>
      </c>
      <c r="AD57" s="75" t="e">
        <f t="shared" ref="AD57" si="35">IF(AC57&gt;=11,11,AC57)</f>
        <v>#DIV/0!</v>
      </c>
      <c r="AE57" s="116">
        <f>IF(U58&gt;=94,4,IF(U58&gt;=91,3.9,IF(U58&gt;=88,3.8,IF(U58&gt;=85,3.7,3.6))))</f>
        <v>3.6</v>
      </c>
      <c r="AF57" s="43">
        <v>0.3</v>
      </c>
      <c r="AG57" s="117">
        <v>17</v>
      </c>
      <c r="AH57" s="44" t="e">
        <f>V57+AD57+AG57+AE57+AF57</f>
        <v>#DIV/0!</v>
      </c>
      <c r="AI57" s="41" t="e">
        <f>IF(AH57&gt;=40,40,AH57)</f>
        <v>#DIV/0!</v>
      </c>
      <c r="AJ57" s="45"/>
      <c r="AK57" s="46"/>
      <c r="AL57" s="47"/>
      <c r="AM57" s="48"/>
      <c r="AN57" s="49"/>
      <c r="AO57" s="50"/>
    </row>
    <row r="58" spans="1:41" s="22" customFormat="1" ht="26.25" customHeight="1" x14ac:dyDescent="0.15">
      <c r="A58" s="91"/>
      <c r="B58" s="89"/>
      <c r="C58" s="172" t="s">
        <v>48</v>
      </c>
      <c r="D58" s="173"/>
      <c r="E58" s="173"/>
      <c r="F58" s="173"/>
      <c r="G58" s="182"/>
      <c r="H58" s="97"/>
      <c r="I58" s="98"/>
      <c r="J58" s="99"/>
      <c r="K58" s="99"/>
      <c r="L58" s="99"/>
      <c r="M58" s="123"/>
      <c r="N58" s="121"/>
      <c r="O58" s="37"/>
      <c r="P58" s="201"/>
      <c r="Q58" s="201"/>
      <c r="R58" s="201"/>
      <c r="S58" s="201"/>
      <c r="T58" s="201"/>
      <c r="U58" s="77">
        <f>(I57*P58)+(J57*Q58)+(K57*R58)+(L57*S58)+(M57*T58)</f>
        <v>0</v>
      </c>
      <c r="V58" s="41"/>
      <c r="W58" s="42"/>
      <c r="X58" s="42"/>
      <c r="Y58" s="42"/>
      <c r="Z58" s="42"/>
      <c r="AA58" s="42"/>
      <c r="AB58" s="73"/>
      <c r="AC58" s="78"/>
      <c r="AD58" s="74"/>
      <c r="AE58" s="116"/>
      <c r="AF58" s="43"/>
      <c r="AG58" s="65"/>
      <c r="AH58" s="44"/>
      <c r="AI58" s="41"/>
      <c r="AJ58" s="45"/>
      <c r="AK58" s="46"/>
      <c r="AL58" s="47"/>
      <c r="AM58" s="48"/>
      <c r="AN58" s="49"/>
      <c r="AO58" s="50"/>
    </row>
    <row r="59" spans="1:41" s="22" customFormat="1" ht="50.25" customHeight="1" x14ac:dyDescent="0.15">
      <c r="A59" s="90"/>
      <c r="B59" s="88"/>
      <c r="C59" s="103"/>
      <c r="D59" s="92"/>
      <c r="E59" s="130"/>
      <c r="F59" s="92"/>
      <c r="G59" s="128"/>
      <c r="H59" s="34"/>
      <c r="I59" s="35"/>
      <c r="J59" s="36"/>
      <c r="K59" s="36"/>
      <c r="L59" s="36"/>
      <c r="M59" s="86"/>
      <c r="N59" s="62">
        <f>SUM(I59:M59)</f>
        <v>0</v>
      </c>
      <c r="O59" s="37"/>
      <c r="P59" s="198"/>
      <c r="Q59" s="199"/>
      <c r="R59" s="199"/>
      <c r="S59" s="199"/>
      <c r="T59" s="199"/>
      <c r="U59" s="40">
        <f>ROUND(((P59*I59)+(Q59*J59)+(R59*K59)+(S59*L59)+(T59*M59)),3)</f>
        <v>0</v>
      </c>
      <c r="V59" s="41">
        <f>IF(U59&gt;=8,8,U59)</f>
        <v>0</v>
      </c>
      <c r="W59" s="42"/>
      <c r="X59" s="42"/>
      <c r="Y59" s="42"/>
      <c r="Z59" s="42"/>
      <c r="AA59" s="42"/>
      <c r="AB59" s="73" t="e">
        <f>(((((W59*I59)+(X59*J59)+(Y59*K59)+(Z59*L59)+(AA59*M59))/$L$2)))</f>
        <v>#DIV/0!</v>
      </c>
      <c r="AC59" s="78" t="e">
        <f t="shared" ref="AC59" si="36">ROUND(11*AB59,3)</f>
        <v>#DIV/0!</v>
      </c>
      <c r="AD59" s="75" t="e">
        <f t="shared" ref="AD59" si="37">IF(AC59&gt;=11,11,AC59)</f>
        <v>#DIV/0!</v>
      </c>
      <c r="AE59" s="116">
        <f>IF(U60&gt;=94,4,IF(U60&gt;=91,3.9,IF(U60&gt;=88,3.8,IF(U60&gt;=85,3.7,3.6))))</f>
        <v>3.6</v>
      </c>
      <c r="AF59" s="43">
        <v>0.2</v>
      </c>
      <c r="AG59" s="117">
        <v>17</v>
      </c>
      <c r="AH59" s="44" t="e">
        <f>V59+AD59+AG59+AE59+AF59</f>
        <v>#DIV/0!</v>
      </c>
      <c r="AI59" s="41" t="e">
        <f>IF(AH59&gt;=40,40,AH59)</f>
        <v>#DIV/0!</v>
      </c>
      <c r="AJ59" s="45"/>
      <c r="AK59" s="46"/>
      <c r="AL59" s="47"/>
      <c r="AM59" s="48">
        <f>100%+AL59</f>
        <v>1</v>
      </c>
      <c r="AN59" s="49">
        <f>ROUNDUP((($E$2*AM59-$AN$4)*AJ59+$AN$4),-3)</f>
        <v>0</v>
      </c>
      <c r="AO59" s="50"/>
    </row>
    <row r="60" spans="1:41" s="22" customFormat="1" ht="26.25" customHeight="1" x14ac:dyDescent="0.15">
      <c r="A60" s="91"/>
      <c r="B60" s="89"/>
      <c r="C60" s="172" t="s">
        <v>48</v>
      </c>
      <c r="D60" s="173"/>
      <c r="E60" s="173"/>
      <c r="F60" s="173"/>
      <c r="G60" s="182"/>
      <c r="H60" s="34"/>
      <c r="I60" s="57"/>
      <c r="J60" s="61"/>
      <c r="K60" s="61"/>
      <c r="L60" s="61"/>
      <c r="M60" s="85"/>
      <c r="N60" s="62"/>
      <c r="O60" s="37"/>
      <c r="P60" s="200"/>
      <c r="Q60" s="201"/>
      <c r="R60" s="201"/>
      <c r="S60" s="201"/>
      <c r="T60" s="201"/>
      <c r="U60" s="77">
        <f>(I59*P60)+(J59*Q60)+(K59*R60)+(L59*S60)+(M59*T60)</f>
        <v>0</v>
      </c>
      <c r="V60" s="41"/>
      <c r="W60" s="42"/>
      <c r="X60" s="42"/>
      <c r="Y60" s="42"/>
      <c r="Z60" s="42"/>
      <c r="AA60" s="42"/>
      <c r="AB60" s="73"/>
      <c r="AC60" s="78"/>
      <c r="AD60" s="74"/>
      <c r="AE60" s="116"/>
      <c r="AF60" s="43"/>
      <c r="AG60" s="65"/>
      <c r="AH60" s="44"/>
      <c r="AI60" s="41"/>
      <c r="AJ60" s="45"/>
      <c r="AK60" s="46"/>
      <c r="AL60" s="47"/>
      <c r="AM60" s="48"/>
      <c r="AN60" s="49"/>
      <c r="AO60" s="50"/>
    </row>
    <row r="61" spans="1:41" s="22" customFormat="1" ht="48.75" customHeight="1" x14ac:dyDescent="0.15">
      <c r="A61" s="90"/>
      <c r="B61" s="88"/>
      <c r="C61" s="92"/>
      <c r="D61" s="96"/>
      <c r="E61" s="130"/>
      <c r="F61" s="92"/>
      <c r="G61" s="128"/>
      <c r="H61" s="34"/>
      <c r="I61" s="35"/>
      <c r="J61" s="36"/>
      <c r="K61" s="36"/>
      <c r="L61" s="36"/>
      <c r="M61" s="86"/>
      <c r="N61" s="62">
        <f>SUM(I61:M61)</f>
        <v>0</v>
      </c>
      <c r="O61" s="37"/>
      <c r="P61" s="198"/>
      <c r="Q61" s="199"/>
      <c r="R61" s="199"/>
      <c r="S61" s="199"/>
      <c r="T61" s="199"/>
      <c r="U61" s="40">
        <f>ROUND(((P61*I61)+(Q61*J61)+(R61*K61)+(S61*L61)+(T61*M61)),3)</f>
        <v>0</v>
      </c>
      <c r="V61" s="41">
        <f>IF(U61&gt;=8,8,U61)</f>
        <v>0</v>
      </c>
      <c r="W61" s="42"/>
      <c r="X61" s="42"/>
      <c r="Y61" s="42"/>
      <c r="Z61" s="42"/>
      <c r="AA61" s="42"/>
      <c r="AB61" s="73" t="e">
        <f>(((((W61*I61)+(X61*J61)+(Y61*K61)+(Z61*L61)+(AA61*M61))/$L$2)))</f>
        <v>#DIV/0!</v>
      </c>
      <c r="AC61" s="78" t="e">
        <f>ROUND(11*AB61,3)</f>
        <v>#DIV/0!</v>
      </c>
      <c r="AD61" s="75" t="e">
        <f>IF(AC61&gt;=11,11,AC61)</f>
        <v>#DIV/0!</v>
      </c>
      <c r="AE61" s="116">
        <f>IF(U62&gt;=94,4,IF(U62&gt;=91,3.9,IF(U62&gt;=88,3.8,IF(U62&gt;=85,3.7,3.6))))</f>
        <v>3.6</v>
      </c>
      <c r="AF61" s="43">
        <v>0.2</v>
      </c>
      <c r="AG61" s="117">
        <v>17</v>
      </c>
      <c r="AH61" s="44" t="e">
        <f>V61+AD61+AG61+AE61+AF61</f>
        <v>#DIV/0!</v>
      </c>
      <c r="AI61" s="41" t="e">
        <f>IF(AH61&gt;=40,40,AH61)</f>
        <v>#DIV/0!</v>
      </c>
      <c r="AJ61" s="45"/>
      <c r="AK61" s="46"/>
      <c r="AL61" s="47"/>
      <c r="AM61" s="48">
        <f>100%+AL61</f>
        <v>1</v>
      </c>
      <c r="AN61" s="49">
        <f>ROUNDUP((($E$2*AM61-$AN$4)*AJ61+$AN$4),-3)</f>
        <v>0</v>
      </c>
      <c r="AO61" s="50"/>
    </row>
    <row r="62" spans="1:41" s="22" customFormat="1" ht="26.25" customHeight="1" x14ac:dyDescent="0.15">
      <c r="A62" s="91"/>
      <c r="B62" s="89"/>
      <c r="C62" s="172" t="s">
        <v>48</v>
      </c>
      <c r="D62" s="173"/>
      <c r="E62" s="173"/>
      <c r="F62" s="173"/>
      <c r="G62" s="182"/>
      <c r="H62" s="34"/>
      <c r="I62" s="57"/>
      <c r="J62" s="61"/>
      <c r="K62" s="61"/>
      <c r="L62" s="61"/>
      <c r="M62" s="85"/>
      <c r="N62" s="62"/>
      <c r="O62" s="37"/>
      <c r="P62" s="201"/>
      <c r="Q62" s="201"/>
      <c r="R62" s="201"/>
      <c r="S62" s="201"/>
      <c r="T62" s="201"/>
      <c r="U62" s="77">
        <f>(I61*P62)+(J61*Q62)+(K61*R62)+(L61*S62)+(M61*T62)</f>
        <v>0</v>
      </c>
      <c r="V62" s="41"/>
      <c r="W62" s="42"/>
      <c r="X62" s="42"/>
      <c r="Y62" s="42"/>
      <c r="Z62" s="42"/>
      <c r="AA62" s="42"/>
      <c r="AB62" s="73"/>
      <c r="AC62" s="78"/>
      <c r="AD62" s="74"/>
      <c r="AE62" s="116"/>
      <c r="AF62" s="43"/>
      <c r="AG62" s="65"/>
      <c r="AH62" s="44"/>
      <c r="AI62" s="41"/>
      <c r="AJ62" s="45"/>
      <c r="AK62" s="46"/>
      <c r="AL62" s="47"/>
      <c r="AM62" s="48"/>
      <c r="AN62" s="49"/>
      <c r="AO62" s="50"/>
    </row>
    <row r="63" spans="1:41" s="22" customFormat="1" ht="48.75" customHeight="1" x14ac:dyDescent="0.15">
      <c r="A63" s="90"/>
      <c r="B63" s="105"/>
      <c r="C63" s="96"/>
      <c r="D63" s="92"/>
      <c r="E63" s="96"/>
      <c r="F63" s="93"/>
      <c r="G63" s="127"/>
      <c r="H63" s="58"/>
      <c r="I63" s="35"/>
      <c r="J63" s="36"/>
      <c r="K63" s="36"/>
      <c r="L63" s="36"/>
      <c r="M63" s="86"/>
      <c r="N63" s="62">
        <f>SUM(I63:M63)</f>
        <v>0</v>
      </c>
      <c r="O63" s="37"/>
      <c r="P63" s="198"/>
      <c r="Q63" s="199"/>
      <c r="R63" s="199"/>
      <c r="S63" s="199"/>
      <c r="T63" s="199"/>
      <c r="U63" s="40">
        <f>ROUND(((P63*I63)+(Q63*J63)+(R63*K63)+(S63*L63)+(T63*M63)),3)</f>
        <v>0</v>
      </c>
      <c r="V63" s="41">
        <f>IF(U63&gt;=8,8,U63)</f>
        <v>0</v>
      </c>
      <c r="W63" s="42"/>
      <c r="X63" s="42"/>
      <c r="Y63" s="42"/>
      <c r="Z63" s="42"/>
      <c r="AA63" s="42"/>
      <c r="AB63" s="73" t="e">
        <f>(((((W63*I63)+(X63*J63)+(Y63*K63)+(Z63*L63)+(AA63*M63))/$L$2)))</f>
        <v>#DIV/0!</v>
      </c>
      <c r="AC63" s="78" t="e">
        <f>ROUND(11*AB63,3)</f>
        <v>#DIV/0!</v>
      </c>
      <c r="AD63" s="75" t="e">
        <f>IF(AC63&gt;=11,11,AC63)</f>
        <v>#DIV/0!</v>
      </c>
      <c r="AE63" s="116">
        <f>IF(U64&gt;=94,4,IF(U64&gt;=91,3.9,IF(U64&gt;=88,3.8,IF(U64&gt;=85,3.7,3.6))))</f>
        <v>3.6</v>
      </c>
      <c r="AF63" s="43">
        <v>0.3</v>
      </c>
      <c r="AG63" s="117">
        <v>17</v>
      </c>
      <c r="AH63" s="44" t="e">
        <f>V63+AD63+AG63+AE63+AF63</f>
        <v>#DIV/0!</v>
      </c>
      <c r="AI63" s="41" t="e">
        <f>IF(AH63&gt;=40,40,AH63)</f>
        <v>#DIV/0!</v>
      </c>
      <c r="AJ63" s="45"/>
      <c r="AK63" s="46"/>
      <c r="AL63" s="47"/>
      <c r="AM63" s="48">
        <f>100%+AL63</f>
        <v>1</v>
      </c>
      <c r="AN63" s="49">
        <f>ROUNDUP((($E$2*AM63-$AN$4)*AJ63+$AN$4),-3)</f>
        <v>0</v>
      </c>
      <c r="AO63" s="50"/>
    </row>
    <row r="64" spans="1:41" s="22" customFormat="1" ht="26.25" customHeight="1" x14ac:dyDescent="0.15">
      <c r="A64" s="91"/>
      <c r="B64" s="89"/>
      <c r="C64" s="172" t="s">
        <v>48</v>
      </c>
      <c r="D64" s="173"/>
      <c r="E64" s="173"/>
      <c r="F64" s="173"/>
      <c r="G64" s="182"/>
      <c r="H64" s="34"/>
      <c r="I64" s="57"/>
      <c r="J64" s="61"/>
      <c r="K64" s="61"/>
      <c r="L64" s="61"/>
      <c r="M64" s="85"/>
      <c r="N64" s="62"/>
      <c r="O64" s="37"/>
      <c r="P64" s="201"/>
      <c r="Q64" s="201"/>
      <c r="R64" s="201"/>
      <c r="S64" s="201"/>
      <c r="T64" s="201"/>
      <c r="U64" s="77">
        <f>(I63*P64)+(J63*Q64)+(K63*R64)+(L63*S64)+(M63*T64)</f>
        <v>0</v>
      </c>
      <c r="V64" s="41"/>
      <c r="W64" s="42"/>
      <c r="X64" s="42"/>
      <c r="Y64" s="42"/>
      <c r="Z64" s="42"/>
      <c r="AA64" s="42"/>
      <c r="AB64" s="73"/>
      <c r="AC64" s="78"/>
      <c r="AD64" s="74"/>
      <c r="AE64" s="116"/>
      <c r="AF64" s="43"/>
      <c r="AG64" s="65"/>
      <c r="AH64" s="44"/>
      <c r="AI64" s="41"/>
      <c r="AJ64" s="45"/>
      <c r="AK64" s="46"/>
      <c r="AL64" s="47"/>
      <c r="AM64" s="48"/>
      <c r="AN64" s="49"/>
      <c r="AO64" s="50"/>
    </row>
    <row r="65" spans="1:41" s="22" customFormat="1" ht="55.5" customHeight="1" x14ac:dyDescent="0.15">
      <c r="A65" s="90"/>
      <c r="B65" s="88"/>
      <c r="C65" s="96"/>
      <c r="D65" s="92"/>
      <c r="E65" s="96"/>
      <c r="F65" s="92"/>
      <c r="G65" s="128"/>
      <c r="H65" s="58"/>
      <c r="I65" s="35"/>
      <c r="J65" s="36"/>
      <c r="K65" s="36"/>
      <c r="L65" s="36"/>
      <c r="M65" s="86"/>
      <c r="N65" s="62">
        <f>SUM(I65:M65)</f>
        <v>0</v>
      </c>
      <c r="O65" s="37"/>
      <c r="P65" s="198"/>
      <c r="Q65" s="199"/>
      <c r="R65" s="199"/>
      <c r="S65" s="199"/>
      <c r="T65" s="199"/>
      <c r="U65" s="40">
        <f>ROUND(((P65*I65)+(Q65*J65)+(R65*K65)+(S65*L65)+(T65*M65)),3)</f>
        <v>0</v>
      </c>
      <c r="V65" s="41">
        <f>IF(U65&gt;=8,8,U65)</f>
        <v>0</v>
      </c>
      <c r="W65" s="42"/>
      <c r="X65" s="42"/>
      <c r="Y65" s="42"/>
      <c r="Z65" s="42"/>
      <c r="AA65" s="42"/>
      <c r="AB65" s="73" t="e">
        <f>(((((W65*I65)+(X65*J65)+(Y65*K65)+(Z65*L65)+(AA65*M65))/$L$2)))</f>
        <v>#DIV/0!</v>
      </c>
      <c r="AC65" s="78" t="e">
        <f t="shared" ref="AC65" si="38">ROUND(11*AB65,3)</f>
        <v>#DIV/0!</v>
      </c>
      <c r="AD65" s="75" t="e">
        <f t="shared" ref="AD65" si="39">IF(AC65&gt;=11,11,AC65)</f>
        <v>#DIV/0!</v>
      </c>
      <c r="AE65" s="116">
        <f>IF(U66&gt;=94,4,IF(U66&gt;=91,3.9,IF(U66&gt;=88,3.8,IF(U66&gt;=85,3.7,3.6))))</f>
        <v>3.6</v>
      </c>
      <c r="AF65" s="43">
        <v>0.3</v>
      </c>
      <c r="AG65" s="117">
        <v>17</v>
      </c>
      <c r="AH65" s="44" t="e">
        <f>V65+AD65+AG65+AE65+AF65</f>
        <v>#DIV/0!</v>
      </c>
      <c r="AI65" s="41" t="e">
        <f>IF(AH65&gt;=40,40,AH65)</f>
        <v>#DIV/0!</v>
      </c>
      <c r="AJ65" s="45"/>
      <c r="AK65" s="46"/>
      <c r="AL65" s="47"/>
      <c r="AM65" s="48">
        <f>100%+AL65</f>
        <v>1</v>
      </c>
      <c r="AN65" s="49">
        <f>ROUNDUP((($E$2*AM65-$AN$4)*AJ65+$AN$4),-3)</f>
        <v>0</v>
      </c>
      <c r="AO65" s="50"/>
    </row>
    <row r="66" spans="1:41" s="22" customFormat="1" ht="26.25" customHeight="1" x14ac:dyDescent="0.15">
      <c r="A66" s="91"/>
      <c r="B66" s="89"/>
      <c r="C66" s="172" t="s">
        <v>48</v>
      </c>
      <c r="D66" s="173"/>
      <c r="E66" s="173"/>
      <c r="F66" s="173"/>
      <c r="G66" s="182"/>
      <c r="H66" s="34"/>
      <c r="I66" s="57"/>
      <c r="J66" s="61"/>
      <c r="K66" s="61"/>
      <c r="L66" s="61"/>
      <c r="M66" s="85"/>
      <c r="N66" s="62"/>
      <c r="O66" s="37"/>
      <c r="P66" s="200"/>
      <c r="Q66" s="201"/>
      <c r="R66" s="201"/>
      <c r="S66" s="201"/>
      <c r="T66" s="201"/>
      <c r="U66" s="77">
        <f>(I65*P66)+(J65*Q66)+(K65*R66)+(L65*S66)+(M65*T66)</f>
        <v>0</v>
      </c>
      <c r="V66" s="41"/>
      <c r="W66" s="42"/>
      <c r="X66" s="42"/>
      <c r="Y66" s="42"/>
      <c r="Z66" s="42"/>
      <c r="AA66" s="42"/>
      <c r="AB66" s="73"/>
      <c r="AC66" s="78"/>
      <c r="AD66" s="74"/>
      <c r="AE66" s="116"/>
      <c r="AF66" s="43"/>
      <c r="AG66" s="65"/>
      <c r="AH66" s="44"/>
      <c r="AI66" s="41"/>
      <c r="AJ66" s="45"/>
      <c r="AK66" s="46"/>
      <c r="AL66" s="47"/>
      <c r="AM66" s="48"/>
      <c r="AN66" s="49"/>
      <c r="AO66" s="50"/>
    </row>
    <row r="67" spans="1:41" s="22" customFormat="1" ht="48.75" customHeight="1" x14ac:dyDescent="0.15">
      <c r="A67" s="90"/>
      <c r="B67" s="88"/>
      <c r="C67" s="96"/>
      <c r="D67" s="87"/>
      <c r="E67" s="92"/>
      <c r="F67" s="92"/>
      <c r="G67" s="128"/>
      <c r="H67" s="58"/>
      <c r="I67" s="35"/>
      <c r="J67" s="36"/>
      <c r="K67" s="36"/>
      <c r="L67" s="61"/>
      <c r="M67" s="86"/>
      <c r="N67" s="62">
        <f>SUM(I67:M67)</f>
        <v>0</v>
      </c>
      <c r="O67" s="37"/>
      <c r="P67" s="198"/>
      <c r="Q67" s="199"/>
      <c r="R67" s="199"/>
      <c r="S67" s="199"/>
      <c r="T67" s="199"/>
      <c r="U67" s="40">
        <f>ROUND(((P67*I67)+(Q67*J67)+(R67*K67)+(S67*L67)+(T67*M67)),3)</f>
        <v>0</v>
      </c>
      <c r="V67" s="41">
        <f>IF(U67&gt;=8,8,U67)</f>
        <v>0</v>
      </c>
      <c r="W67" s="42"/>
      <c r="X67" s="42"/>
      <c r="Y67" s="42"/>
      <c r="Z67" s="42"/>
      <c r="AA67" s="42"/>
      <c r="AB67" s="73" t="e">
        <f>(((((W67*I67)+(X67*J67)+(Y67*K67)+(Z67*L67)+(AA67*M67))/$L$2)))</f>
        <v>#DIV/0!</v>
      </c>
      <c r="AC67" s="78" t="e">
        <f t="shared" ref="AC67" si="40">ROUND(11*AB67,3)</f>
        <v>#DIV/0!</v>
      </c>
      <c r="AD67" s="75" t="e">
        <f t="shared" ref="AD67" si="41">IF(AC67&gt;=11,11,AC67)</f>
        <v>#DIV/0!</v>
      </c>
      <c r="AE67" s="116">
        <f>IF(U68&gt;=94,4,IF(U68&gt;=91,3.9,IF(U68&gt;=88,3.8,IF(U68&gt;=85,3.7,3.6))))</f>
        <v>3.6</v>
      </c>
      <c r="AF67" s="43">
        <v>0.3</v>
      </c>
      <c r="AG67" s="117">
        <v>17</v>
      </c>
      <c r="AH67" s="44" t="e">
        <f>V67+AD67+AG67+AE67+AF67</f>
        <v>#DIV/0!</v>
      </c>
      <c r="AI67" s="41" t="e">
        <f>IF(AH67&gt;=40,40,AH67)</f>
        <v>#DIV/0!</v>
      </c>
      <c r="AJ67" s="45"/>
      <c r="AK67" s="46"/>
      <c r="AL67" s="47"/>
      <c r="AM67" s="48">
        <f>100%+AL67</f>
        <v>1</v>
      </c>
      <c r="AN67" s="49">
        <f>ROUNDUP((($E$2*AM67-$AN$4)*AJ67+$AN$4),-3)</f>
        <v>0</v>
      </c>
      <c r="AO67" s="50"/>
    </row>
    <row r="68" spans="1:41" s="22" customFormat="1" ht="26.25" customHeight="1" x14ac:dyDescent="0.15">
      <c r="A68" s="91"/>
      <c r="B68" s="89"/>
      <c r="C68" s="172" t="s">
        <v>48</v>
      </c>
      <c r="D68" s="173"/>
      <c r="E68" s="173"/>
      <c r="F68" s="173"/>
      <c r="G68" s="182"/>
      <c r="H68" s="34"/>
      <c r="I68" s="57"/>
      <c r="J68" s="61"/>
      <c r="K68" s="61"/>
      <c r="L68" s="61"/>
      <c r="M68" s="85"/>
      <c r="N68" s="62"/>
      <c r="O68" s="37"/>
      <c r="P68" s="200"/>
      <c r="Q68" s="199"/>
      <c r="R68" s="199"/>
      <c r="S68" s="201"/>
      <c r="T68" s="201"/>
      <c r="U68" s="77">
        <f>(I67*P68)+(J67*Q68)+(K67*R68)+(L67*S68)+(M67*T68)</f>
        <v>0</v>
      </c>
      <c r="V68" s="41"/>
      <c r="W68" s="42"/>
      <c r="X68" s="42"/>
      <c r="Y68" s="42"/>
      <c r="Z68" s="42"/>
      <c r="AA68" s="42"/>
      <c r="AB68" s="73"/>
      <c r="AC68" s="78"/>
      <c r="AD68" s="74"/>
      <c r="AE68" s="116"/>
      <c r="AF68" s="43"/>
      <c r="AG68" s="65"/>
      <c r="AH68" s="44"/>
      <c r="AI68" s="41"/>
      <c r="AJ68" s="45"/>
      <c r="AK68" s="46"/>
      <c r="AL68" s="47"/>
      <c r="AM68" s="48"/>
      <c r="AN68" s="49"/>
      <c r="AO68" s="50"/>
    </row>
    <row r="69" spans="1:41" s="22" customFormat="1" ht="48.75" customHeight="1" x14ac:dyDescent="0.15">
      <c r="A69" s="90"/>
      <c r="B69" s="88"/>
      <c r="C69" s="92"/>
      <c r="D69" s="92"/>
      <c r="E69" s="92"/>
      <c r="F69" s="106"/>
      <c r="G69" s="107"/>
      <c r="H69" s="58"/>
      <c r="I69" s="35"/>
      <c r="J69" s="36"/>
      <c r="K69" s="36"/>
      <c r="L69" s="36"/>
      <c r="M69" s="86"/>
      <c r="N69" s="62">
        <f>SUM(I69:M69)</f>
        <v>0</v>
      </c>
      <c r="O69" s="37"/>
      <c r="P69" s="198"/>
      <c r="Q69" s="199"/>
      <c r="R69" s="199"/>
      <c r="S69" s="199"/>
      <c r="T69" s="199"/>
      <c r="U69" s="40">
        <f>ROUND(((P69*I69)+(Q69*J69)+(R69*K69)+(S69*L69)+(T69*M69)),3)</f>
        <v>0</v>
      </c>
      <c r="V69" s="41">
        <f>IF(U69&gt;=8,8,U69)</f>
        <v>0</v>
      </c>
      <c r="W69" s="42"/>
      <c r="X69" s="42"/>
      <c r="Y69" s="42"/>
      <c r="Z69" s="42"/>
      <c r="AA69" s="42"/>
      <c r="AB69" s="73" t="e">
        <f>(((((W69*I69)+(X69*J69)+(Y69*K69)+(Z69*L69)+(AA69*M69))/$L$2)))</f>
        <v>#DIV/0!</v>
      </c>
      <c r="AC69" s="78" t="e">
        <f t="shared" ref="AC69" si="42">ROUND(11*AB69,3)</f>
        <v>#DIV/0!</v>
      </c>
      <c r="AD69" s="75" t="e">
        <f t="shared" ref="AD69" si="43">IF(AC69&gt;=11,11,AC69)</f>
        <v>#DIV/0!</v>
      </c>
      <c r="AE69" s="116">
        <f>IF(U70&gt;=94,4,IF(U70&gt;=91,3.9,IF(U70&gt;=88,3.8,IF(U70&gt;=85,3.7,3.6))))</f>
        <v>3.6</v>
      </c>
      <c r="AF69" s="43">
        <v>0.3</v>
      </c>
      <c r="AG69" s="117">
        <v>17</v>
      </c>
      <c r="AH69" s="44" t="e">
        <f>V69+AD69+AG69+AE69+AF69</f>
        <v>#DIV/0!</v>
      </c>
      <c r="AI69" s="41" t="e">
        <f>IF(AH69&gt;=40,40,AH69)</f>
        <v>#DIV/0!</v>
      </c>
      <c r="AJ69" s="45"/>
      <c r="AK69" s="46"/>
      <c r="AL69" s="47"/>
      <c r="AM69" s="48">
        <f>100%+AL69</f>
        <v>1</v>
      </c>
      <c r="AN69" s="49">
        <f>ROUNDUP((($E$2*AM69-$AN$4)*AJ69+$AN$4),-3)</f>
        <v>0</v>
      </c>
      <c r="AO69" s="50"/>
    </row>
    <row r="70" spans="1:41" s="22" customFormat="1" ht="26.25" customHeight="1" x14ac:dyDescent="0.15">
      <c r="A70" s="91"/>
      <c r="B70" s="89"/>
      <c r="C70" s="174" t="s">
        <v>48</v>
      </c>
      <c r="D70" s="175"/>
      <c r="E70" s="175"/>
      <c r="F70" s="175"/>
      <c r="G70" s="176"/>
      <c r="H70" s="34"/>
      <c r="I70" s="57"/>
      <c r="J70" s="61"/>
      <c r="K70" s="61"/>
      <c r="L70" s="61"/>
      <c r="M70" s="85"/>
      <c r="N70" s="62"/>
      <c r="O70" s="37"/>
      <c r="P70" s="200"/>
      <c r="Q70" s="200"/>
      <c r="R70" s="200"/>
      <c r="S70" s="201"/>
      <c r="T70" s="201"/>
      <c r="U70" s="77">
        <f>(I69*P70)+(J69*Q70)+(K69*R70)+(L69*S70)+(M69*T70)</f>
        <v>0</v>
      </c>
      <c r="V70" s="41"/>
      <c r="W70" s="42"/>
      <c r="X70" s="42"/>
      <c r="Y70" s="42"/>
      <c r="Z70" s="42"/>
      <c r="AA70" s="42"/>
      <c r="AB70" s="73"/>
      <c r="AC70" s="78"/>
      <c r="AD70" s="74"/>
      <c r="AE70" s="116"/>
      <c r="AF70" s="43"/>
      <c r="AG70" s="65"/>
      <c r="AH70" s="44"/>
      <c r="AI70" s="41"/>
      <c r="AJ70" s="45"/>
      <c r="AK70" s="46"/>
      <c r="AL70" s="47"/>
      <c r="AM70" s="48"/>
      <c r="AN70" s="49"/>
      <c r="AO70" s="50"/>
    </row>
    <row r="71" spans="1:41" s="22" customFormat="1" ht="50.25" customHeight="1" x14ac:dyDescent="0.15">
      <c r="A71" s="90"/>
      <c r="B71" s="88"/>
      <c r="C71" s="53"/>
      <c r="D71" s="33"/>
      <c r="E71" s="33"/>
      <c r="F71" s="54"/>
      <c r="G71" s="81"/>
      <c r="H71" s="34"/>
      <c r="I71" s="35"/>
      <c r="J71" s="36"/>
      <c r="K71" s="36"/>
      <c r="L71" s="36"/>
      <c r="M71" s="86"/>
      <c r="N71" s="62">
        <f>SUM(I71:M71)</f>
        <v>0</v>
      </c>
      <c r="O71" s="37"/>
      <c r="P71" s="198"/>
      <c r="Q71" s="199"/>
      <c r="R71" s="199"/>
      <c r="S71" s="199"/>
      <c r="T71" s="199"/>
      <c r="U71" s="40">
        <f>ROUND(((P71*I71)+(Q71*J71)+(R71*K71)+(S71*L71)+(T71*M71)),2)</f>
        <v>0</v>
      </c>
      <c r="V71" s="41">
        <f>IF(U71&gt;=8,8,U71)</f>
        <v>0</v>
      </c>
      <c r="W71" s="42"/>
      <c r="X71" s="42"/>
      <c r="Y71" s="42"/>
      <c r="Z71" s="42"/>
      <c r="AA71" s="42"/>
      <c r="AB71" s="73" t="e">
        <f>(((((W71*I71)+(X71*J71)+(Y71*K71)+(Z71*L71)+(AA71*M71))/$L$2)))</f>
        <v>#DIV/0!</v>
      </c>
      <c r="AC71" s="78" t="e">
        <f t="shared" ref="AC71" si="44">ROUND(11*AB71,3)</f>
        <v>#DIV/0!</v>
      </c>
      <c r="AD71" s="75" t="e">
        <f t="shared" ref="AD71" si="45">IF(AC71&gt;=11,11,AC71)</f>
        <v>#DIV/0!</v>
      </c>
      <c r="AE71" s="116">
        <f>IF(U72&gt;=94,4,IF(U72&gt;=91,3.9,IF(U72&gt;=88,3.8,IF(U72&gt;=85,3.7,3.6))))</f>
        <v>3.6</v>
      </c>
      <c r="AF71" s="43">
        <v>0.3</v>
      </c>
      <c r="AG71" s="117">
        <v>17</v>
      </c>
      <c r="AH71" s="44" t="e">
        <f>V71+AD71+AG71+AE71+AF71</f>
        <v>#DIV/0!</v>
      </c>
      <c r="AI71" s="41" t="e">
        <f>IF(AH71&gt;=40,40,AH71)</f>
        <v>#DIV/0!</v>
      </c>
      <c r="AJ71" s="45"/>
      <c r="AK71" s="46"/>
      <c r="AL71" s="47"/>
      <c r="AM71" s="48"/>
      <c r="AN71" s="49"/>
      <c r="AO71" s="50"/>
    </row>
    <row r="72" spans="1:41" s="22" customFormat="1" ht="26.25" customHeight="1" x14ac:dyDescent="0.15">
      <c r="A72" s="91"/>
      <c r="B72" s="89"/>
      <c r="C72" s="174" t="s">
        <v>48</v>
      </c>
      <c r="D72" s="175"/>
      <c r="E72" s="175"/>
      <c r="F72" s="175"/>
      <c r="G72" s="176"/>
      <c r="H72" s="34"/>
      <c r="I72" s="57"/>
      <c r="J72" s="61"/>
      <c r="K72" s="61"/>
      <c r="L72" s="61"/>
      <c r="M72" s="85"/>
      <c r="N72" s="62"/>
      <c r="O72" s="37"/>
      <c r="P72" s="201"/>
      <c r="Q72" s="201"/>
      <c r="R72" s="201"/>
      <c r="S72" s="201"/>
      <c r="T72" s="201"/>
      <c r="U72" s="77">
        <f>(I71*P72)+(J71*Q72)+(K71*R72)+(L71*S72)+(M71*T72)</f>
        <v>0</v>
      </c>
      <c r="V72" s="41"/>
      <c r="W72" s="42"/>
      <c r="X72" s="42"/>
      <c r="Y72" s="42"/>
      <c r="Z72" s="42"/>
      <c r="AA72" s="42"/>
      <c r="AB72" s="73"/>
      <c r="AC72" s="78"/>
      <c r="AD72" s="74"/>
      <c r="AE72" s="116"/>
      <c r="AF72" s="43"/>
      <c r="AG72" s="65"/>
      <c r="AH72" s="44"/>
      <c r="AI72" s="41"/>
      <c r="AJ72" s="45"/>
      <c r="AK72" s="46"/>
      <c r="AL72" s="47"/>
      <c r="AM72" s="48"/>
      <c r="AN72" s="49"/>
      <c r="AO72" s="50"/>
    </row>
    <row r="73" spans="1:41" s="22" customFormat="1" ht="54" customHeight="1" x14ac:dyDescent="0.15">
      <c r="A73" s="90"/>
      <c r="B73" s="88"/>
      <c r="C73" s="53"/>
      <c r="D73" s="33"/>
      <c r="E73" s="33"/>
      <c r="F73" s="54"/>
      <c r="G73" s="81"/>
      <c r="H73" s="34"/>
      <c r="I73" s="35"/>
      <c r="J73" s="36"/>
      <c r="K73" s="36"/>
      <c r="L73" s="36"/>
      <c r="M73" s="86"/>
      <c r="N73" s="62">
        <f>SUM(I73:M73)</f>
        <v>0</v>
      </c>
      <c r="O73" s="37"/>
      <c r="P73" s="198"/>
      <c r="Q73" s="199"/>
      <c r="R73" s="199"/>
      <c r="S73" s="199"/>
      <c r="T73" s="199"/>
      <c r="U73" s="40">
        <f>ROUND(((P73*I73)+(Q73*J73)+(R73*K73)+(S73*L73)+(T73*M73)),3)</f>
        <v>0</v>
      </c>
      <c r="V73" s="41">
        <f>IF(U73&gt;=8,8,U73)</f>
        <v>0</v>
      </c>
      <c r="W73" s="42"/>
      <c r="X73" s="42"/>
      <c r="Y73" s="42"/>
      <c r="Z73" s="42"/>
      <c r="AA73" s="42"/>
      <c r="AB73" s="73" t="e">
        <f>(((((W73*I73)+(X73*J73)+(Y73*K73)+(Z73*L73)+(AA73*M73))/$L$2)))</f>
        <v>#DIV/0!</v>
      </c>
      <c r="AC73" s="78" t="e">
        <f t="shared" ref="AC73" si="46">ROUND(11*AB73,3)</f>
        <v>#DIV/0!</v>
      </c>
      <c r="AD73" s="75" t="e">
        <f t="shared" ref="AD73" si="47">IF(AC73&gt;=11,11,AC73)</f>
        <v>#DIV/0!</v>
      </c>
      <c r="AE73" s="116">
        <f>IF(U74&gt;=94,4,IF(U74&gt;=91,3.9,IF(U74&gt;=88,3.8,IF(U74&gt;=85,3.7,3.6))))</f>
        <v>3.6</v>
      </c>
      <c r="AF73" s="43">
        <v>0.3</v>
      </c>
      <c r="AG73" s="117">
        <v>17</v>
      </c>
      <c r="AH73" s="44" t="e">
        <f>V73+AD73+AG73+AE73+AF73</f>
        <v>#DIV/0!</v>
      </c>
      <c r="AI73" s="41" t="e">
        <f>IF(AH73&gt;=40,40,AH73)</f>
        <v>#DIV/0!</v>
      </c>
      <c r="AJ73" s="45"/>
      <c r="AK73" s="46"/>
      <c r="AL73" s="47"/>
      <c r="AM73" s="48">
        <f>100%+AL73</f>
        <v>1</v>
      </c>
      <c r="AN73" s="49">
        <f>ROUNDUP((($E$2*AM73-$AN$4)*AJ73+$AN$4),-3)</f>
        <v>0</v>
      </c>
      <c r="AO73" s="50"/>
    </row>
    <row r="74" spans="1:41" s="22" customFormat="1" ht="26.25" customHeight="1" x14ac:dyDescent="0.15">
      <c r="A74" s="91"/>
      <c r="B74" s="89"/>
      <c r="C74" s="174" t="s">
        <v>48</v>
      </c>
      <c r="D74" s="175"/>
      <c r="E74" s="175"/>
      <c r="F74" s="175"/>
      <c r="G74" s="176"/>
      <c r="H74" s="34"/>
      <c r="I74" s="57"/>
      <c r="J74" s="61"/>
      <c r="K74" s="61"/>
      <c r="L74" s="61"/>
      <c r="M74" s="85"/>
      <c r="N74" s="62"/>
      <c r="O74" s="37"/>
      <c r="P74" s="200"/>
      <c r="Q74" s="201"/>
      <c r="R74" s="201"/>
      <c r="S74" s="201"/>
      <c r="T74" s="201"/>
      <c r="U74" s="77">
        <f>(I73*P74)+(J73*Q74)+(K73*R74)+(L73*S74)+(M73*T74)</f>
        <v>0</v>
      </c>
      <c r="V74" s="41"/>
      <c r="W74" s="42"/>
      <c r="X74" s="42"/>
      <c r="Y74" s="42"/>
      <c r="Z74" s="42"/>
      <c r="AA74" s="42"/>
      <c r="AB74" s="73"/>
      <c r="AC74" s="78"/>
      <c r="AD74" s="74"/>
      <c r="AE74" s="116"/>
      <c r="AF74" s="43"/>
      <c r="AG74" s="65"/>
      <c r="AH74" s="44"/>
      <c r="AI74" s="41"/>
      <c r="AJ74" s="45"/>
      <c r="AK74" s="46"/>
      <c r="AL74" s="47"/>
      <c r="AM74" s="48"/>
      <c r="AN74" s="49"/>
      <c r="AO74" s="50"/>
    </row>
    <row r="75" spans="1:41" s="22" customFormat="1" ht="48.75" customHeight="1" x14ac:dyDescent="0.15">
      <c r="A75" s="90"/>
      <c r="B75" s="88"/>
      <c r="C75" s="33"/>
      <c r="D75" s="92"/>
      <c r="E75" s="92"/>
      <c r="F75" s="33"/>
      <c r="G75" s="80"/>
      <c r="H75" s="34"/>
      <c r="I75" s="35"/>
      <c r="J75" s="36"/>
      <c r="K75" s="36"/>
      <c r="L75" s="36"/>
      <c r="M75" s="86"/>
      <c r="N75" s="124">
        <f>SUM(I75:M75)</f>
        <v>0</v>
      </c>
      <c r="O75" s="37"/>
      <c r="P75" s="198"/>
      <c r="Q75" s="199"/>
      <c r="R75" s="199"/>
      <c r="S75" s="199"/>
      <c r="T75" s="199"/>
      <c r="U75" s="40">
        <f>ROUND(((P75*I75)+(Q75*J75)+(R75*K75)+(S75*L75)+(T75*M75)),3)</f>
        <v>0</v>
      </c>
      <c r="V75" s="41">
        <f>IF(U75&gt;=8,8,U75)</f>
        <v>0</v>
      </c>
      <c r="W75" s="42"/>
      <c r="X75" s="42"/>
      <c r="Y75" s="42"/>
      <c r="Z75" s="42"/>
      <c r="AA75" s="42"/>
      <c r="AB75" s="73" t="e">
        <f>(((((W75*I75)+(X75*J75)+(Y75*K75)+(Z75*L75)+(AA75*M75))/$L$2)))</f>
        <v>#DIV/0!</v>
      </c>
      <c r="AC75" s="78" t="e">
        <f t="shared" ref="AC75" si="48">ROUND(11*AB75,3)</f>
        <v>#DIV/0!</v>
      </c>
      <c r="AD75" s="75" t="e">
        <f t="shared" ref="AD75" si="49">IF(AC75&gt;=11,11,AC75)</f>
        <v>#DIV/0!</v>
      </c>
      <c r="AE75" s="116">
        <f>IF(U76&gt;=94,4,IF(U76&gt;=91,3.9,IF(U76&gt;=88,3.8,IF(U76&gt;=85,3.7,3.6))))</f>
        <v>3.6</v>
      </c>
      <c r="AF75" s="43">
        <v>0.3</v>
      </c>
      <c r="AG75" s="117">
        <v>17</v>
      </c>
      <c r="AH75" s="44" t="e">
        <f>V75+AD75+AG75+AE75+AF75</f>
        <v>#DIV/0!</v>
      </c>
      <c r="AI75" s="41" t="e">
        <f>IF(AH75&gt;=40,40,AH75)</f>
        <v>#DIV/0!</v>
      </c>
      <c r="AJ75" s="45"/>
      <c r="AK75" s="46"/>
      <c r="AL75" s="47"/>
      <c r="AM75" s="48">
        <f>100%+AL75</f>
        <v>1</v>
      </c>
      <c r="AN75" s="49">
        <f>ROUNDUP((($E$2*AM75-$AN$4)*AJ75+$AN$4),-3)</f>
        <v>0</v>
      </c>
      <c r="AO75" s="50"/>
    </row>
    <row r="76" spans="1:41" s="22" customFormat="1" ht="26.25" customHeight="1" x14ac:dyDescent="0.15">
      <c r="A76" s="91"/>
      <c r="B76" s="89"/>
      <c r="C76" s="174" t="s">
        <v>48</v>
      </c>
      <c r="D76" s="175"/>
      <c r="E76" s="175"/>
      <c r="F76" s="175"/>
      <c r="G76" s="176"/>
      <c r="H76" s="34"/>
      <c r="I76" s="57"/>
      <c r="J76" s="61"/>
      <c r="K76" s="61"/>
      <c r="L76" s="61"/>
      <c r="M76" s="85"/>
      <c r="N76" s="62"/>
      <c r="O76" s="37"/>
      <c r="P76" s="200"/>
      <c r="Q76" s="201"/>
      <c r="R76" s="201"/>
      <c r="S76" s="201"/>
      <c r="T76" s="201"/>
      <c r="U76" s="77">
        <f>(I75*P76)+(J75*Q76)+(K75*R76)+(L75*S76)+(M75*T76)</f>
        <v>0</v>
      </c>
      <c r="V76" s="41"/>
      <c r="W76" s="42"/>
      <c r="X76" s="42"/>
      <c r="Y76" s="42"/>
      <c r="Z76" s="42"/>
      <c r="AA76" s="42"/>
      <c r="AB76" s="73"/>
      <c r="AC76" s="78"/>
      <c r="AD76" s="74"/>
      <c r="AE76" s="116"/>
      <c r="AF76" s="43"/>
      <c r="AG76" s="65"/>
      <c r="AH76" s="44"/>
      <c r="AI76" s="41"/>
      <c r="AJ76" s="45"/>
      <c r="AK76" s="46"/>
      <c r="AL76" s="47"/>
      <c r="AM76" s="48"/>
      <c r="AN76" s="49"/>
      <c r="AO76" s="50"/>
    </row>
    <row r="77" spans="1:41" s="22" customFormat="1" ht="48.75" customHeight="1" x14ac:dyDescent="0.15">
      <c r="A77" s="90"/>
      <c r="B77" s="88"/>
      <c r="C77" s="53"/>
      <c r="D77" s="82"/>
      <c r="E77" s="53"/>
      <c r="F77" s="33"/>
      <c r="G77" s="69"/>
      <c r="H77" s="34"/>
      <c r="I77" s="35"/>
      <c r="J77" s="36"/>
      <c r="K77" s="36"/>
      <c r="L77" s="36"/>
      <c r="M77" s="86"/>
      <c r="N77" s="62">
        <f>SUM(I77:M77)</f>
        <v>0</v>
      </c>
      <c r="O77" s="37"/>
      <c r="P77" s="199"/>
      <c r="Q77" s="199"/>
      <c r="R77" s="199"/>
      <c r="S77" s="199"/>
      <c r="T77" s="199"/>
      <c r="U77" s="40">
        <f>ROUND(((P77*I77)+(Q77*J77)+(R77*K77)+(S77*L77)+(T77*M77)),3)</f>
        <v>0</v>
      </c>
      <c r="V77" s="41">
        <f>IF(U77&gt;=8,8,U77)</f>
        <v>0</v>
      </c>
      <c r="W77" s="42"/>
      <c r="X77" s="42"/>
      <c r="Y77" s="42"/>
      <c r="Z77" s="42"/>
      <c r="AA77" s="42"/>
      <c r="AB77" s="73" t="e">
        <f>(((((W77*I77)+(X77*J77)+(Y77*K77)+(Z77*L77)+(AA77*M77))/$L$2)))</f>
        <v>#DIV/0!</v>
      </c>
      <c r="AC77" s="78" t="e">
        <f t="shared" ref="AC77" si="50">ROUND(11*AB77,3)</f>
        <v>#DIV/0!</v>
      </c>
      <c r="AD77" s="75" t="e">
        <f t="shared" ref="AD77" si="51">IF(AC77&gt;=11,11,AC77)</f>
        <v>#DIV/0!</v>
      </c>
      <c r="AE77" s="116">
        <f>IF(U78&gt;=94,4,IF(U78&gt;=91,3.9,IF(U78&gt;=88,3.8,IF(U78&gt;=85,3.7,3.6))))</f>
        <v>3.6</v>
      </c>
      <c r="AF77" s="43">
        <v>0.3</v>
      </c>
      <c r="AG77" s="117">
        <v>17</v>
      </c>
      <c r="AH77" s="44" t="e">
        <f>V77+AD77+AG77+AE77+AF77</f>
        <v>#DIV/0!</v>
      </c>
      <c r="AI77" s="41" t="e">
        <f>IF(AH77&gt;=40,40,AH77)</f>
        <v>#DIV/0!</v>
      </c>
      <c r="AJ77" s="45"/>
      <c r="AK77" s="46"/>
      <c r="AL77" s="47"/>
      <c r="AM77" s="48">
        <f>100%+AL77</f>
        <v>1</v>
      </c>
      <c r="AN77" s="49">
        <f>ROUNDUP((($E$2*AM77-$AN$4)*AJ77+$AN$4),-3)</f>
        <v>0</v>
      </c>
      <c r="AO77" s="50"/>
    </row>
    <row r="78" spans="1:41" s="22" customFormat="1" ht="26.25" customHeight="1" x14ac:dyDescent="0.15">
      <c r="A78" s="91"/>
      <c r="B78" s="89"/>
      <c r="C78" s="174" t="s">
        <v>48</v>
      </c>
      <c r="D78" s="175"/>
      <c r="E78" s="175"/>
      <c r="F78" s="175"/>
      <c r="G78" s="176"/>
      <c r="H78" s="34"/>
      <c r="I78" s="57"/>
      <c r="J78" s="61"/>
      <c r="K78" s="61"/>
      <c r="L78" s="61"/>
      <c r="M78" s="85"/>
      <c r="N78" s="62"/>
      <c r="O78" s="37"/>
      <c r="P78" s="200"/>
      <c r="Q78" s="201"/>
      <c r="R78" s="201"/>
      <c r="S78" s="201"/>
      <c r="T78" s="201"/>
      <c r="U78" s="77">
        <f>(I77*P78)+(J77*Q78)+(K77*R78)+(L77*S78)+(M77*T78)</f>
        <v>0</v>
      </c>
      <c r="V78" s="41"/>
      <c r="W78" s="42"/>
      <c r="X78" s="42"/>
      <c r="Y78" s="42"/>
      <c r="Z78" s="42"/>
      <c r="AA78" s="42"/>
      <c r="AB78" s="73"/>
      <c r="AC78" s="78"/>
      <c r="AD78" s="74"/>
      <c r="AE78" s="116"/>
      <c r="AF78" s="43"/>
      <c r="AG78" s="65"/>
      <c r="AH78" s="44"/>
      <c r="AI78" s="41"/>
      <c r="AJ78" s="45"/>
      <c r="AK78" s="46"/>
      <c r="AL78" s="47"/>
      <c r="AM78" s="48"/>
      <c r="AN78" s="49"/>
      <c r="AO78" s="50"/>
    </row>
    <row r="79" spans="1:41" s="22" customFormat="1" ht="48.75" customHeight="1" x14ac:dyDescent="0.15">
      <c r="A79" s="90"/>
      <c r="B79" s="88"/>
      <c r="C79" s="33"/>
      <c r="D79" s="33"/>
      <c r="E79" s="33"/>
      <c r="F79" s="53"/>
      <c r="G79" s="67"/>
      <c r="H79" s="58"/>
      <c r="I79" s="35"/>
      <c r="J79" s="36"/>
      <c r="K79" s="36"/>
      <c r="L79" s="36"/>
      <c r="M79" s="86"/>
      <c r="N79" s="62">
        <f>SUM(I79:M79)</f>
        <v>0</v>
      </c>
      <c r="O79" s="37"/>
      <c r="P79" s="198"/>
      <c r="Q79" s="199"/>
      <c r="R79" s="199"/>
      <c r="S79" s="199"/>
      <c r="T79" s="199"/>
      <c r="U79" s="40">
        <f>ROUND(((P79*I79)+(Q79*J79)+(R79*K79)+(S79*L79)+(T79*M79)),3)</f>
        <v>0</v>
      </c>
      <c r="V79" s="41">
        <f>IF(U79&gt;=8,8,U79)</f>
        <v>0</v>
      </c>
      <c r="W79" s="42"/>
      <c r="X79" s="42"/>
      <c r="Y79" s="51"/>
      <c r="Z79" s="42"/>
      <c r="AA79" s="42"/>
      <c r="AB79" s="73" t="e">
        <f>(((((W79*I79)+(X79*J79)+(Y79*K79)+(Z79*L79)+(AA79*M79))/$L$2)))</f>
        <v>#DIV/0!</v>
      </c>
      <c r="AC79" s="78" t="e">
        <f t="shared" ref="AC79" si="52">ROUND(11*AB79,3)</f>
        <v>#DIV/0!</v>
      </c>
      <c r="AD79" s="75" t="e">
        <f t="shared" ref="AD79" si="53">IF(AC79&gt;=11,11,AC79)</f>
        <v>#DIV/0!</v>
      </c>
      <c r="AE79" s="116">
        <f>IF(U80&gt;=94,4,IF(U80&gt;=91,3.9,IF(U80&gt;=88,3.8,IF(U80&gt;=85,3.7,3.6))))</f>
        <v>3.6</v>
      </c>
      <c r="AF79" s="43">
        <v>0.3</v>
      </c>
      <c r="AG79" s="117">
        <v>17</v>
      </c>
      <c r="AH79" s="44" t="e">
        <f>V79+AD79+AG79+AE79+AF79</f>
        <v>#DIV/0!</v>
      </c>
      <c r="AI79" s="41" t="e">
        <f>IF(AH79&gt;=40,40,AH79)</f>
        <v>#DIV/0!</v>
      </c>
      <c r="AJ79" s="45"/>
      <c r="AK79" s="46"/>
      <c r="AL79" s="47"/>
      <c r="AM79" s="48">
        <f>100%+AL79</f>
        <v>1</v>
      </c>
      <c r="AN79" s="49">
        <f>ROUNDUP((($E$2*AM79-$AN$4)*AJ79+$AN$4),-3)</f>
        <v>0</v>
      </c>
      <c r="AO79" s="50"/>
    </row>
    <row r="80" spans="1:41" s="22" customFormat="1" ht="26.25" customHeight="1" x14ac:dyDescent="0.15">
      <c r="A80" s="91"/>
      <c r="B80" s="89"/>
      <c r="C80" s="174" t="s">
        <v>48</v>
      </c>
      <c r="D80" s="175"/>
      <c r="E80" s="175"/>
      <c r="F80" s="175"/>
      <c r="G80" s="176"/>
      <c r="H80" s="34"/>
      <c r="I80" s="57"/>
      <c r="J80" s="61"/>
      <c r="K80" s="61"/>
      <c r="L80" s="61"/>
      <c r="M80" s="85"/>
      <c r="N80" s="62"/>
      <c r="O80" s="37"/>
      <c r="P80" s="201"/>
      <c r="Q80" s="201"/>
      <c r="R80" s="199"/>
      <c r="S80" s="201"/>
      <c r="T80" s="201"/>
      <c r="U80" s="77">
        <f>(I79*P80)+(J79*Q80)+(K79*R80)+(L79*S80)+(M79*T80)</f>
        <v>0</v>
      </c>
      <c r="V80" s="41"/>
      <c r="W80" s="42"/>
      <c r="X80" s="42"/>
      <c r="Y80" s="42"/>
      <c r="Z80" s="42"/>
      <c r="AA80" s="42"/>
      <c r="AB80" s="73"/>
      <c r="AC80" s="78"/>
      <c r="AD80" s="74"/>
      <c r="AE80" s="116"/>
      <c r="AF80" s="43"/>
      <c r="AG80" s="65"/>
      <c r="AH80" s="44"/>
      <c r="AI80" s="41"/>
      <c r="AJ80" s="45"/>
      <c r="AK80" s="46"/>
      <c r="AL80" s="47"/>
      <c r="AM80" s="48"/>
      <c r="AN80" s="49"/>
      <c r="AO80" s="50"/>
    </row>
    <row r="81" spans="1:41" s="22" customFormat="1" ht="51.75" customHeight="1" x14ac:dyDescent="0.15">
      <c r="A81" s="90"/>
      <c r="B81" s="88"/>
      <c r="C81" s="52"/>
      <c r="D81" s="82"/>
      <c r="E81" s="82"/>
      <c r="F81" s="82"/>
      <c r="G81" s="81"/>
      <c r="H81" s="34"/>
      <c r="I81" s="35"/>
      <c r="J81" s="36"/>
      <c r="K81" s="36"/>
      <c r="L81" s="36"/>
      <c r="M81" s="86"/>
      <c r="N81" s="62">
        <f>SUM(I81:M81)</f>
        <v>0</v>
      </c>
      <c r="O81" s="37"/>
      <c r="P81" s="198"/>
      <c r="Q81" s="199"/>
      <c r="R81" s="199"/>
      <c r="S81" s="199"/>
      <c r="T81" s="199"/>
      <c r="U81" s="40">
        <f>ROUND(((P81*I81)+(Q81*J81)+(R81*K81)+(S81*L81)+(T81*M81)),3)</f>
        <v>0</v>
      </c>
      <c r="V81" s="41">
        <f>IF(U81&gt;=8,8,U81)</f>
        <v>0</v>
      </c>
      <c r="W81" s="42"/>
      <c r="X81" s="42"/>
      <c r="Y81" s="42"/>
      <c r="Z81" s="42"/>
      <c r="AA81" s="42"/>
      <c r="AB81" s="73" t="e">
        <f>(((((W81*I81)+(X81*J81)+(Y81*K81)+(Z81*L81)+(AA81*M81))/$L$2)))</f>
        <v>#DIV/0!</v>
      </c>
      <c r="AC81" s="78" t="e">
        <f>ROUND(11*AB81,3)</f>
        <v>#DIV/0!</v>
      </c>
      <c r="AD81" s="75" t="e">
        <f t="shared" ref="AD81" si="54">IF(AC81&gt;=11,11,AC81)</f>
        <v>#DIV/0!</v>
      </c>
      <c r="AE81" s="116">
        <f>IF(U82&gt;=94,4,IF(U82&gt;=91,3.9,IF(U82&gt;=88,3.8,IF(U82&gt;=85,3.7,3.6))))</f>
        <v>3.6</v>
      </c>
      <c r="AF81" s="43">
        <v>0.2</v>
      </c>
      <c r="AG81" s="117">
        <v>17</v>
      </c>
      <c r="AH81" s="44" t="e">
        <f>V81+AD81+AG81+AE81+AF81</f>
        <v>#DIV/0!</v>
      </c>
      <c r="AI81" s="41" t="e">
        <f>IF(AH81&gt;=40,40,AH81)</f>
        <v>#DIV/0!</v>
      </c>
      <c r="AJ81" s="45"/>
      <c r="AK81" s="46"/>
      <c r="AL81" s="47"/>
      <c r="AM81" s="48">
        <f>100%+AL81</f>
        <v>1</v>
      </c>
      <c r="AN81" s="49">
        <f>ROUNDUP((($E$2*AM81-$AN$4)*AJ81+$AN$4),-3)</f>
        <v>0</v>
      </c>
      <c r="AO81" s="50"/>
    </row>
    <row r="82" spans="1:41" s="22" customFormat="1" ht="26.25" customHeight="1" x14ac:dyDescent="0.15">
      <c r="A82" s="91"/>
      <c r="B82" s="89"/>
      <c r="C82" s="174" t="s">
        <v>48</v>
      </c>
      <c r="D82" s="175"/>
      <c r="E82" s="175"/>
      <c r="F82" s="175"/>
      <c r="G82" s="176"/>
      <c r="H82" s="34"/>
      <c r="I82" s="57"/>
      <c r="J82" s="61"/>
      <c r="K82" s="61"/>
      <c r="L82" s="61"/>
      <c r="M82" s="85"/>
      <c r="N82" s="62"/>
      <c r="O82" s="37"/>
      <c r="P82" s="200"/>
      <c r="Q82" s="201"/>
      <c r="R82" s="201"/>
      <c r="S82" s="201"/>
      <c r="T82" s="201"/>
      <c r="U82" s="77">
        <f>(I81*P82)+(J81*Q82)+(K81*R82)+(L81*S82)+(M81*T82)</f>
        <v>0</v>
      </c>
      <c r="V82" s="41"/>
      <c r="W82" s="42"/>
      <c r="X82" s="42"/>
      <c r="Y82" s="42"/>
      <c r="Z82" s="42"/>
      <c r="AA82" s="42"/>
      <c r="AB82" s="73"/>
      <c r="AC82" s="78"/>
      <c r="AD82" s="74"/>
      <c r="AE82" s="116"/>
      <c r="AF82" s="43"/>
      <c r="AG82" s="65"/>
      <c r="AH82" s="44"/>
      <c r="AI82" s="41"/>
      <c r="AJ82" s="45"/>
      <c r="AK82" s="46"/>
      <c r="AL82" s="47"/>
      <c r="AM82" s="48"/>
      <c r="AN82" s="49"/>
      <c r="AO82" s="50"/>
    </row>
    <row r="83" spans="1:41" s="22" customFormat="1" ht="51.75" customHeight="1" x14ac:dyDescent="0.15">
      <c r="A83" s="90"/>
      <c r="B83" s="88"/>
      <c r="C83" s="53"/>
      <c r="D83" s="82"/>
      <c r="E83" s="53"/>
      <c r="F83" s="82"/>
      <c r="G83" s="80"/>
      <c r="H83" s="34"/>
      <c r="I83" s="35"/>
      <c r="J83" s="36"/>
      <c r="K83" s="36"/>
      <c r="L83" s="36"/>
      <c r="M83" s="86"/>
      <c r="N83" s="62">
        <f>SUM(I83:M83)</f>
        <v>0</v>
      </c>
      <c r="O83" s="37"/>
      <c r="P83" s="198"/>
      <c r="Q83" s="199"/>
      <c r="R83" s="199"/>
      <c r="S83" s="199"/>
      <c r="T83" s="199"/>
      <c r="U83" s="40">
        <f>ROUND(((P83*I83)+(Q83*J83)+(R83*K83)+(S83*L83)+(T83*M83)),3)</f>
        <v>0</v>
      </c>
      <c r="V83" s="41">
        <f>IF(U83&gt;=8,8,U83)</f>
        <v>0</v>
      </c>
      <c r="W83" s="42"/>
      <c r="X83" s="42"/>
      <c r="Y83" s="42"/>
      <c r="Z83" s="42"/>
      <c r="AA83" s="42"/>
      <c r="AB83" s="73" t="e">
        <f>(((((W83*I83)+(X83*J83)+(Y83*K83)+(Z83*L83)+(AA83*M83))/$L$2)))</f>
        <v>#DIV/0!</v>
      </c>
      <c r="AC83" s="78" t="e">
        <f t="shared" ref="AC83:AC89" si="55">ROUND(11*AB83,3)</f>
        <v>#DIV/0!</v>
      </c>
      <c r="AD83" s="75" t="e">
        <f>IF(AC83&gt;=11,11,AC83)</f>
        <v>#DIV/0!</v>
      </c>
      <c r="AE83" s="116">
        <f>IF(U84&gt;=94,4,IF(U84&gt;=91,3.9,IF(U84&gt;=88,3.8,IF(U84&gt;=85,3.7,3.6))))</f>
        <v>3.6</v>
      </c>
      <c r="AF83" s="43">
        <v>0.3</v>
      </c>
      <c r="AG83" s="117">
        <v>17</v>
      </c>
      <c r="AH83" s="44" t="e">
        <f>V83+AD83+AG83+AE83+AF83</f>
        <v>#DIV/0!</v>
      </c>
      <c r="AI83" s="41" t="e">
        <f>IF(AH83&gt;=40,40,AH83)</f>
        <v>#DIV/0!</v>
      </c>
      <c r="AJ83" s="45"/>
      <c r="AK83" s="46"/>
      <c r="AL83" s="47"/>
      <c r="AM83" s="48">
        <f>100%+AL83</f>
        <v>1</v>
      </c>
      <c r="AN83" s="49">
        <f>ROUNDUP((($E$2*AM83-$AN$4)*AJ83+$AN$4),-3)</f>
        <v>0</v>
      </c>
      <c r="AO83" s="50"/>
    </row>
    <row r="84" spans="1:41" s="22" customFormat="1" ht="26.25" customHeight="1" x14ac:dyDescent="0.15">
      <c r="A84" s="91"/>
      <c r="B84" s="88"/>
      <c r="C84" s="174" t="s">
        <v>48</v>
      </c>
      <c r="D84" s="175"/>
      <c r="E84" s="175"/>
      <c r="F84" s="175"/>
      <c r="G84" s="176"/>
      <c r="H84" s="34"/>
      <c r="I84" s="57"/>
      <c r="J84" s="61"/>
      <c r="K84" s="61"/>
      <c r="L84" s="61"/>
      <c r="M84" s="85"/>
      <c r="N84" s="62"/>
      <c r="O84" s="37"/>
      <c r="P84" s="200"/>
      <c r="Q84" s="201"/>
      <c r="R84" s="201"/>
      <c r="S84" s="201"/>
      <c r="T84" s="201"/>
      <c r="U84" s="77">
        <f>(I83*P84)+(J83*Q84)+(K83*R84)+(L83*S84)+(M83*T84)</f>
        <v>0</v>
      </c>
      <c r="V84" s="41"/>
      <c r="W84" s="42"/>
      <c r="X84" s="42"/>
      <c r="Y84" s="42"/>
      <c r="Z84" s="42"/>
      <c r="AA84" s="42"/>
      <c r="AB84" s="73"/>
      <c r="AC84" s="78"/>
      <c r="AD84" s="74"/>
      <c r="AE84" s="116"/>
      <c r="AF84" s="43"/>
      <c r="AG84" s="65"/>
      <c r="AH84" s="44"/>
      <c r="AI84" s="41"/>
      <c r="AJ84" s="45"/>
      <c r="AK84" s="46"/>
      <c r="AL84" s="47"/>
      <c r="AM84" s="48"/>
      <c r="AN84" s="49"/>
      <c r="AO84" s="50"/>
    </row>
    <row r="85" spans="1:41" s="22" customFormat="1" ht="48.75" customHeight="1" x14ac:dyDescent="0.15">
      <c r="A85" s="90"/>
      <c r="B85" s="88"/>
      <c r="C85" s="33"/>
      <c r="D85" s="53"/>
      <c r="E85" s="82"/>
      <c r="F85" s="82"/>
      <c r="G85" s="80"/>
      <c r="H85" s="58"/>
      <c r="I85" s="35"/>
      <c r="J85" s="36"/>
      <c r="K85" s="61"/>
      <c r="L85" s="36"/>
      <c r="M85" s="86"/>
      <c r="N85" s="62">
        <f>SUM(I85:M85)</f>
        <v>0</v>
      </c>
      <c r="O85" s="37"/>
      <c r="P85" s="198"/>
      <c r="Q85" s="199"/>
      <c r="R85" s="199"/>
      <c r="S85" s="199"/>
      <c r="T85" s="199"/>
      <c r="U85" s="40">
        <f>ROUND(((P85*I85)+(Q85*J85)+(R85*K85)+(S85*L85)+(T85*M85)),3)</f>
        <v>0</v>
      </c>
      <c r="V85" s="41">
        <f>IF(U85&gt;=8,8,U85)</f>
        <v>0</v>
      </c>
      <c r="W85" s="42"/>
      <c r="X85" s="42"/>
      <c r="Y85" s="42"/>
      <c r="Z85" s="51"/>
      <c r="AA85" s="42"/>
      <c r="AB85" s="73" t="e">
        <f>(((((W85*I85)+(X85*J85)+(Y85*K85)+(Z85*L85)+(AA85*M85))/$L$2)))</f>
        <v>#DIV/0!</v>
      </c>
      <c r="AC85" s="78" t="e">
        <f t="shared" si="55"/>
        <v>#DIV/0!</v>
      </c>
      <c r="AD85" s="75" t="e">
        <f>IF(AC85&gt;=11,11,AC85)</f>
        <v>#DIV/0!</v>
      </c>
      <c r="AE85" s="116">
        <f>IF(U86&gt;=94,4,IF(U86&gt;=91,3.9,IF(U86&gt;=88,3.8,IF(U86&gt;=85,3.7,3.6))))</f>
        <v>3.6</v>
      </c>
      <c r="AF85" s="43">
        <v>0.3</v>
      </c>
      <c r="AG85" s="117">
        <v>17</v>
      </c>
      <c r="AH85" s="44" t="e">
        <f>V85+AD85+AG85+AE85+AF85</f>
        <v>#DIV/0!</v>
      </c>
      <c r="AI85" s="41" t="e">
        <f>IF(AH85&gt;=40,40,AH85)</f>
        <v>#DIV/0!</v>
      </c>
      <c r="AJ85" s="45"/>
      <c r="AK85" s="46"/>
      <c r="AL85" s="47"/>
      <c r="AM85" s="48"/>
      <c r="AN85" s="49"/>
      <c r="AO85" s="50"/>
    </row>
    <row r="86" spans="1:41" s="22" customFormat="1" ht="26.25" customHeight="1" x14ac:dyDescent="0.15">
      <c r="A86" s="91"/>
      <c r="B86" s="89"/>
      <c r="C86" s="174" t="s">
        <v>48</v>
      </c>
      <c r="D86" s="175"/>
      <c r="E86" s="175"/>
      <c r="F86" s="175"/>
      <c r="G86" s="176"/>
      <c r="H86" s="34"/>
      <c r="I86" s="57"/>
      <c r="J86" s="61"/>
      <c r="K86" s="61"/>
      <c r="L86" s="61"/>
      <c r="M86" s="85"/>
      <c r="N86" s="62"/>
      <c r="O86" s="37"/>
      <c r="P86" s="200"/>
      <c r="Q86" s="199"/>
      <c r="R86" s="199"/>
      <c r="S86" s="201"/>
      <c r="T86" s="201"/>
      <c r="U86" s="77">
        <f>(I85*P86)+(J85*Q86)+(K85*R86)+(L85*S86)+(M85*T86)</f>
        <v>0</v>
      </c>
      <c r="V86" s="41"/>
      <c r="W86" s="42"/>
      <c r="X86" s="42"/>
      <c r="Y86" s="42"/>
      <c r="Z86" s="42"/>
      <c r="AA86" s="42"/>
      <c r="AB86" s="73"/>
      <c r="AC86" s="78"/>
      <c r="AD86" s="74"/>
      <c r="AE86" s="116"/>
      <c r="AF86" s="43"/>
      <c r="AG86" s="65"/>
      <c r="AH86" s="44"/>
      <c r="AI86" s="41"/>
      <c r="AJ86" s="45"/>
      <c r="AK86" s="46"/>
      <c r="AL86" s="47"/>
      <c r="AM86" s="48"/>
      <c r="AN86" s="49"/>
      <c r="AO86" s="50"/>
    </row>
    <row r="87" spans="1:41" s="22" customFormat="1" ht="48.75" customHeight="1" x14ac:dyDescent="0.15">
      <c r="A87" s="90"/>
      <c r="B87" s="88"/>
      <c r="C87" s="52"/>
      <c r="D87" s="53"/>
      <c r="E87" s="53"/>
      <c r="F87" s="53"/>
      <c r="G87" s="68"/>
      <c r="H87" s="58"/>
      <c r="I87" s="35"/>
      <c r="J87" s="36"/>
      <c r="K87" s="36"/>
      <c r="L87" s="36"/>
      <c r="M87" s="86"/>
      <c r="N87" s="62">
        <f>SUM(I87:M87)</f>
        <v>0</v>
      </c>
      <c r="O87" s="37"/>
      <c r="P87" s="198"/>
      <c r="Q87" s="199"/>
      <c r="R87" s="199"/>
      <c r="S87" s="199"/>
      <c r="T87" s="199"/>
      <c r="U87" s="40">
        <f>ROUND(((P87*I87)+(Q87*J87)+(R87*K87)+(S87*L87)+(T87*M87)),3)</f>
        <v>0</v>
      </c>
      <c r="V87" s="41">
        <f>IF(U87&gt;=8,8,U87)</f>
        <v>0</v>
      </c>
      <c r="W87" s="42"/>
      <c r="X87" s="42"/>
      <c r="Y87" s="42"/>
      <c r="Z87" s="42"/>
      <c r="AA87" s="42"/>
      <c r="AB87" s="73" t="e">
        <f>(((((W87*I87)+(X87*J87)+(Y87*K87)+(Z87*L87)+(AA87*M87))/$L$2)))</f>
        <v>#DIV/0!</v>
      </c>
      <c r="AC87" s="78" t="e">
        <f t="shared" ref="AC87" si="56">ROUND(11*AB87,3)</f>
        <v>#DIV/0!</v>
      </c>
      <c r="AD87" s="75" t="e">
        <f t="shared" ref="AD87" si="57">IF(AC87&gt;=11,11,AC87)</f>
        <v>#DIV/0!</v>
      </c>
      <c r="AE87" s="116">
        <f>IF(U88&gt;=94,4,IF(U88&gt;=91,3.9,IF(U88&gt;=88,3.8,IF(U88&gt;=85,3.7,3.6))))</f>
        <v>3.6</v>
      </c>
      <c r="AF87" s="43">
        <v>0.3</v>
      </c>
      <c r="AG87" s="117">
        <v>17</v>
      </c>
      <c r="AH87" s="44" t="e">
        <f>V87+AD87+AG87+AE87+AF87</f>
        <v>#DIV/0!</v>
      </c>
      <c r="AI87" s="41" t="e">
        <f>IF(AH87&gt;=40,40,AH87)</f>
        <v>#DIV/0!</v>
      </c>
      <c r="AJ87" s="45"/>
      <c r="AK87" s="46"/>
      <c r="AL87" s="47"/>
      <c r="AM87" s="48">
        <f>100%+AL87</f>
        <v>1</v>
      </c>
      <c r="AN87" s="49">
        <f>ROUNDUP((($E$2*AM87-$AN$4)*AJ87+$AN$4),-3)</f>
        <v>0</v>
      </c>
      <c r="AO87" s="50"/>
    </row>
    <row r="88" spans="1:41" s="22" customFormat="1" ht="26.25" customHeight="1" x14ac:dyDescent="0.15">
      <c r="A88" s="91"/>
      <c r="B88" s="89"/>
      <c r="C88" s="174" t="s">
        <v>48</v>
      </c>
      <c r="D88" s="175"/>
      <c r="E88" s="175"/>
      <c r="F88" s="175"/>
      <c r="G88" s="176"/>
      <c r="H88" s="34"/>
      <c r="I88" s="57"/>
      <c r="J88" s="61"/>
      <c r="K88" s="61"/>
      <c r="L88" s="61"/>
      <c r="M88" s="85"/>
      <c r="N88" s="62"/>
      <c r="O88" s="37"/>
      <c r="P88" s="200"/>
      <c r="Q88" s="201"/>
      <c r="R88" s="201"/>
      <c r="S88" s="201"/>
      <c r="T88" s="201"/>
      <c r="U88" s="77">
        <f>(I87*P88)+(J87*Q88)+(K87*R88)+(L87*S88)+(M87*T88)</f>
        <v>0</v>
      </c>
      <c r="V88" s="41"/>
      <c r="W88" s="42"/>
      <c r="X88" s="42"/>
      <c r="Y88" s="42"/>
      <c r="Z88" s="42"/>
      <c r="AA88" s="42"/>
      <c r="AB88" s="73"/>
      <c r="AC88" s="78"/>
      <c r="AD88" s="74"/>
      <c r="AE88" s="116"/>
      <c r="AF88" s="43"/>
      <c r="AG88" s="65"/>
      <c r="AH88" s="44"/>
      <c r="AI88" s="41"/>
      <c r="AJ88" s="45"/>
      <c r="AK88" s="46"/>
      <c r="AL88" s="47"/>
      <c r="AM88" s="48"/>
      <c r="AN88" s="49"/>
      <c r="AO88" s="50"/>
    </row>
    <row r="89" spans="1:41" s="22" customFormat="1" ht="51.75" customHeight="1" x14ac:dyDescent="0.15">
      <c r="A89" s="32"/>
      <c r="B89" s="64"/>
      <c r="C89" s="55"/>
      <c r="D89" s="52"/>
      <c r="E89" s="33"/>
      <c r="F89" s="53"/>
      <c r="G89" s="81"/>
      <c r="H89" s="58"/>
      <c r="I89" s="35"/>
      <c r="J89" s="36"/>
      <c r="K89" s="36"/>
      <c r="L89" s="36"/>
      <c r="M89" s="86"/>
      <c r="N89" s="62">
        <f>SUM(I89:M89)</f>
        <v>0</v>
      </c>
      <c r="O89" s="37"/>
      <c r="P89" s="198"/>
      <c r="Q89" s="199"/>
      <c r="R89" s="199"/>
      <c r="S89" s="199"/>
      <c r="T89" s="199"/>
      <c r="U89" s="40">
        <f>ROUND(((P89*I89)+(Q89*J89)+(R89*K89)+(S89*L89)+(T89*M89)),3)</f>
        <v>0</v>
      </c>
      <c r="V89" s="41">
        <f>IF(U89&gt;=8,8,U89)</f>
        <v>0</v>
      </c>
      <c r="W89" s="42"/>
      <c r="X89" s="42"/>
      <c r="Y89" s="51"/>
      <c r="Z89" s="42"/>
      <c r="AA89" s="42"/>
      <c r="AB89" s="73" t="e">
        <f>(((((W89*I89)+(X89*J89)+(Y89*K89)+(Z89*L89)+(AA89*M89))/$L$2)))</f>
        <v>#DIV/0!</v>
      </c>
      <c r="AC89" s="78" t="e">
        <f t="shared" si="55"/>
        <v>#DIV/0!</v>
      </c>
      <c r="AD89" s="75" t="e">
        <f>IF(AC89&gt;=11,11,AC89)</f>
        <v>#DIV/0!</v>
      </c>
      <c r="AE89" s="116">
        <f>IF(U90&gt;=94,4,IF(U90&gt;=91,3.9,IF(U90&gt;=88,3.8,IF(U90&gt;=85,3.7,3.6))))</f>
        <v>3.6</v>
      </c>
      <c r="AF89" s="43">
        <v>0.3</v>
      </c>
      <c r="AG89" s="117">
        <v>17</v>
      </c>
      <c r="AH89" s="44" t="e">
        <f>V89+AD89+AG89+AE89+AF89</f>
        <v>#DIV/0!</v>
      </c>
      <c r="AI89" s="41" t="e">
        <f>IF(AH89&gt;=40,40,AH89)</f>
        <v>#DIV/0!</v>
      </c>
      <c r="AJ89" s="45"/>
      <c r="AK89" s="46"/>
      <c r="AL89" s="47"/>
      <c r="AM89" s="48">
        <f>100%+AL89</f>
        <v>1</v>
      </c>
      <c r="AN89" s="49">
        <f>ROUNDUP((($E$2*AM89-$AN$4)*AJ89+$AN$4),-3)</f>
        <v>0</v>
      </c>
      <c r="AO89" s="50"/>
    </row>
    <row r="90" spans="1:41" s="22" customFormat="1" ht="26.25" customHeight="1" x14ac:dyDescent="0.15">
      <c r="A90" s="59"/>
      <c r="B90" s="64"/>
      <c r="C90" s="174" t="s">
        <v>48</v>
      </c>
      <c r="D90" s="175"/>
      <c r="E90" s="175"/>
      <c r="F90" s="175"/>
      <c r="G90" s="176"/>
      <c r="H90" s="34"/>
      <c r="I90" s="57"/>
      <c r="J90" s="61"/>
      <c r="K90" s="61"/>
      <c r="L90" s="61"/>
      <c r="M90" s="85"/>
      <c r="N90" s="62"/>
      <c r="O90" s="37"/>
      <c r="P90" s="200"/>
      <c r="Q90" s="201"/>
      <c r="R90" s="201"/>
      <c r="S90" s="201"/>
      <c r="T90" s="201"/>
      <c r="U90" s="77">
        <f>(I89*P90)+(J89*Q90)+(K89*R90)+(L89*S90)+(M89*T90)</f>
        <v>0</v>
      </c>
      <c r="V90" s="41"/>
      <c r="W90" s="42"/>
      <c r="X90" s="42"/>
      <c r="Y90" s="42"/>
      <c r="Z90" s="42"/>
      <c r="AA90" s="42"/>
      <c r="AB90" s="73"/>
      <c r="AC90" s="78"/>
      <c r="AD90" s="74"/>
      <c r="AE90" s="116"/>
      <c r="AF90" s="43"/>
      <c r="AG90" s="65"/>
      <c r="AH90" s="44"/>
      <c r="AI90" s="41"/>
      <c r="AJ90" s="45"/>
      <c r="AK90" s="46"/>
      <c r="AL90" s="47"/>
      <c r="AM90" s="48"/>
      <c r="AN90" s="49"/>
      <c r="AO90" s="50"/>
    </row>
  </sheetData>
  <mergeCells count="71">
    <mergeCell ref="AC1:AD1"/>
    <mergeCell ref="AE1:AG1"/>
    <mergeCell ref="X2:Y2"/>
    <mergeCell ref="E1:F1"/>
    <mergeCell ref="H1:J1"/>
    <mergeCell ref="L1:N1"/>
    <mergeCell ref="Z1:AA1"/>
    <mergeCell ref="Z2:AA2"/>
    <mergeCell ref="AC2:AD2"/>
    <mergeCell ref="AE2:AG2"/>
    <mergeCell ref="A3:A4"/>
    <mergeCell ref="B3:B4"/>
    <mergeCell ref="C3:H3"/>
    <mergeCell ref="I3:M3"/>
    <mergeCell ref="N3:N4"/>
    <mergeCell ref="A2:C2"/>
    <mergeCell ref="E2:F2"/>
    <mergeCell ref="H2:J2"/>
    <mergeCell ref="L2:M2"/>
    <mergeCell ref="P2:T2"/>
    <mergeCell ref="C20:G20"/>
    <mergeCell ref="AK3:AK4"/>
    <mergeCell ref="AL3:AL4"/>
    <mergeCell ref="AM3:AM4"/>
    <mergeCell ref="AO3:AO4"/>
    <mergeCell ref="C12:G12"/>
    <mergeCell ref="U3:AH3"/>
    <mergeCell ref="AJ3:AJ4"/>
    <mergeCell ref="O3:O4"/>
    <mergeCell ref="P3:T3"/>
    <mergeCell ref="C6:G6"/>
    <mergeCell ref="C60:G60"/>
    <mergeCell ref="C14:G14"/>
    <mergeCell ref="C10:G10"/>
    <mergeCell ref="C18:G18"/>
    <mergeCell ref="C16:G16"/>
    <mergeCell ref="C56:G56"/>
    <mergeCell ref="C44:G44"/>
    <mergeCell ref="C46:G46"/>
    <mergeCell ref="C48:G48"/>
    <mergeCell ref="C50:G50"/>
    <mergeCell ref="C52:G52"/>
    <mergeCell ref="C26:G26"/>
    <mergeCell ref="C30:G30"/>
    <mergeCell ref="C32:G32"/>
    <mergeCell ref="C34:G34"/>
    <mergeCell ref="C36:G36"/>
    <mergeCell ref="C42:G42"/>
    <mergeCell ref="C38:G38"/>
    <mergeCell ref="C86:G86"/>
    <mergeCell ref="C8:G8"/>
    <mergeCell ref="C28:G28"/>
    <mergeCell ref="C24:G24"/>
    <mergeCell ref="C68:G68"/>
    <mergeCell ref="C70:G70"/>
    <mergeCell ref="C54:G54"/>
    <mergeCell ref="C40:G40"/>
    <mergeCell ref="C22:G22"/>
    <mergeCell ref="C72:G72"/>
    <mergeCell ref="C62:G62"/>
    <mergeCell ref="C64:G64"/>
    <mergeCell ref="C66:G66"/>
    <mergeCell ref="C58:G58"/>
    <mergeCell ref="C88:G88"/>
    <mergeCell ref="C90:G90"/>
    <mergeCell ref="C74:G74"/>
    <mergeCell ref="C76:G76"/>
    <mergeCell ref="C78:G78"/>
    <mergeCell ref="C80:G80"/>
    <mergeCell ref="C82:G82"/>
    <mergeCell ref="C84:G84"/>
  </mergeCells>
  <phoneticPr fontId="3" type="noConversion"/>
  <printOptions horizontalCentered="1"/>
  <pageMargins left="0.15748031496062992" right="0.19685039370078741" top="0.31496062992125984" bottom="0.23622047244094491" header="0.27559055118110237" footer="0.19685039370078741"/>
  <pageSetup paperSize="9" scale="16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user</cp:lastModifiedBy>
  <cp:lastPrinted>2020-02-12T02:25:09Z</cp:lastPrinted>
  <dcterms:created xsi:type="dcterms:W3CDTF">2020-01-22T01:51:05Z</dcterms:created>
  <dcterms:modified xsi:type="dcterms:W3CDTF">2026-03-16T02:49:38Z</dcterms:modified>
</cp:coreProperties>
</file>